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3\utilities\"/>
    </mc:Choice>
  </mc:AlternateContent>
  <xr:revisionPtr revIDLastSave="0" documentId="13_ncr:1_{5703C854-1BA2-47BA-9C48-7A086A526B07}" xr6:coauthVersionLast="47" xr6:coauthVersionMax="47" xr10:uidLastSave="{00000000-0000-0000-0000-000000000000}"/>
  <bookViews>
    <workbookView xWindow="-120" yWindow="-120" windowWidth="29040" windowHeight="15720" xr2:uid="{E1AB626B-3773-4829-92A5-28DD4DB7C8F8}"/>
  </bookViews>
  <sheets>
    <sheet name="DR" sheetId="9" r:id="rId1"/>
    <sheet name="WR-Youth" sheetId="2" r:id="rId2"/>
    <sheet name="WR-Open" sheetId="4" r:id="rId3"/>
    <sheet name="2024" sheetId="6" r:id="rId4"/>
    <sheet name="2025" sheetId="5" r:id="rId5"/>
    <sheet name="202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9" l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K4" i="5"/>
  <c r="K11" i="5" s="1"/>
  <c r="J4" i="5"/>
  <c r="J11" i="5" s="1"/>
  <c r="C4" i="5"/>
  <c r="C11" i="5" s="1"/>
  <c r="B4" i="5"/>
  <c r="B11" i="5" s="1"/>
  <c r="L4" i="6"/>
  <c r="L11" i="6" s="1"/>
  <c r="H4" i="6"/>
  <c r="H11" i="6" s="1"/>
  <c r="G4" i="6"/>
  <c r="G11" i="6" s="1"/>
  <c r="F4" i="6"/>
  <c r="F11" i="6" s="1"/>
  <c r="D4" i="6"/>
  <c r="D11" i="6" s="1"/>
  <c r="I3" i="6"/>
  <c r="I10" i="6" s="1"/>
  <c r="M2" i="6"/>
  <c r="M9" i="6" s="1"/>
  <c r="E2" i="6"/>
  <c r="E9" i="6" s="1"/>
  <c r="I3" i="5"/>
  <c r="I10" i="5" s="1"/>
  <c r="M2" i="5"/>
  <c r="M9" i="5" s="1"/>
  <c r="E2" i="5"/>
  <c r="E9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G4" i="8" s="1"/>
  <c r="G11" i="8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I3" i="8" s="1"/>
  <c r="I10" i="8" s="1"/>
  <c r="F4" i="8" l="1"/>
  <c r="F11" i="8" s="1"/>
  <c r="I4" i="6"/>
  <c r="I11" i="6" s="1"/>
  <c r="E4" i="5"/>
  <c r="E11" i="5" s="1"/>
  <c r="M4" i="5"/>
  <c r="M11" i="5" s="1"/>
  <c r="I4" i="8"/>
  <c r="I11" i="8" s="1"/>
  <c r="L4" i="5"/>
  <c r="L11" i="5" s="1"/>
  <c r="B4" i="6"/>
  <c r="B11" i="6" s="1"/>
  <c r="J4" i="6"/>
  <c r="J11" i="6" s="1"/>
  <c r="F4" i="5"/>
  <c r="F11" i="5" s="1"/>
  <c r="B4" i="8"/>
  <c r="B11" i="8" s="1"/>
  <c r="J4" i="8"/>
  <c r="J11" i="8" s="1"/>
  <c r="D4" i="5"/>
  <c r="D11" i="5" s="1"/>
  <c r="H4" i="8"/>
  <c r="H11" i="8" s="1"/>
  <c r="C4" i="6"/>
  <c r="C11" i="6" s="1"/>
  <c r="K4" i="6"/>
  <c r="K11" i="6" s="1"/>
  <c r="G4" i="5"/>
  <c r="G11" i="5" s="1"/>
  <c r="C4" i="8"/>
  <c r="C11" i="8" s="1"/>
  <c r="K4" i="8"/>
  <c r="K11" i="8" s="1"/>
  <c r="L4" i="8"/>
  <c r="L11" i="8" s="1"/>
  <c r="H4" i="5"/>
  <c r="H11" i="5" s="1"/>
  <c r="D4" i="8"/>
  <c r="D11" i="8" s="1"/>
  <c r="E4" i="6"/>
  <c r="E11" i="6" s="1"/>
  <c r="M4" i="6"/>
  <c r="M11" i="6" s="1"/>
  <c r="I4" i="5"/>
  <c r="I11" i="5" s="1"/>
  <c r="E4" i="8"/>
  <c r="E11" i="8" s="1"/>
  <c r="M4" i="8"/>
  <c r="M11" i="8" s="1"/>
  <c r="F2" i="5"/>
  <c r="F9" i="5" s="1"/>
  <c r="B3" i="6"/>
  <c r="B10" i="6" s="1"/>
  <c r="F2" i="8"/>
  <c r="F9" i="8" s="1"/>
  <c r="J3" i="8"/>
  <c r="J10" i="8" s="1"/>
  <c r="M2" i="8"/>
  <c r="M9" i="8" s="1"/>
  <c r="F2" i="6"/>
  <c r="F9" i="6" s="1"/>
  <c r="J3" i="6"/>
  <c r="J10" i="6" s="1"/>
  <c r="B3" i="8"/>
  <c r="B10" i="8" s="1"/>
  <c r="G2" i="5"/>
  <c r="G9" i="5" s="1"/>
  <c r="C3" i="5"/>
  <c r="C10" i="5" s="1"/>
  <c r="K3" i="5"/>
  <c r="K10" i="5" s="1"/>
  <c r="G2" i="6"/>
  <c r="G9" i="6" s="1"/>
  <c r="C3" i="6"/>
  <c r="C10" i="6" s="1"/>
  <c r="K3" i="6"/>
  <c r="K10" i="6" s="1"/>
  <c r="G2" i="8"/>
  <c r="G9" i="8" s="1"/>
  <c r="C3" i="8"/>
  <c r="C10" i="8" s="1"/>
  <c r="K3" i="8"/>
  <c r="K10" i="8" s="1"/>
  <c r="J3" i="5"/>
  <c r="J10" i="5" s="1"/>
  <c r="H2" i="5"/>
  <c r="H9" i="5" s="1"/>
  <c r="D3" i="5"/>
  <c r="D10" i="5" s="1"/>
  <c r="L3" i="5"/>
  <c r="L10" i="5" s="1"/>
  <c r="H2" i="6"/>
  <c r="H9" i="6" s="1"/>
  <c r="D3" i="6"/>
  <c r="D10" i="6" s="1"/>
  <c r="L3" i="6"/>
  <c r="L10" i="6" s="1"/>
  <c r="H2" i="8"/>
  <c r="H9" i="8" s="1"/>
  <c r="D3" i="8"/>
  <c r="D10" i="8" s="1"/>
  <c r="L3" i="8"/>
  <c r="L10" i="8" s="1"/>
  <c r="I2" i="5"/>
  <c r="I9" i="5" s="1"/>
  <c r="E3" i="5"/>
  <c r="E10" i="5" s="1"/>
  <c r="M3" i="5"/>
  <c r="M10" i="5" s="1"/>
  <c r="I2" i="6"/>
  <c r="I9" i="6" s="1"/>
  <c r="E3" i="6"/>
  <c r="E10" i="6" s="1"/>
  <c r="M3" i="6"/>
  <c r="M10" i="6" s="1"/>
  <c r="I2" i="8"/>
  <c r="I9" i="8" s="1"/>
  <c r="E3" i="8"/>
  <c r="E10" i="8" s="1"/>
  <c r="M3" i="8"/>
  <c r="M10" i="8" s="1"/>
  <c r="B2" i="5"/>
  <c r="B9" i="5" s="1"/>
  <c r="F3" i="5"/>
  <c r="F10" i="5" s="1"/>
  <c r="B2" i="6"/>
  <c r="B9" i="6" s="1"/>
  <c r="F3" i="6"/>
  <c r="F10" i="6" s="1"/>
  <c r="B2" i="8"/>
  <c r="B9" i="8" s="1"/>
  <c r="J2" i="8"/>
  <c r="J9" i="8" s="1"/>
  <c r="F3" i="8"/>
  <c r="F10" i="8" s="1"/>
  <c r="E2" i="8"/>
  <c r="E9" i="8" s="1"/>
  <c r="B3" i="5"/>
  <c r="B10" i="5" s="1"/>
  <c r="J2" i="5"/>
  <c r="J9" i="5" s="1"/>
  <c r="J2" i="6"/>
  <c r="J9" i="6" s="1"/>
  <c r="C2" i="5"/>
  <c r="C9" i="5" s="1"/>
  <c r="K2" i="5"/>
  <c r="K9" i="5" s="1"/>
  <c r="G3" i="5"/>
  <c r="G10" i="5" s="1"/>
  <c r="C2" i="6"/>
  <c r="C9" i="6" s="1"/>
  <c r="K2" i="6"/>
  <c r="K9" i="6" s="1"/>
  <c r="G3" i="6"/>
  <c r="G10" i="6" s="1"/>
  <c r="C2" i="8"/>
  <c r="C9" i="8" s="1"/>
  <c r="K2" i="8"/>
  <c r="K9" i="8" s="1"/>
  <c r="G3" i="8"/>
  <c r="G10" i="8" s="1"/>
  <c r="D2" i="5"/>
  <c r="D9" i="5" s="1"/>
  <c r="L2" i="5"/>
  <c r="L9" i="5" s="1"/>
  <c r="H3" i="5"/>
  <c r="H10" i="5" s="1"/>
  <c r="D2" i="6"/>
  <c r="D9" i="6" s="1"/>
  <c r="L2" i="6"/>
  <c r="L9" i="6" s="1"/>
  <c r="H3" i="6"/>
  <c r="H10" i="6" s="1"/>
  <c r="D2" i="8"/>
  <c r="D9" i="8" s="1"/>
  <c r="L2" i="8"/>
  <c r="L9" i="8" s="1"/>
  <c r="H3" i="8"/>
  <c r="H1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311132C4-C469-44F9-A16F-C1F7954CFCD2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F74333A4-7421-4CB9-A1B8-AA480385FE5D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A4" authorId="0" shapeId="0" xr:uid="{97E9E9C9-A5B3-4B37-ACF2-E9185EE1ABEB}">
      <text>
        <r>
          <rPr>
            <b/>
            <sz val="9"/>
            <color indexed="81"/>
            <rFont val="Segoe UI"/>
            <family val="2"/>
          </rPr>
          <t xml:space="preserve">Beispiel:
</t>
        </r>
        <r>
          <rPr>
            <sz val="9"/>
            <color indexed="81"/>
            <rFont val="Segoe UI"/>
            <family val="2"/>
          </rPr>
          <t>2015 = Gültiger WR vom 31.12.2015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I16" authorId="0" shapeId="0" xr:uid="{E09A097D-FD45-454A-8267-811E26299141}">
      <text>
        <r>
          <rPr>
            <b/>
            <sz val="9"/>
            <color indexed="81"/>
            <rFont val="Segoe UI"/>
            <family val="2"/>
          </rPr>
          <t>Ocean / Entfernen / Sondernominierung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I16" authorId="0" shapeId="0" xr:uid="{CA951B8F-42C9-423F-A284-F880B3147653}">
      <text>
        <r>
          <rPr>
            <b/>
            <sz val="9"/>
            <color indexed="81"/>
            <rFont val="Segoe UI"/>
            <family val="2"/>
          </rPr>
          <t>Ocean / Entfernen / Sondernominierung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Jan-Philipp Gnad</author>
  </authors>
  <commentList>
    <comment ref="I16" authorId="0" shapeId="0" xr:uid="{F14AB4F1-B4DA-46F5-AEC4-F05A48CE2F70}">
      <text>
        <r>
          <rPr>
            <b/>
            <sz val="9"/>
            <color indexed="81"/>
            <rFont val="Segoe UI"/>
            <family val="2"/>
          </rPr>
          <t>Ocean / Entfernen / Sondernominierung</t>
        </r>
      </text>
    </comment>
  </commentList>
</comments>
</file>

<file path=xl/sharedStrings.xml><?xml version="1.0" encoding="utf-8"?>
<sst xmlns="http://schemas.openxmlformats.org/spreadsheetml/2006/main" count="391" uniqueCount="161">
  <si>
    <t>50m Retten</t>
  </si>
  <si>
    <t>100m Retten</t>
  </si>
  <si>
    <t>100m Kombi</t>
  </si>
  <si>
    <t>100m Lifesaver</t>
  </si>
  <si>
    <t>200m Superlifesaver</t>
  </si>
  <si>
    <t>200m Hindernis</t>
  </si>
  <si>
    <t>U17</t>
  </si>
  <si>
    <t>U19</t>
  </si>
  <si>
    <t>Offen</t>
  </si>
  <si>
    <t>Punkte vom (Junioren) WR</t>
  </si>
  <si>
    <t>WR-Open</t>
  </si>
  <si>
    <t>WR-Youth</t>
  </si>
  <si>
    <t>50m Retten2</t>
  </si>
  <si>
    <t>Verbesserte visuelle Übersicht der Pflichtzeiten</t>
  </si>
  <si>
    <t>Platzierungsnormen</t>
  </si>
  <si>
    <t>Wettkampf</t>
  </si>
  <si>
    <t>Maximales Alter</t>
  </si>
  <si>
    <t>Minimales Alter</t>
  </si>
  <si>
    <t>mind. Platzierung</t>
  </si>
  <si>
    <t>LMS - 2024</t>
  </si>
  <si>
    <t>Wertung</t>
  </si>
  <si>
    <t>Mehrkampf</t>
  </si>
  <si>
    <t>DEM - 2024</t>
  </si>
  <si>
    <t>Einzelkampf</t>
  </si>
  <si>
    <t>DMM - 2024</t>
  </si>
  <si>
    <t>Kader</t>
  </si>
  <si>
    <t>Juniorenkader</t>
  </si>
  <si>
    <t>Badenkader</t>
  </si>
  <si>
    <t>LMS - 2025</t>
  </si>
  <si>
    <t>DEM - 2025</t>
  </si>
  <si>
    <t>DMM - 2025</t>
  </si>
  <si>
    <t>Ocean</t>
  </si>
  <si>
    <t>Kriterium</t>
  </si>
  <si>
    <t>Rupp, Oliver</t>
  </si>
  <si>
    <t>Entfernen</t>
  </si>
  <si>
    <t>Sonderregeln</t>
  </si>
  <si>
    <t>Anmeldungen</t>
  </si>
  <si>
    <t>Nachname, Name</t>
  </si>
  <si>
    <t>Sondernominierung</t>
  </si>
  <si>
    <t>Name</t>
  </si>
  <si>
    <t>Competiton</t>
  </si>
  <si>
    <t>Nation</t>
  </si>
  <si>
    <t>Zoe PEDERSEN</t>
  </si>
  <si>
    <t>NZL</t>
  </si>
  <si>
    <t>Lucreza FABRETTI</t>
  </si>
  <si>
    <t>ITA</t>
  </si>
  <si>
    <t>Melissa GIORDANO</t>
  </si>
  <si>
    <t>Bianca RAYWARD</t>
  </si>
  <si>
    <t>AUS</t>
  </si>
  <si>
    <t>Giulia VETRANO</t>
  </si>
  <si>
    <t>Giovanni MASTRORILLI</t>
  </si>
  <si>
    <t>ESP</t>
  </si>
  <si>
    <t>Simone LOCCHI</t>
  </si>
  <si>
    <t>Jaime IRUESTE ROJO</t>
  </si>
  <si>
    <t>Alberto TURRADO</t>
  </si>
  <si>
    <t>Davide CREMONINI</t>
  </si>
  <si>
    <t>Zac REID</t>
  </si>
  <si>
    <t>Eadie FERGUS</t>
  </si>
  <si>
    <t>Tom DOURAGER</t>
  </si>
  <si>
    <t>French Rescue - 2025</t>
  </si>
  <si>
    <t>FRA</t>
  </si>
  <si>
    <t>Kacper MAJCHRZAK</t>
  </si>
  <si>
    <t>World Games - 2025</t>
  </si>
  <si>
    <t>POL</t>
  </si>
  <si>
    <t>Harrison HYNES</t>
  </si>
  <si>
    <t>LWC - 2024</t>
  </si>
  <si>
    <t>Francesco IPPOLITO</t>
  </si>
  <si>
    <t>Aon-NZPRC - 2025</t>
  </si>
  <si>
    <t>Riccione - 2019</t>
  </si>
  <si>
    <t>Riccione - 2024</t>
  </si>
  <si>
    <t>Battle of Tasman - 2025</t>
  </si>
  <si>
    <t>Riccione - 2022</t>
  </si>
  <si>
    <t>Orange Cup - 2024</t>
  </si>
  <si>
    <t>Alicante - 2024</t>
  </si>
  <si>
    <t>German Cup - 2022</t>
  </si>
  <si>
    <t>Torrevieja - 2021</t>
  </si>
  <si>
    <t>LWC - 2018</t>
  </si>
  <si>
    <t>Riccione - 2023</t>
  </si>
  <si>
    <t>Nina HOLT</t>
  </si>
  <si>
    <t>GER</t>
  </si>
  <si>
    <t>Lucrezia FABRETTI</t>
  </si>
  <si>
    <t>Milano - 2022</t>
  </si>
  <si>
    <t>Madison KIDD</t>
  </si>
  <si>
    <t>Magalie ROUSSAU</t>
  </si>
  <si>
    <t>Saint Malo - 2022</t>
  </si>
  <si>
    <t>Ying LU</t>
  </si>
  <si>
    <t>Kaohsiung - 2009</t>
  </si>
  <si>
    <t>CHN</t>
  </si>
  <si>
    <t>Johanna Gnad</t>
  </si>
  <si>
    <t>Jan-Philipp Gnad</t>
  </si>
  <si>
    <t>Oliver Rupp</t>
  </si>
  <si>
    <t>Daniel Bittighofer</t>
  </si>
  <si>
    <t>Emma Uhl</t>
  </si>
  <si>
    <t>Malina Dziacko</t>
  </si>
  <si>
    <t>Ben Groß</t>
  </si>
  <si>
    <t xml:space="preserve">Emma Maier </t>
  </si>
  <si>
    <t>100m Retten2</t>
  </si>
  <si>
    <t>100m Kombi2</t>
  </si>
  <si>
    <t>100m Lifesaver2</t>
  </si>
  <si>
    <t>200m Superlifesaver2</t>
  </si>
  <si>
    <t>200m Hindernis2</t>
  </si>
  <si>
    <t>OG</t>
  </si>
  <si>
    <t>Danny WIEK</t>
  </si>
  <si>
    <t>Jan MALLKOWSKI</t>
  </si>
  <si>
    <t>DEM - 2018</t>
  </si>
  <si>
    <t>50m Retten - offen - W</t>
  </si>
  <si>
    <t>100m Retten - offen - W</t>
  </si>
  <si>
    <t>100m Kombi - offen - W</t>
  </si>
  <si>
    <t>100m Lifesaver - offen - W</t>
  </si>
  <si>
    <t>200m Superlifesaver - offen - W</t>
  </si>
  <si>
    <t>200m Hindernis - offen - W</t>
  </si>
  <si>
    <t>50m Retten - offen - M</t>
  </si>
  <si>
    <t>100m Retten - offen - M</t>
  </si>
  <si>
    <t>100m Kombi - offen - M</t>
  </si>
  <si>
    <t>100m Lifesaver - offen - M</t>
  </si>
  <si>
    <t>200m Superlifesaver - offen - M</t>
  </si>
  <si>
    <t>200m Hindernis - offen - M</t>
  </si>
  <si>
    <t>50m Retten - 17/18 - W</t>
  </si>
  <si>
    <t>100m Retten - 17/18 - W</t>
  </si>
  <si>
    <t>100m Kombi -17/18 - W</t>
  </si>
  <si>
    <t>100m Lifesaver - 17/18 - W</t>
  </si>
  <si>
    <t>200m Superlifesaver - 17/18 - W</t>
  </si>
  <si>
    <t>200m Hindernis - 17/18 - W</t>
  </si>
  <si>
    <t>100m Retten - 17/18 - M</t>
  </si>
  <si>
    <t>100m Kombi - 17/18 - M</t>
  </si>
  <si>
    <t>100m Lifesaver - 17/18 - M</t>
  </si>
  <si>
    <t>200m Superlifesaver - 17/18 - M</t>
  </si>
  <si>
    <t>200m Hindernis - 17/18 - M</t>
  </si>
  <si>
    <t>Leo Ilias BAUMANN</t>
  </si>
  <si>
    <t>EYLC - 2024</t>
  </si>
  <si>
    <t>Völklingen</t>
  </si>
  <si>
    <t>DP - 2025</t>
  </si>
  <si>
    <t>DP - 2024</t>
  </si>
  <si>
    <t>Orange Cup - 2025</t>
  </si>
  <si>
    <t>50m Retten - 15/16 - W</t>
  </si>
  <si>
    <t>100m Kombi - 15/16 - W</t>
  </si>
  <si>
    <t>100m Lifesaver -  15/16 - W</t>
  </si>
  <si>
    <t>200m Superlifesaver -  15/16 - W</t>
  </si>
  <si>
    <t>200m Hindernis -  15/16 - W</t>
  </si>
  <si>
    <t>100m Retten - 15/16 - M</t>
  </si>
  <si>
    <t>50m Retten - 15/16 - M</t>
  </si>
  <si>
    <t>100m Kombi -15/16 - M</t>
  </si>
  <si>
    <t>100m Lifesaver - 15/16 - M</t>
  </si>
  <si>
    <t>200m Superlifesaver - 15/16 - M</t>
  </si>
  <si>
    <t>200m Hindernis - 15/16 - M</t>
  </si>
  <si>
    <t>50m Retten - 13/14 - W</t>
  </si>
  <si>
    <t>100m Retten - 15/16 - W</t>
  </si>
  <si>
    <t>50m Retten - 13/14 - M</t>
  </si>
  <si>
    <t>50m Retten mit Flossen - 13/14 - W</t>
  </si>
  <si>
    <t>100m Hindernis - 13/14 - W</t>
  </si>
  <si>
    <t>50m Retten mit Flossen - 13/14 - M</t>
  </si>
  <si>
    <t>100m Hindernis - 13/14 - M</t>
  </si>
  <si>
    <t>50m Flossen - 12 - W</t>
  </si>
  <si>
    <t>50m komb. Schwimmen - 12 - W</t>
  </si>
  <si>
    <t>50m Flossen - 12 - M</t>
  </si>
  <si>
    <t>50m komb. Schwimmen - 12 - M</t>
  </si>
  <si>
    <t>50m Hindernis - 12 - W</t>
  </si>
  <si>
    <t>50m Hindernis - 12 - M</t>
  </si>
  <si>
    <t>Anton KIRSCH</t>
  </si>
  <si>
    <t>Verl</t>
  </si>
  <si>
    <t>50m Retten - 17/18 -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</si>
</sst>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theme="0"/>
      <name val="Calibri"/>
      <family val="2"/>
    </font>
    <font>
      <sz val="11"/>
      <color theme="0" tint="-0.499984740745262"/>
      <name val="Calibri"/>
      <family val="2"/>
    </font>
    <font>
      <b/>
      <sz val="20"/>
      <color theme="0"/>
      <name val="Calibri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3" tint="-0.499984740745262"/>
      </right>
      <top/>
      <bottom style="medium">
        <color theme="0"/>
      </bottom>
      <diagonal/>
    </border>
    <border>
      <left style="medium">
        <color indexed="64"/>
      </left>
      <right style="medium">
        <color theme="3" tint="-0.499984740745262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3" tint="-0.499984740745262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4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1" fillId="5" borderId="5" xfId="0" applyNumberFormat="1" applyFont="1" applyFill="1" applyBorder="1" applyAlignment="1">
      <alignment horizontal="center" vertical="center"/>
    </xf>
    <xf numFmtId="2" fontId="1" fillId="6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5" borderId="0" xfId="0" applyFill="1"/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top" wrapText="1"/>
    </xf>
    <xf numFmtId="0" fontId="14" fillId="2" borderId="2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4" fillId="3" borderId="9" xfId="0" applyFont="1" applyFill="1" applyBorder="1" applyAlignment="1">
      <alignment horizontal="left" vertical="top" wrapText="1"/>
    </xf>
    <xf numFmtId="164" fontId="1" fillId="6" borderId="5" xfId="0" applyNumberFormat="1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top" wrapText="1"/>
    </xf>
    <xf numFmtId="0" fontId="14" fillId="7" borderId="9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Standard" xfId="0" builtinId="0"/>
  </cellStyles>
  <dxfs count="92"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color theme="6"/>
      </font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3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:ss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theme="3" tint="-0.499984740745262"/>
        </right>
      </border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5E83EE-6B6F-478A-9C90-A846A1A76536}" name="WR_Open4" displayName="WR_Open4" ref="A4:AW31" totalsRowShown="0" headerRowDxfId="91" headerRowBorderDxfId="90" tableBorderDxfId="89">
  <autoFilter ref="A4:AW31" xr:uid="{2C5E83EE-6B6F-478A-9C90-A846A1A76536}"/>
  <tableColumns count="49">
    <tableColumn id="1" xr3:uid="{7C0C4105-A61A-4B8D-9129-EDC4F18765AF}" name="WR-Open" dataDxfId="88">
      <calculatedColumnFormula>A4+1</calculatedColumnFormula>
    </tableColumn>
    <tableColumn id="2" xr3:uid="{516F5612-F85F-413F-9012-E235F415E34B}" name="50m Retten - offen - W" dataDxfId="87"/>
    <tableColumn id="3" xr3:uid="{BC9ACAC9-0D45-42FD-B596-D19FBE3A4D83}" name="100m Retten - offen - W" dataDxfId="86"/>
    <tableColumn id="4" xr3:uid="{CB6DBE59-EB65-43F0-93E7-0BDC3F82832B}" name="100m Kombi - offen - W" dataDxfId="85"/>
    <tableColumn id="5" xr3:uid="{AA603C60-6831-4C14-A8CD-0AA050DA7551}" name="100m Lifesaver - offen - W" dataDxfId="84"/>
    <tableColumn id="6" xr3:uid="{7920F147-7717-4582-940A-2610F7D310CA}" name="200m Superlifesaver - offen - W" dataDxfId="83"/>
    <tableColumn id="7" xr3:uid="{04E21F1D-AC8D-4A1B-9B43-59B8F7901673}" name="200m Hindernis - offen - W" dataDxfId="82"/>
    <tableColumn id="8" xr3:uid="{40E8A083-653A-48A8-9B37-0A2D850B7829}" name="50m Retten - offen - M" dataDxfId="81"/>
    <tableColumn id="9" xr3:uid="{863824A9-134F-4189-BB14-225AE224FC44}" name="100m Retten - offen - M" dataDxfId="80"/>
    <tableColumn id="10" xr3:uid="{598FC6AE-DEA2-4475-9A35-CDCB8C81496A}" name="100m Kombi - offen - M"/>
    <tableColumn id="11" xr3:uid="{9FC50B37-0D51-422E-A268-A6506D4F3854}" name="100m Lifesaver - offen - M"/>
    <tableColumn id="12" xr3:uid="{B8D2552B-5D82-442A-98F0-E47D5C5F6728}" name="200m Superlifesaver - offen - M"/>
    <tableColumn id="13" xr3:uid="{5A5E9873-0C5F-4508-AF6B-4974E0526D84}" name="200m Hindernis - offen - M" dataDxfId="79"/>
    <tableColumn id="14" xr3:uid="{FA907992-7FCE-4CAD-8CF2-F5BEBC9B3756}" name="50m Retten - 17/18 - W" dataDxfId="78"/>
    <tableColumn id="15" xr3:uid="{76B63DC0-CB67-48F4-9B5A-D22902F59334}" name="100m Retten - 17/18 - W" dataDxfId="77"/>
    <tableColumn id="16" xr3:uid="{614A2419-51B1-44C0-8469-ADBFB078B81A}" name="100m Kombi -17/18 - W" dataDxfId="76"/>
    <tableColumn id="17" xr3:uid="{2EC953EE-367D-4524-A25E-8DE3B8168E34}" name="100m Lifesaver - 17/18 - W" dataDxfId="75"/>
    <tableColumn id="18" xr3:uid="{25711867-9BD7-4197-9094-A21392411249}" name="200m Superlifesaver - 17/18 - W" dataDxfId="74"/>
    <tableColumn id="19" xr3:uid="{262DB142-CFB1-45C3-9332-7273CACD1B62}" name="200m Hindernis - 17/18 - W" dataDxfId="73"/>
    <tableColumn id="20" xr3:uid="{938BA45A-8244-4637-8A14-DF49CD91A945}" name="50m Retten - 17/18 - M" dataDxfId="72"/>
    <tableColumn id="21" xr3:uid="{737E28D8-900F-4A98-95FE-EE7B0AFDEE90}" name="100m Retten - 17/18 - M" dataDxfId="71"/>
    <tableColumn id="22" xr3:uid="{330BD3A8-061C-45E2-ADDB-40C2F346772F}" name="100m Kombi - 17/18 - M" dataDxfId="70"/>
    <tableColumn id="23" xr3:uid="{0CADDE90-A167-4E1D-8D33-8624E5E1A4E2}" name="100m Lifesaver - 17/18 - M" dataDxfId="69"/>
    <tableColumn id="24" xr3:uid="{FCF9F42C-1291-4985-9D37-B9DE2DAA5DCB}" name="200m Superlifesaver - 17/18 - M" dataDxfId="68"/>
    <tableColumn id="25" xr3:uid="{4E5397B2-F924-4F48-AE69-AF6D650AF88D}" name="200m Hindernis - 17/18 - M" dataDxfId="67"/>
    <tableColumn id="26" xr3:uid="{0A78315A-BFDC-43EE-A66F-48B301F66508}" name="50m Retten - 15/16 - W" dataDxfId="66"/>
    <tableColumn id="27" xr3:uid="{D3FCF8BD-6C76-450D-80C0-CC0519A79731}" name="100m Retten - 15/16 - W" dataDxfId="65"/>
    <tableColumn id="28" xr3:uid="{6BE7937E-D62D-47CD-95DE-1730304B0DF3}" name="100m Kombi - 15/16 - W" dataDxfId="64"/>
    <tableColumn id="29" xr3:uid="{098BA5BE-5AF6-4187-89B6-534498F24C51}" name="100m Lifesaver -  15/16 - W" dataDxfId="63"/>
    <tableColumn id="30" xr3:uid="{2A6822CF-143C-4BF7-A440-5777527BE512}" name="200m Superlifesaver -  15/16 - W" dataDxfId="62"/>
    <tableColumn id="31" xr3:uid="{541C7145-CDEA-4E4E-9E7A-A4F05BA6C3E5}" name="200m Hindernis -  15/16 - W" dataDxfId="61"/>
    <tableColumn id="32" xr3:uid="{342C4488-8C61-42E6-87A9-C75BD8EB7452}" name="50m Retten - 15/16 - M" dataDxfId="60"/>
    <tableColumn id="33" xr3:uid="{857B1D46-7D20-47F7-AB9B-732D50346E32}" name="100m Retten - 15/16 - M" dataDxfId="59"/>
    <tableColumn id="34" xr3:uid="{4C8A2EB4-804B-45F1-A768-9A6958957F8B}" name="100m Kombi -15/16 - M" dataDxfId="58"/>
    <tableColumn id="35" xr3:uid="{26C75B4F-21EC-4EB0-A9A9-54BC80140672}" name="100m Lifesaver - 15/16 - M" dataDxfId="57"/>
    <tableColumn id="36" xr3:uid="{DBBB2A23-1A06-429A-A5D1-A547EF5EC16F}" name="200m Superlifesaver - 15/16 - M" dataDxfId="56"/>
    <tableColumn id="37" xr3:uid="{84061231-CAE5-427A-87F5-6DDBA99F77D2}" name="200m Hindernis - 15/16 - M" dataDxfId="55"/>
    <tableColumn id="38" xr3:uid="{878CCA80-A742-4B3C-90C9-E93BB814201B}" name="50m Retten - 13/14 - W" dataDxfId="54"/>
    <tableColumn id="39" xr3:uid="{A1F57102-61CF-4784-8DE2-0B8F32D5D699}" name="50m Retten mit Flossen - 13/14 - W" dataDxfId="53"/>
    <tableColumn id="40" xr3:uid="{0F6BAF78-3D79-42A9-9FED-E6D0E335A920}" name="100m Hindernis - 13/14 - W" dataDxfId="52"/>
    <tableColumn id="41" xr3:uid="{EB748A68-E10D-4D76-B315-8FDB3AC33C8D}" name="50m Retten - 13/14 - M" dataDxfId="51"/>
    <tableColumn id="42" xr3:uid="{C7B04167-6430-40F0-9A0F-D0D0BE2F9C77}" name="50m Retten mit Flossen - 13/14 - M" dataDxfId="50"/>
    <tableColumn id="43" xr3:uid="{48704BB7-A853-445A-8CDC-8D8F86C2B66A}" name="100m Hindernis - 13/14 - M" dataDxfId="49"/>
    <tableColumn id="44" xr3:uid="{9605FE9A-F41C-4A5F-A59C-B7A9D45C460F}" name="50m Flossen - 12 - W" dataDxfId="48"/>
    <tableColumn id="45" xr3:uid="{4C9DBF61-35B1-4BC2-8272-526E0AFAAFFB}" name="50m komb. Schwimmen - 12 - W" dataDxfId="47"/>
    <tableColumn id="46" xr3:uid="{CF433C95-C272-48F9-98CD-7E3C8DBB6F2C}" name="50m Hindernis - 12 - W" dataDxfId="46"/>
    <tableColumn id="47" xr3:uid="{FADB7411-DB43-4B14-B9E8-D74CA1BA18B8}" name="50m Flossen - 12 - M" dataDxfId="45"/>
    <tableColumn id="48" xr3:uid="{02936F84-1D82-48AC-8D7C-6D2954D68A06}" name="50m komb. Schwimmen - 12 - M" dataDxfId="44"/>
    <tableColumn id="49" xr3:uid="{7FD9BD11-0597-4E07-8DA5-DB53384197F5}" name="50m Hindernis - 12 - M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34D44E-A2BE-4790-B589-1A8CC19B714E}" name="WR_Youth" displayName="WR_Youth" ref="A4:M31" totalsRowShown="0" headerRowDxfId="42" dataDxfId="40" headerRowBorderDxfId="41" tableBorderDxfId="39">
  <autoFilter ref="A4:M31" xr:uid="{4234D44E-A2BE-4790-B589-1A8CC19B714E}"/>
  <tableColumns count="13">
    <tableColumn id="1" xr3:uid="{848E691A-41B0-42DD-B122-FB6DF43CB3EF}" name="WR-Youth" dataDxfId="38"/>
    <tableColumn id="2" xr3:uid="{2FE43F18-485B-46A9-8946-FBC5FDAE5A8E}" name="50m Retten" dataDxfId="37"/>
    <tableColumn id="3" xr3:uid="{CA5C3ABF-02E6-442B-868B-95B293B231D3}" name="100m Retten" dataDxfId="36"/>
    <tableColumn id="4" xr3:uid="{7A6BBA52-2145-464D-8C04-B2CCFC1A90DC}" name="100m Kombi" dataDxfId="35"/>
    <tableColumn id="5" xr3:uid="{21F420C9-E788-49EE-88F6-E37963ED31CF}" name="100m Lifesaver" dataDxfId="34"/>
    <tableColumn id="6" xr3:uid="{CB87B7CD-8A9C-4775-A4D7-4D267F43FD1A}" name="200m Superlifesaver" dataDxfId="33"/>
    <tableColumn id="7" xr3:uid="{2DC7F290-B564-4851-85AE-D211DA701B32}" name="200m Hindernis" dataDxfId="32"/>
    <tableColumn id="8" xr3:uid="{8112783D-8796-4D6A-8414-AC675D745697}" name="50m Retten2" dataDxfId="31"/>
    <tableColumn id="9" xr3:uid="{4E818CD4-8725-495D-9D1D-1AFCED9181F5}" name="100m Retten2" dataDxfId="30"/>
    <tableColumn id="10" xr3:uid="{28C05A91-E302-40A9-B50A-ECF997F129FC}" name="100m Kombi2" dataDxfId="29"/>
    <tableColumn id="11" xr3:uid="{D56FB9F2-45BF-4EC9-A84C-8A5FB59F2F05}" name="100m Lifesaver2" dataDxfId="28"/>
    <tableColumn id="12" xr3:uid="{540169C0-2A40-4794-A872-F7DF8A887BF2}" name="200m Superlifesaver2" dataDxfId="27"/>
    <tableColumn id="13" xr3:uid="{D104CB67-B55A-4C81-87E5-0AC758DD22A4}" name="200m Hindernis2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2F97B-7645-4066-8AB3-F35CF6E035EB}" name="WR_Open" displayName="WR_Open" ref="A4:M31" totalsRowShown="0" headerRowDxfId="25" headerRowBorderDxfId="24" tableBorderDxfId="23">
  <autoFilter ref="A4:M31" xr:uid="{E2D2F97B-7645-4066-8AB3-F35CF6E035EB}"/>
  <tableColumns count="13">
    <tableColumn id="1" xr3:uid="{AE73402B-B27E-4B29-8DCF-30B7FC1855EF}" name="WR-Open" dataDxfId="22">
      <calculatedColumnFormula>A4+1</calculatedColumnFormula>
    </tableColumn>
    <tableColumn id="2" xr3:uid="{EA3EAC1F-184E-4A28-B3E3-08DE12F138EF}" name="50m Retten" dataDxfId="21"/>
    <tableColumn id="3" xr3:uid="{E0305A3F-6087-4F8C-8B64-153E1ACAA32E}" name="100m Retten" dataDxfId="20"/>
    <tableColumn id="4" xr3:uid="{F0B7AC37-315E-49AA-855C-7955D2B43A76}" name="100m Kombi" dataDxfId="19"/>
    <tableColumn id="5" xr3:uid="{B5E690AB-DB7D-4864-8916-89D2A68C4128}" name="100m Lifesaver" dataDxfId="18"/>
    <tableColumn id="6" xr3:uid="{D89BAF4D-36AE-4C73-9320-9C5736F02F8A}" name="200m Superlifesaver" dataDxfId="17"/>
    <tableColumn id="7" xr3:uid="{58AE7517-1A90-459F-A7D2-B95265D217E7}" name="200m Hindernis" dataDxfId="16"/>
    <tableColumn id="8" xr3:uid="{13A189FB-E897-4A1F-A001-525F61E9CFFF}" name="50m Retten2" dataDxfId="15"/>
    <tableColumn id="9" xr3:uid="{36418AC5-46B8-400F-BD2E-D329CF4F92CD}" name="100m Retten2" dataDxfId="14"/>
    <tableColumn id="10" xr3:uid="{06A35C2D-7313-472B-BC1F-4F2FB1D14782}" name="100m Kombi2"/>
    <tableColumn id="11" xr3:uid="{89966D0D-9131-4245-A7BE-1A7384D5ADA0}" name="100m Lifesaver2"/>
    <tableColumn id="12" xr3:uid="{D9D6CF56-869C-4DDE-9886-572D4E523A8F}" name="200m Superlifesaver2"/>
    <tableColumn id="13" xr3:uid="{18A5C8DC-8C8E-4F2D-BDD1-01D37942869A}" name="200m Hindernis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DLRG">
      <a:dk1>
        <a:sysClr val="windowText" lastClr="000000"/>
      </a:dk1>
      <a:lt1>
        <a:sysClr val="window" lastClr="FFFFFF"/>
      </a:lt1>
      <a:dk2>
        <a:srgbClr val="575756"/>
      </a:dk2>
      <a:lt2>
        <a:srgbClr val="92D050"/>
      </a:lt2>
      <a:accent1>
        <a:srgbClr val="E30613"/>
      </a:accent1>
      <a:accent2>
        <a:srgbClr val="FFED00"/>
      </a:accent2>
      <a:accent3>
        <a:srgbClr val="0569B4"/>
      </a:accent3>
      <a:accent4>
        <a:srgbClr val="D7005F"/>
      </a:accent4>
      <a:accent5>
        <a:srgbClr val="013154"/>
      </a:accent5>
      <a:accent6>
        <a:srgbClr val="FFCC00"/>
      </a:accent6>
      <a:hlink>
        <a:srgbClr val="0569B4"/>
      </a:hlink>
      <a:folHlink>
        <a:srgbClr val="0569B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5DB-31A0-4819-8E86-33B1F16466A6}">
  <dimension ref="A1:AW31"/>
  <sheetViews>
    <sheetView tabSelected="1" topLeftCell="C1" workbookViewId="0">
      <selection activeCell="T4" sqref="T4"/>
    </sheetView>
  </sheetViews>
  <sheetFormatPr baseColWidth="10" defaultColWidth="15.28515625" defaultRowHeight="15" x14ac:dyDescent="0.25"/>
  <sheetData>
    <row r="1" spans="1:49" ht="16.5" customHeight="1" x14ac:dyDescent="0.25">
      <c r="A1" s="44" t="s">
        <v>39</v>
      </c>
      <c r="B1" s="45" t="s">
        <v>78</v>
      </c>
      <c r="C1" s="45"/>
      <c r="D1" s="45" t="s">
        <v>78</v>
      </c>
      <c r="E1" s="45"/>
      <c r="F1" s="45"/>
      <c r="G1" s="45"/>
      <c r="H1" s="46" t="s">
        <v>102</v>
      </c>
      <c r="I1" s="46" t="s">
        <v>103</v>
      </c>
      <c r="J1" s="46"/>
      <c r="K1" s="46"/>
      <c r="L1" s="46"/>
      <c r="M1" s="46"/>
      <c r="N1" s="45"/>
      <c r="O1" s="45"/>
      <c r="P1" s="45"/>
      <c r="Q1" s="45"/>
      <c r="R1" s="45"/>
      <c r="S1" s="45"/>
      <c r="T1" s="46" t="s">
        <v>128</v>
      </c>
      <c r="U1" s="46"/>
      <c r="V1" s="46"/>
      <c r="W1" s="46"/>
      <c r="X1" s="46" t="s">
        <v>128</v>
      </c>
      <c r="Y1" s="46" t="s">
        <v>128</v>
      </c>
      <c r="Z1" s="45"/>
      <c r="AA1" s="45"/>
      <c r="AB1" s="45"/>
      <c r="AC1" s="45"/>
      <c r="AD1" s="45"/>
      <c r="AE1" s="45"/>
      <c r="AF1" s="46"/>
      <c r="AG1" s="46"/>
      <c r="AH1" s="46"/>
      <c r="AI1" s="46"/>
      <c r="AJ1" s="46"/>
      <c r="AK1" s="46"/>
      <c r="AL1" s="45"/>
      <c r="AM1" s="45"/>
      <c r="AN1" s="45"/>
      <c r="AO1" s="46" t="s">
        <v>158</v>
      </c>
      <c r="AP1" s="46"/>
      <c r="AQ1" s="46"/>
      <c r="AR1" s="45"/>
      <c r="AS1" s="45"/>
      <c r="AT1" s="45"/>
      <c r="AU1" s="46"/>
      <c r="AV1" s="46"/>
      <c r="AW1" s="46"/>
    </row>
    <row r="2" spans="1:49" ht="16.5" customHeight="1" x14ac:dyDescent="0.25">
      <c r="A2" s="44" t="s">
        <v>40</v>
      </c>
      <c r="B2" s="47" t="s">
        <v>29</v>
      </c>
      <c r="C2" s="47"/>
      <c r="D2" s="47" t="s">
        <v>62</v>
      </c>
      <c r="E2" s="47"/>
      <c r="F2" s="47"/>
      <c r="G2" s="47"/>
      <c r="H2" s="47"/>
      <c r="I2" s="47" t="s">
        <v>104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 t="s">
        <v>132</v>
      </c>
      <c r="U2" s="47"/>
      <c r="V2" s="47"/>
      <c r="W2" s="47"/>
      <c r="X2" s="47" t="s">
        <v>131</v>
      </c>
      <c r="Y2" s="47" t="s">
        <v>129</v>
      </c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 t="s">
        <v>30</v>
      </c>
      <c r="AP2" s="47"/>
      <c r="AQ2" s="47"/>
      <c r="AR2" s="47"/>
      <c r="AS2" s="47"/>
      <c r="AT2" s="47"/>
      <c r="AU2" s="47"/>
      <c r="AV2" s="47"/>
      <c r="AW2" s="47"/>
    </row>
    <row r="3" spans="1:49" ht="16.5" customHeight="1" x14ac:dyDescent="0.25">
      <c r="A3" s="44" t="s">
        <v>101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 t="s">
        <v>130</v>
      </c>
      <c r="U3" s="47"/>
      <c r="V3" s="47"/>
      <c r="W3" s="47"/>
      <c r="X3" s="47" t="s">
        <v>130</v>
      </c>
      <c r="Y3" s="47" t="s">
        <v>130</v>
      </c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159</v>
      </c>
      <c r="AP3" s="47"/>
      <c r="AQ3" s="47"/>
      <c r="AR3" s="47"/>
      <c r="AS3" s="47"/>
      <c r="AT3" s="47"/>
      <c r="AU3" s="47"/>
      <c r="AV3" s="47"/>
      <c r="AW3" s="47"/>
    </row>
    <row r="4" spans="1:49" s="55" customFormat="1" ht="25.5" customHeight="1" thickBot="1" x14ac:dyDescent="0.3">
      <c r="A4" s="51" t="s">
        <v>10</v>
      </c>
      <c r="B4" s="52" t="s">
        <v>105</v>
      </c>
      <c r="C4" s="52" t="s">
        <v>106</v>
      </c>
      <c r="D4" s="52" t="s">
        <v>107</v>
      </c>
      <c r="E4" s="52" t="s">
        <v>108</v>
      </c>
      <c r="F4" s="52" t="s">
        <v>109</v>
      </c>
      <c r="G4" s="53" t="s">
        <v>110</v>
      </c>
      <c r="H4" s="54" t="s">
        <v>111</v>
      </c>
      <c r="I4" s="54" t="s">
        <v>112</v>
      </c>
      <c r="J4" s="54" t="s">
        <v>113</v>
      </c>
      <c r="K4" s="54" t="s">
        <v>114</v>
      </c>
      <c r="L4" s="54" t="s">
        <v>115</v>
      </c>
      <c r="M4" s="56" t="s">
        <v>116</v>
      </c>
      <c r="N4" s="59" t="s">
        <v>117</v>
      </c>
      <c r="O4" s="59" t="s">
        <v>118</v>
      </c>
      <c r="P4" s="59" t="s">
        <v>119</v>
      </c>
      <c r="Q4" s="59" t="s">
        <v>120</v>
      </c>
      <c r="R4" s="59" t="s">
        <v>121</v>
      </c>
      <c r="S4" s="59" t="s">
        <v>122</v>
      </c>
      <c r="T4" s="54" t="s">
        <v>160</v>
      </c>
      <c r="U4" s="54" t="s">
        <v>123</v>
      </c>
      <c r="V4" s="54" t="s">
        <v>124</v>
      </c>
      <c r="W4" s="54" t="s">
        <v>125</v>
      </c>
      <c r="X4" s="54" t="s">
        <v>126</v>
      </c>
      <c r="Y4" s="56" t="s">
        <v>127</v>
      </c>
      <c r="Z4" s="59" t="s">
        <v>134</v>
      </c>
      <c r="AA4" s="59" t="s">
        <v>146</v>
      </c>
      <c r="AB4" s="59" t="s">
        <v>135</v>
      </c>
      <c r="AC4" s="59" t="s">
        <v>136</v>
      </c>
      <c r="AD4" s="59" t="s">
        <v>137</v>
      </c>
      <c r="AE4" s="59" t="s">
        <v>138</v>
      </c>
      <c r="AF4" s="54" t="s">
        <v>140</v>
      </c>
      <c r="AG4" s="54" t="s">
        <v>139</v>
      </c>
      <c r="AH4" s="54" t="s">
        <v>141</v>
      </c>
      <c r="AI4" s="54" t="s">
        <v>142</v>
      </c>
      <c r="AJ4" s="54" t="s">
        <v>143</v>
      </c>
      <c r="AK4" s="56" t="s">
        <v>144</v>
      </c>
      <c r="AL4" s="59" t="s">
        <v>145</v>
      </c>
      <c r="AM4" s="59" t="s">
        <v>148</v>
      </c>
      <c r="AN4" s="60" t="s">
        <v>149</v>
      </c>
      <c r="AO4" s="54" t="s">
        <v>147</v>
      </c>
      <c r="AP4" s="54" t="s">
        <v>150</v>
      </c>
      <c r="AQ4" s="56" t="s">
        <v>151</v>
      </c>
      <c r="AR4" s="59" t="s">
        <v>152</v>
      </c>
      <c r="AS4" s="59" t="s">
        <v>153</v>
      </c>
      <c r="AT4" s="59" t="s">
        <v>156</v>
      </c>
      <c r="AU4" s="54" t="s">
        <v>154</v>
      </c>
      <c r="AV4" s="54" t="s">
        <v>155</v>
      </c>
      <c r="AW4" s="54" t="s">
        <v>157</v>
      </c>
    </row>
    <row r="5" spans="1:49" x14ac:dyDescent="0.25">
      <c r="A5" s="2">
        <v>2000</v>
      </c>
      <c r="B5" s="12"/>
      <c r="C5" s="12"/>
      <c r="D5" s="12"/>
      <c r="E5" s="12"/>
      <c r="F5" s="12"/>
      <c r="G5" s="14"/>
      <c r="H5" s="12"/>
      <c r="I5" s="12"/>
      <c r="J5" s="12"/>
      <c r="K5" s="12"/>
      <c r="L5" s="12"/>
      <c r="M5" s="57"/>
      <c r="N5" s="12"/>
      <c r="O5" s="12"/>
      <c r="P5" s="12"/>
      <c r="Q5" s="12"/>
      <c r="R5" s="12"/>
      <c r="S5" s="14"/>
      <c r="T5" s="12"/>
      <c r="U5" s="12"/>
      <c r="V5" s="12"/>
      <c r="W5" s="12"/>
      <c r="X5" s="12"/>
      <c r="Y5" s="57"/>
      <c r="Z5" s="12"/>
      <c r="AA5" s="12"/>
      <c r="AB5" s="12"/>
      <c r="AC5" s="12"/>
      <c r="AD5" s="12"/>
      <c r="AE5" s="14"/>
      <c r="AF5" s="12"/>
      <c r="AG5" s="12"/>
      <c r="AH5" s="12"/>
      <c r="AI5" s="12"/>
      <c r="AJ5" s="12"/>
      <c r="AK5" s="57"/>
      <c r="AL5" s="12"/>
      <c r="AM5" s="12"/>
      <c r="AN5" s="57"/>
      <c r="AO5" s="12"/>
      <c r="AP5" s="12"/>
      <c r="AQ5" s="57"/>
      <c r="AR5" s="12"/>
      <c r="AS5" s="12"/>
      <c r="AT5" s="57"/>
      <c r="AU5" s="12"/>
      <c r="AV5" s="12"/>
      <c r="AW5" s="12"/>
    </row>
    <row r="6" spans="1:49" x14ac:dyDescent="0.25">
      <c r="A6" s="2">
        <f t="shared" ref="A6:A31" si="0">A5+1</f>
        <v>2001</v>
      </c>
      <c r="B6" s="13">
        <v>4.5000000000000004E-4</v>
      </c>
      <c r="C6" s="13">
        <v>7.0497685185185192E-4</v>
      </c>
      <c r="D6" s="13">
        <v>9.1134259259259261E-4</v>
      </c>
      <c r="E6" s="13">
        <v>7.3368055555555556E-4</v>
      </c>
      <c r="F6" s="13">
        <v>1.7942129629629629E-3</v>
      </c>
      <c r="G6" s="15">
        <v>1.5353009259259261E-3</v>
      </c>
      <c r="H6" s="13">
        <v>3.7476851851851858E-4</v>
      </c>
      <c r="I6" s="13">
        <v>6.0335648148148152E-4</v>
      </c>
      <c r="J6" s="13">
        <v>7.6516203703703718E-4</v>
      </c>
      <c r="K6" s="13">
        <v>6.4687499999999999E-4</v>
      </c>
      <c r="L6" s="13">
        <v>1.5703703703703704E-3</v>
      </c>
      <c r="M6" s="58">
        <v>1.3629629629629632E-3</v>
      </c>
      <c r="N6" s="13"/>
      <c r="O6" s="13"/>
      <c r="P6" s="13"/>
      <c r="Q6" s="13"/>
      <c r="R6" s="13"/>
      <c r="S6" s="15"/>
      <c r="T6" s="13"/>
      <c r="U6" s="13"/>
      <c r="V6" s="13"/>
      <c r="W6" s="13"/>
      <c r="X6" s="13"/>
      <c r="Y6" s="58"/>
      <c r="Z6" s="13"/>
      <c r="AA6" s="13"/>
      <c r="AB6" s="13"/>
      <c r="AC6" s="13"/>
      <c r="AD6" s="13"/>
      <c r="AE6" s="15"/>
      <c r="AF6" s="13"/>
      <c r="AG6" s="13"/>
      <c r="AH6" s="13"/>
      <c r="AI6" s="13"/>
      <c r="AJ6" s="13"/>
      <c r="AK6" s="58"/>
      <c r="AL6" s="13"/>
      <c r="AM6" s="13"/>
      <c r="AN6" s="58"/>
      <c r="AO6" s="13"/>
      <c r="AP6" s="13"/>
      <c r="AQ6" s="58"/>
      <c r="AR6" s="13"/>
      <c r="AS6" s="13"/>
      <c r="AT6" s="58"/>
      <c r="AU6" s="13"/>
      <c r="AV6" s="13"/>
      <c r="AW6" s="13"/>
    </row>
    <row r="7" spans="1:49" x14ac:dyDescent="0.25">
      <c r="A7" s="2">
        <f t="shared" si="0"/>
        <v>2002</v>
      </c>
      <c r="B7" s="12">
        <v>4.5000000000000004E-4</v>
      </c>
      <c r="C7" s="12">
        <v>7.0497685185185192E-4</v>
      </c>
      <c r="D7" s="12">
        <v>9.1134259259259261E-4</v>
      </c>
      <c r="E7" s="12">
        <v>7.3368055555555556E-4</v>
      </c>
      <c r="F7" s="12">
        <v>1.7942129629629629E-3</v>
      </c>
      <c r="G7" s="14">
        <v>1.5353009259259261E-3</v>
      </c>
      <c r="H7" s="12">
        <v>3.7476851851851858E-4</v>
      </c>
      <c r="I7" s="12">
        <v>6.0335648148148152E-4</v>
      </c>
      <c r="J7" s="12">
        <v>7.6516203703703718E-4</v>
      </c>
      <c r="K7" s="12">
        <v>6.4687499999999999E-4</v>
      </c>
      <c r="L7" s="12">
        <v>1.5703703703703704E-3</v>
      </c>
      <c r="M7" s="57">
        <v>1.3629629629629632E-3</v>
      </c>
      <c r="N7" s="12"/>
      <c r="O7" s="12"/>
      <c r="P7" s="12"/>
      <c r="Q7" s="12"/>
      <c r="R7" s="12"/>
      <c r="S7" s="14"/>
      <c r="T7" s="12"/>
      <c r="U7" s="12"/>
      <c r="V7" s="12"/>
      <c r="W7" s="12"/>
      <c r="X7" s="12"/>
      <c r="Y7" s="57"/>
      <c r="Z7" s="12"/>
      <c r="AA7" s="12"/>
      <c r="AB7" s="12"/>
      <c r="AC7" s="12"/>
      <c r="AD7" s="12"/>
      <c r="AE7" s="14"/>
      <c r="AF7" s="12"/>
      <c r="AG7" s="12"/>
      <c r="AH7" s="12"/>
      <c r="AI7" s="12"/>
      <c r="AJ7" s="12"/>
      <c r="AK7" s="57"/>
      <c r="AL7" s="12"/>
      <c r="AM7" s="12"/>
      <c r="AN7" s="57"/>
      <c r="AO7" s="12"/>
      <c r="AP7" s="12"/>
      <c r="AQ7" s="57"/>
      <c r="AR7" s="12"/>
      <c r="AS7" s="12"/>
      <c r="AT7" s="57"/>
      <c r="AU7" s="12"/>
      <c r="AV7" s="12"/>
      <c r="AW7" s="12"/>
    </row>
    <row r="8" spans="1:49" x14ac:dyDescent="0.25">
      <c r="A8" s="2">
        <f t="shared" si="0"/>
        <v>2003</v>
      </c>
      <c r="B8" s="13">
        <v>4.1504629629629633E-4</v>
      </c>
      <c r="C8" s="13">
        <v>6.864583333333333E-4</v>
      </c>
      <c r="D8" s="13">
        <v>8.6585648148148166E-4</v>
      </c>
      <c r="E8" s="13">
        <v>7.3368055555555556E-4</v>
      </c>
      <c r="F8" s="13">
        <v>1.7447916666666668E-3</v>
      </c>
      <c r="G8" s="15">
        <v>1.5210648148148147E-3</v>
      </c>
      <c r="H8" s="13">
        <v>3.5949074074074073E-4</v>
      </c>
      <c r="I8" s="13">
        <v>6.0277777777777771E-4</v>
      </c>
      <c r="J8" s="13">
        <v>7.3287037037037027E-4</v>
      </c>
      <c r="K8" s="13">
        <v>6.3622685185185191E-4</v>
      </c>
      <c r="L8" s="13">
        <v>1.5243055555555554E-3</v>
      </c>
      <c r="M8" s="58">
        <v>1.3346064814814815E-3</v>
      </c>
      <c r="N8" s="13"/>
      <c r="O8" s="13"/>
      <c r="P8" s="13"/>
      <c r="Q8" s="13"/>
      <c r="R8" s="13"/>
      <c r="S8" s="15"/>
      <c r="T8" s="13"/>
      <c r="U8" s="13"/>
      <c r="V8" s="13"/>
      <c r="W8" s="13"/>
      <c r="X8" s="13"/>
      <c r="Y8" s="58"/>
      <c r="Z8" s="13"/>
      <c r="AA8" s="13"/>
      <c r="AB8" s="13"/>
      <c r="AC8" s="13"/>
      <c r="AD8" s="13"/>
      <c r="AE8" s="15"/>
      <c r="AF8" s="13"/>
      <c r="AG8" s="13"/>
      <c r="AH8" s="13"/>
      <c r="AI8" s="13"/>
      <c r="AJ8" s="13"/>
      <c r="AK8" s="58"/>
      <c r="AL8" s="13"/>
      <c r="AM8" s="13"/>
      <c r="AN8" s="58"/>
      <c r="AO8" s="13"/>
      <c r="AP8" s="13"/>
      <c r="AQ8" s="58"/>
      <c r="AR8" s="13"/>
      <c r="AS8" s="13"/>
      <c r="AT8" s="58"/>
      <c r="AU8" s="13"/>
      <c r="AV8" s="13"/>
      <c r="AW8" s="13"/>
    </row>
    <row r="9" spans="1:49" x14ac:dyDescent="0.25">
      <c r="A9" s="2">
        <f t="shared" si="0"/>
        <v>2004</v>
      </c>
      <c r="B9" s="12">
        <v>4.1446759259259258E-4</v>
      </c>
      <c r="C9" s="12">
        <v>6.5891203703703695E-4</v>
      </c>
      <c r="D9" s="12">
        <v>8.6585648148148166E-4</v>
      </c>
      <c r="E9" s="12">
        <v>7.2858796296296289E-4</v>
      </c>
      <c r="F9" s="12">
        <v>1.7341435185185185E-3</v>
      </c>
      <c r="G9" s="14">
        <v>1.5210648148148147E-3</v>
      </c>
      <c r="H9" s="12">
        <v>3.5532407407407404E-4</v>
      </c>
      <c r="I9" s="12">
        <v>5.8472222222222226E-4</v>
      </c>
      <c r="J9" s="12">
        <v>7.3287037037037027E-4</v>
      </c>
      <c r="K9" s="12">
        <v>6.3460648148148144E-4</v>
      </c>
      <c r="L9" s="12">
        <v>1.5031249999999999E-3</v>
      </c>
      <c r="M9" s="57">
        <v>1.3346064814814815E-3</v>
      </c>
      <c r="N9" s="12"/>
      <c r="O9" s="12"/>
      <c r="P9" s="12"/>
      <c r="Q9" s="12"/>
      <c r="R9" s="12"/>
      <c r="S9" s="14"/>
      <c r="T9" s="12"/>
      <c r="U9" s="12"/>
      <c r="V9" s="12"/>
      <c r="W9" s="12"/>
      <c r="X9" s="12"/>
      <c r="Y9" s="57"/>
      <c r="Z9" s="12"/>
      <c r="AA9" s="12"/>
      <c r="AB9" s="12"/>
      <c r="AC9" s="12"/>
      <c r="AD9" s="12"/>
      <c r="AE9" s="14"/>
      <c r="AF9" s="12"/>
      <c r="AG9" s="12"/>
      <c r="AH9" s="12"/>
      <c r="AI9" s="12"/>
      <c r="AJ9" s="12"/>
      <c r="AK9" s="57"/>
      <c r="AL9" s="12"/>
      <c r="AM9" s="12"/>
      <c r="AN9" s="57"/>
      <c r="AO9" s="12"/>
      <c r="AP9" s="12"/>
      <c r="AQ9" s="57"/>
      <c r="AR9" s="12"/>
      <c r="AS9" s="12"/>
      <c r="AT9" s="57"/>
      <c r="AU9" s="12"/>
      <c r="AV9" s="12"/>
      <c r="AW9" s="12"/>
    </row>
    <row r="10" spans="1:49" x14ac:dyDescent="0.25">
      <c r="A10" s="2">
        <f t="shared" si="0"/>
        <v>2005</v>
      </c>
      <c r="B10" s="13">
        <v>4.130787037037037E-4</v>
      </c>
      <c r="C10" s="13">
        <v>6.5891203703703695E-4</v>
      </c>
      <c r="D10" s="13">
        <v>8.524305555555556E-4</v>
      </c>
      <c r="E10" s="13">
        <v>7.1979166666666665E-4</v>
      </c>
      <c r="F10" s="13">
        <v>1.7252314814814815E-3</v>
      </c>
      <c r="G10" s="15">
        <v>1.5210648148148147E-3</v>
      </c>
      <c r="H10" s="13">
        <v>3.5532407407407404E-4</v>
      </c>
      <c r="I10" s="13">
        <v>5.8472222222222226E-4</v>
      </c>
      <c r="J10" s="13">
        <v>7.2893518518518522E-4</v>
      </c>
      <c r="K10" s="13">
        <v>6.2210648148148151E-4</v>
      </c>
      <c r="L10" s="13">
        <v>1.4964120370370372E-3</v>
      </c>
      <c r="M10" s="58">
        <v>1.3346064814814815E-3</v>
      </c>
      <c r="N10" s="13"/>
      <c r="O10" s="13"/>
      <c r="P10" s="13"/>
      <c r="Q10" s="13"/>
      <c r="R10" s="13"/>
      <c r="S10" s="15"/>
      <c r="T10" s="13"/>
      <c r="U10" s="13"/>
      <c r="V10" s="13"/>
      <c r="W10" s="13"/>
      <c r="X10" s="13"/>
      <c r="Y10" s="58"/>
      <c r="Z10" s="13"/>
      <c r="AA10" s="13"/>
      <c r="AB10" s="13"/>
      <c r="AC10" s="13"/>
      <c r="AD10" s="13"/>
      <c r="AE10" s="15"/>
      <c r="AF10" s="13"/>
      <c r="AG10" s="13"/>
      <c r="AH10" s="13"/>
      <c r="AI10" s="13"/>
      <c r="AJ10" s="13"/>
      <c r="AK10" s="58"/>
      <c r="AL10" s="13"/>
      <c r="AM10" s="13"/>
      <c r="AN10" s="58"/>
      <c r="AO10" s="13"/>
      <c r="AP10" s="13"/>
      <c r="AQ10" s="58"/>
      <c r="AR10" s="13"/>
      <c r="AS10" s="13"/>
      <c r="AT10" s="58"/>
      <c r="AU10" s="13"/>
      <c r="AV10" s="13"/>
      <c r="AW10" s="13"/>
    </row>
    <row r="11" spans="1:49" x14ac:dyDescent="0.25">
      <c r="A11" s="2">
        <f t="shared" si="0"/>
        <v>2006</v>
      </c>
      <c r="B11" s="12">
        <v>4.1203703703703709E-4</v>
      </c>
      <c r="C11" s="12">
        <v>6.5891203703703695E-4</v>
      </c>
      <c r="D11" s="12">
        <v>8.524305555555556E-4</v>
      </c>
      <c r="E11" s="12">
        <v>7.1979166666666665E-4</v>
      </c>
      <c r="F11" s="12">
        <v>1.7252314814814815E-3</v>
      </c>
      <c r="G11" s="14">
        <v>1.5210648148148147E-3</v>
      </c>
      <c r="H11" s="12">
        <v>3.5532407407407404E-4</v>
      </c>
      <c r="I11" s="12">
        <v>5.8425925925925919E-4</v>
      </c>
      <c r="J11" s="12">
        <v>7.1458333333333324E-4</v>
      </c>
      <c r="K11" s="12">
        <v>6.2210648148148151E-4</v>
      </c>
      <c r="L11" s="12">
        <v>1.4964120370370372E-3</v>
      </c>
      <c r="M11" s="57">
        <v>1.3346064814814815E-3</v>
      </c>
      <c r="N11" s="12"/>
      <c r="O11" s="12"/>
      <c r="P11" s="12"/>
      <c r="Q11" s="12"/>
      <c r="R11" s="12"/>
      <c r="S11" s="14"/>
      <c r="T11" s="12"/>
      <c r="U11" s="12"/>
      <c r="V11" s="12"/>
      <c r="W11" s="12"/>
      <c r="X11" s="12"/>
      <c r="Y11" s="57"/>
      <c r="Z11" s="12"/>
      <c r="AA11" s="12"/>
      <c r="AB11" s="12"/>
      <c r="AC11" s="12"/>
      <c r="AD11" s="12"/>
      <c r="AE11" s="14"/>
      <c r="AF11" s="12"/>
      <c r="AG11" s="12"/>
      <c r="AH11" s="12"/>
      <c r="AI11" s="12"/>
      <c r="AJ11" s="12"/>
      <c r="AK11" s="57"/>
      <c r="AL11" s="12"/>
      <c r="AM11" s="12"/>
      <c r="AN11" s="57"/>
      <c r="AO11" s="12"/>
      <c r="AP11" s="12"/>
      <c r="AQ11" s="57"/>
      <c r="AR11" s="12"/>
      <c r="AS11" s="12"/>
      <c r="AT11" s="57"/>
      <c r="AU11" s="12"/>
      <c r="AV11" s="12"/>
      <c r="AW11" s="12"/>
    </row>
    <row r="12" spans="1:49" x14ac:dyDescent="0.25">
      <c r="A12" s="2">
        <f t="shared" si="0"/>
        <v>2007</v>
      </c>
      <c r="B12" s="13">
        <v>4.0810185185185182E-4</v>
      </c>
      <c r="C12" s="13">
        <v>6.5891203703703695E-4</v>
      </c>
      <c r="D12" s="13">
        <v>8.4236111111111111E-4</v>
      </c>
      <c r="E12" s="13">
        <v>7.1979166666666665E-4</v>
      </c>
      <c r="F12" s="13">
        <v>1.7197916666666666E-3</v>
      </c>
      <c r="G12" s="15">
        <v>1.5043981481481479E-3</v>
      </c>
      <c r="H12" s="13">
        <v>3.5520833333333341E-4</v>
      </c>
      <c r="I12" s="13">
        <v>5.8425925925925919E-4</v>
      </c>
      <c r="J12" s="13">
        <v>7.3657407407407406E-4</v>
      </c>
      <c r="K12" s="13">
        <v>6.2210648148148151E-4</v>
      </c>
      <c r="L12" s="13">
        <v>1.4964120370370372E-3</v>
      </c>
      <c r="M12" s="58">
        <v>1.3346064814814815E-3</v>
      </c>
      <c r="N12" s="13">
        <v>4.5254629629629632E-4</v>
      </c>
      <c r="O12" s="13">
        <v>7.1296296296296299E-4</v>
      </c>
      <c r="P12" s="13"/>
      <c r="Q12" s="13"/>
      <c r="R12" s="13"/>
      <c r="S12" s="15">
        <v>1.6435185185185183E-3</v>
      </c>
      <c r="T12" s="13">
        <v>3.8541666666666667E-4</v>
      </c>
      <c r="U12" s="13">
        <v>6.2500000000000001E-4</v>
      </c>
      <c r="V12" s="13"/>
      <c r="W12" s="13"/>
      <c r="X12" s="13"/>
      <c r="Y12" s="58">
        <v>1.5011574074074074E-3</v>
      </c>
      <c r="Z12" s="13">
        <v>4.8379629629629624E-4</v>
      </c>
      <c r="AA12" s="13">
        <v>7.4884259259259262E-4</v>
      </c>
      <c r="AB12" s="13"/>
      <c r="AC12" s="13"/>
      <c r="AD12" s="13"/>
      <c r="AE12" s="15"/>
      <c r="AF12" s="13">
        <v>4.0972222222222218E-4</v>
      </c>
      <c r="AG12" s="13">
        <v>6.7013888888888885E-4</v>
      </c>
      <c r="AH12" s="13"/>
      <c r="AI12" s="13"/>
      <c r="AJ12" s="13"/>
      <c r="AK12" s="58"/>
      <c r="AL12" s="13">
        <v>4.8263888888888895E-4</v>
      </c>
      <c r="AM12" s="13">
        <v>3.5185185185185184E-4</v>
      </c>
      <c r="AN12" s="58">
        <v>7.6620370370370373E-4</v>
      </c>
      <c r="AO12" s="13">
        <v>4.1550925925925918E-4</v>
      </c>
      <c r="AP12" s="13">
        <v>3.1134259259259261E-4</v>
      </c>
      <c r="AQ12" s="58">
        <v>6.8518518518518527E-4</v>
      </c>
      <c r="AR12" s="13">
        <v>2.8125000000000003E-4</v>
      </c>
      <c r="AS12" s="13">
        <v>4.1319444444444449E-4</v>
      </c>
      <c r="AT12" s="58">
        <v>3.692129629629629E-4</v>
      </c>
      <c r="AU12" s="13">
        <v>2.7314814814814818E-4</v>
      </c>
      <c r="AV12" s="13">
        <v>4.0625000000000009E-4</v>
      </c>
      <c r="AW12" s="13">
        <v>3.5995370370370369E-4</v>
      </c>
    </row>
    <row r="13" spans="1:49" x14ac:dyDescent="0.25">
      <c r="A13" s="2">
        <f t="shared" si="0"/>
        <v>2008</v>
      </c>
      <c r="B13" s="12">
        <v>4.0810185185185182E-4</v>
      </c>
      <c r="C13" s="12">
        <v>6.5891203703703695E-4</v>
      </c>
      <c r="D13" s="12">
        <v>8.4236111111111111E-4</v>
      </c>
      <c r="E13" s="12">
        <v>7.1712962962962963E-4</v>
      </c>
      <c r="F13" s="12">
        <v>1.7197916666666666E-3</v>
      </c>
      <c r="G13" s="14">
        <v>1.5037037037037035E-3</v>
      </c>
      <c r="H13" s="12">
        <v>3.4120370370370375E-4</v>
      </c>
      <c r="I13" s="12">
        <v>5.7280092592592593E-4</v>
      </c>
      <c r="J13" s="12">
        <v>7.2615740740740746E-4</v>
      </c>
      <c r="K13" s="12">
        <v>6.2210648148148151E-4</v>
      </c>
      <c r="L13" s="12">
        <v>1.4964120370370372E-3</v>
      </c>
      <c r="M13" s="57">
        <v>1.3346064814814815E-3</v>
      </c>
      <c r="N13" s="12">
        <v>4.5069444444444437E-4</v>
      </c>
      <c r="O13" s="12">
        <v>7.1296296296296299E-4</v>
      </c>
      <c r="P13" s="12"/>
      <c r="Q13" s="12"/>
      <c r="R13" s="12"/>
      <c r="S13" s="14">
        <v>1.5952546296296296E-3</v>
      </c>
      <c r="T13" s="12">
        <v>3.8541666666666667E-4</v>
      </c>
      <c r="U13" s="12">
        <v>6.2349537037037028E-4</v>
      </c>
      <c r="V13" s="12"/>
      <c r="W13" s="12"/>
      <c r="X13" s="12"/>
      <c r="Y13" s="57">
        <v>1.4349537037037037E-3</v>
      </c>
      <c r="Z13" s="12">
        <v>4.5069444444444437E-4</v>
      </c>
      <c r="AA13" s="12">
        <v>7.4884259259259262E-4</v>
      </c>
      <c r="AB13" s="12"/>
      <c r="AC13" s="12"/>
      <c r="AD13" s="12"/>
      <c r="AE13" s="14"/>
      <c r="AF13" s="12">
        <v>4.0659722222222226E-4</v>
      </c>
      <c r="AG13" s="12">
        <v>6.56712962962963E-4</v>
      </c>
      <c r="AH13" s="12"/>
      <c r="AI13" s="12"/>
      <c r="AJ13" s="12"/>
      <c r="AK13" s="57"/>
      <c r="AL13" s="12">
        <v>4.8263888888888895E-4</v>
      </c>
      <c r="AM13" s="12">
        <v>3.5185185185185184E-4</v>
      </c>
      <c r="AN13" s="57">
        <v>8.1539351851851836E-4</v>
      </c>
      <c r="AO13" s="12">
        <v>4.1550925925925918E-4</v>
      </c>
      <c r="AP13" s="12">
        <v>3.1134259259259261E-4</v>
      </c>
      <c r="AQ13" s="57">
        <v>7.4803240740740733E-4</v>
      </c>
      <c r="AR13" s="12">
        <v>2.8125000000000003E-4</v>
      </c>
      <c r="AS13" s="12">
        <v>4.0937499999999996E-4</v>
      </c>
      <c r="AT13" s="57">
        <v>3.692129629629629E-4</v>
      </c>
      <c r="AU13" s="12">
        <v>2.7314814814814818E-4</v>
      </c>
      <c r="AV13" s="12">
        <v>4.0625000000000009E-4</v>
      </c>
      <c r="AW13" s="12">
        <v>3.5995370370370369E-4</v>
      </c>
    </row>
    <row r="14" spans="1:49" x14ac:dyDescent="0.25">
      <c r="A14" s="2">
        <f t="shared" si="0"/>
        <v>2009</v>
      </c>
      <c r="B14" s="13">
        <v>4.0810185185185182E-4</v>
      </c>
      <c r="C14" s="13">
        <v>6.5891203703703695E-4</v>
      </c>
      <c r="D14" s="13">
        <v>8.4236111111111111E-4</v>
      </c>
      <c r="E14" s="13">
        <v>7.0150462962962961E-4</v>
      </c>
      <c r="F14" s="13">
        <v>1.7197916666666666E-3</v>
      </c>
      <c r="G14" s="15">
        <v>1.4934027777777777E-3</v>
      </c>
      <c r="H14" s="13">
        <v>3.4120370370370375E-4</v>
      </c>
      <c r="I14" s="13">
        <v>5.7199074074074075E-4</v>
      </c>
      <c r="J14" s="13">
        <v>7.1435185185185187E-4</v>
      </c>
      <c r="K14" s="13">
        <v>6.2210648148148151E-4</v>
      </c>
      <c r="L14" s="13">
        <v>1.4964120370370372E-3</v>
      </c>
      <c r="M14" s="58">
        <v>1.3346064814814815E-3</v>
      </c>
      <c r="N14" s="13">
        <v>4.4965277777777782E-4</v>
      </c>
      <c r="O14" s="13">
        <v>7.1296296296296299E-4</v>
      </c>
      <c r="P14" s="13"/>
      <c r="Q14" s="13"/>
      <c r="R14" s="13"/>
      <c r="S14" s="15">
        <v>1.5733796296296297E-3</v>
      </c>
      <c r="T14" s="13">
        <v>3.8530092592592587E-4</v>
      </c>
      <c r="U14" s="13">
        <v>6.1851851851851846E-4</v>
      </c>
      <c r="V14" s="13"/>
      <c r="W14" s="13"/>
      <c r="X14" s="13"/>
      <c r="Y14" s="58">
        <v>1.4349537037037037E-3</v>
      </c>
      <c r="Z14" s="13">
        <v>4.4965277777777782E-4</v>
      </c>
      <c r="AA14" s="13">
        <v>7.4363425925925931E-4</v>
      </c>
      <c r="AB14" s="13"/>
      <c r="AC14" s="13"/>
      <c r="AD14" s="13"/>
      <c r="AE14" s="15"/>
      <c r="AF14" s="13">
        <v>4.0659722222222226E-4</v>
      </c>
      <c r="AG14" s="13">
        <v>6.5393518518518524E-4</v>
      </c>
      <c r="AH14" s="13"/>
      <c r="AI14" s="13"/>
      <c r="AJ14" s="13"/>
      <c r="AK14" s="58"/>
      <c r="AL14" s="13">
        <v>4.8263888888888895E-4</v>
      </c>
      <c r="AM14" s="13">
        <v>3.5185185185185184E-4</v>
      </c>
      <c r="AN14" s="58">
        <v>8.1539351851851836E-4</v>
      </c>
      <c r="AO14" s="13">
        <v>4.1550925925925918E-4</v>
      </c>
      <c r="AP14" s="13">
        <v>3.1134259259259261E-4</v>
      </c>
      <c r="AQ14" s="58">
        <v>7.4803240740740733E-4</v>
      </c>
      <c r="AR14" s="13">
        <v>2.7349537037037034E-4</v>
      </c>
      <c r="AS14" s="13">
        <v>4.0937499999999996E-4</v>
      </c>
      <c r="AT14" s="58">
        <v>3.692129629629629E-4</v>
      </c>
      <c r="AU14" s="13">
        <v>2.5069444444444445E-4</v>
      </c>
      <c r="AV14" s="13">
        <v>4.0625000000000009E-4</v>
      </c>
      <c r="AW14" s="13">
        <v>3.5995370370370369E-4</v>
      </c>
    </row>
    <row r="15" spans="1:49" x14ac:dyDescent="0.25">
      <c r="A15" s="2">
        <f t="shared" si="0"/>
        <v>2010</v>
      </c>
      <c r="B15" s="12">
        <v>4.0810185185185182E-4</v>
      </c>
      <c r="C15" s="12">
        <v>6.5289351851851847E-4</v>
      </c>
      <c r="D15" s="12">
        <v>8.4236111111111111E-4</v>
      </c>
      <c r="E15" s="12">
        <v>7.0150462962962961E-4</v>
      </c>
      <c r="F15" s="12">
        <v>1.7197916666666666E-3</v>
      </c>
      <c r="G15" s="14">
        <v>1.4106481481481481E-3</v>
      </c>
      <c r="H15" s="12">
        <v>3.3495370370370368E-4</v>
      </c>
      <c r="I15" s="12">
        <v>5.597222222222222E-4</v>
      </c>
      <c r="J15" s="12">
        <v>6.9189814814814819E-4</v>
      </c>
      <c r="K15" s="12">
        <v>6.2210648148148151E-4</v>
      </c>
      <c r="L15" s="12">
        <v>1.4964120370370372E-3</v>
      </c>
      <c r="M15" s="57">
        <v>1.3306712962962966E-3</v>
      </c>
      <c r="N15" s="12">
        <v>4.3553240740740748E-4</v>
      </c>
      <c r="O15" s="12">
        <v>7.1296296296296299E-4</v>
      </c>
      <c r="P15" s="12"/>
      <c r="Q15" s="12"/>
      <c r="R15" s="12"/>
      <c r="S15" s="14">
        <v>1.5733796296296297E-3</v>
      </c>
      <c r="T15" s="12">
        <v>3.7129629629629627E-4</v>
      </c>
      <c r="U15" s="12">
        <v>6.1851851851851846E-4</v>
      </c>
      <c r="V15" s="12"/>
      <c r="W15" s="12"/>
      <c r="X15" s="12"/>
      <c r="Y15" s="57">
        <v>1.4349537037037037E-3</v>
      </c>
      <c r="Z15" s="12">
        <v>4.4965277777777782E-4</v>
      </c>
      <c r="AA15" s="12">
        <v>7.4363425925925931E-4</v>
      </c>
      <c r="AB15" s="12"/>
      <c r="AC15" s="12"/>
      <c r="AD15" s="12"/>
      <c r="AE15" s="14"/>
      <c r="AF15" s="12">
        <v>4.0659722222222226E-4</v>
      </c>
      <c r="AG15" s="12">
        <v>6.5393518518518524E-4</v>
      </c>
      <c r="AH15" s="12"/>
      <c r="AI15" s="12"/>
      <c r="AJ15" s="12"/>
      <c r="AK15" s="57"/>
      <c r="AL15" s="12">
        <v>4.8263888888888895E-4</v>
      </c>
      <c r="AM15" s="12">
        <v>3.4791666666666668E-4</v>
      </c>
      <c r="AN15" s="57">
        <v>8.1539351851851836E-4</v>
      </c>
      <c r="AO15" s="12">
        <v>4.1550925925925918E-4</v>
      </c>
      <c r="AP15" s="12">
        <v>3.1099537037037039E-4</v>
      </c>
      <c r="AQ15" s="57">
        <v>7.1458333333333324E-4</v>
      </c>
      <c r="AR15" s="12">
        <v>2.7349537037037034E-4</v>
      </c>
      <c r="AS15" s="12">
        <v>4.0937499999999996E-4</v>
      </c>
      <c r="AT15" s="57">
        <v>3.692129629629629E-4</v>
      </c>
      <c r="AU15" s="12">
        <v>2.5069444444444445E-4</v>
      </c>
      <c r="AV15" s="12">
        <v>4.0625000000000009E-4</v>
      </c>
      <c r="AW15" s="12">
        <v>3.5995370370370369E-4</v>
      </c>
    </row>
    <row r="16" spans="1:49" x14ac:dyDescent="0.25">
      <c r="A16" s="2">
        <f t="shared" si="0"/>
        <v>2011</v>
      </c>
      <c r="B16" s="13">
        <v>4.0810185185185182E-4</v>
      </c>
      <c r="C16" s="13">
        <v>6.5289351851851847E-4</v>
      </c>
      <c r="D16" s="13">
        <v>8.4178240740740741E-4</v>
      </c>
      <c r="E16" s="13">
        <v>7.0150462962962961E-4</v>
      </c>
      <c r="F16" s="13">
        <v>1.7197916666666666E-3</v>
      </c>
      <c r="G16" s="15">
        <v>1.4106481481481481E-3</v>
      </c>
      <c r="H16" s="13">
        <v>3.3495370370370368E-4</v>
      </c>
      <c r="I16" s="13">
        <v>5.597222222222222E-4</v>
      </c>
      <c r="J16" s="13">
        <v>6.9189814814814819E-4</v>
      </c>
      <c r="K16" s="13">
        <v>6.2210648148148151E-4</v>
      </c>
      <c r="L16" s="13">
        <v>1.4964120370370372E-3</v>
      </c>
      <c r="M16" s="58">
        <v>1.3306712962962966E-3</v>
      </c>
      <c r="N16" s="13">
        <v>4.0810185185185182E-4</v>
      </c>
      <c r="O16" s="13">
        <v>6.5289351851851847E-4</v>
      </c>
      <c r="P16" s="13">
        <v>8.4178240740740741E-4</v>
      </c>
      <c r="Q16" s="13">
        <v>7.0150462962962961E-4</v>
      </c>
      <c r="R16" s="13">
        <v>1.7197916666666666E-3</v>
      </c>
      <c r="S16" s="15">
        <v>1.4106481481481481E-3</v>
      </c>
      <c r="T16" s="13">
        <v>3.3495370370370368E-4</v>
      </c>
      <c r="U16" s="13">
        <v>5.597222222222222E-4</v>
      </c>
      <c r="V16" s="13">
        <v>6.9189814814814819E-4</v>
      </c>
      <c r="W16" s="13">
        <v>6.2210648148148151E-4</v>
      </c>
      <c r="X16" s="13">
        <v>1.4964120370370372E-3</v>
      </c>
      <c r="Y16" s="58">
        <v>1.3306712962962966E-3</v>
      </c>
      <c r="Z16" s="13">
        <v>4.4965277777777782E-4</v>
      </c>
      <c r="AA16" s="13">
        <v>7.4363425925925931E-4</v>
      </c>
      <c r="AB16" s="13"/>
      <c r="AC16" s="13"/>
      <c r="AD16" s="13"/>
      <c r="AE16" s="15"/>
      <c r="AF16" s="13">
        <v>3.8599537037037037E-4</v>
      </c>
      <c r="AG16" s="13">
        <v>6.4583333333333322E-4</v>
      </c>
      <c r="AH16" s="13"/>
      <c r="AI16" s="13"/>
      <c r="AJ16" s="13"/>
      <c r="AK16" s="58"/>
      <c r="AL16" s="13">
        <v>4.8263888888888895E-4</v>
      </c>
      <c r="AM16" s="13">
        <v>3.4618055555555552E-4</v>
      </c>
      <c r="AN16" s="58">
        <v>8.1539351851851836E-4</v>
      </c>
      <c r="AO16" s="13">
        <v>4.1550925925925918E-4</v>
      </c>
      <c r="AP16" s="13">
        <v>3.0451388888888889E-4</v>
      </c>
      <c r="AQ16" s="58">
        <v>7.1458333333333324E-4</v>
      </c>
      <c r="AR16" s="13">
        <v>2.7349537037037034E-4</v>
      </c>
      <c r="AS16" s="13">
        <v>4.0937499999999996E-4</v>
      </c>
      <c r="AT16" s="58">
        <v>3.692129629629629E-4</v>
      </c>
      <c r="AU16" s="13">
        <v>2.5069444444444445E-4</v>
      </c>
      <c r="AV16" s="13">
        <v>4.0625000000000009E-4</v>
      </c>
      <c r="AW16" s="13">
        <v>3.5324074074074077E-4</v>
      </c>
    </row>
    <row r="17" spans="1:49" x14ac:dyDescent="0.25">
      <c r="A17" s="2">
        <f t="shared" si="0"/>
        <v>2012</v>
      </c>
      <c r="B17" s="12">
        <v>4.0810185185185182E-4</v>
      </c>
      <c r="C17" s="12">
        <v>6.5254629629629636E-4</v>
      </c>
      <c r="D17" s="12">
        <v>8.4027777777777779E-4</v>
      </c>
      <c r="E17" s="12">
        <v>7.0011574074074073E-4</v>
      </c>
      <c r="F17" s="12">
        <v>1.6951388888888886E-3</v>
      </c>
      <c r="G17" s="14">
        <v>1.4106481481481481E-3</v>
      </c>
      <c r="H17" s="12">
        <v>3.3495370370370368E-4</v>
      </c>
      <c r="I17" s="12">
        <v>5.5416666666666667E-4</v>
      </c>
      <c r="J17" s="12">
        <v>6.9189814814814819E-4</v>
      </c>
      <c r="K17" s="12">
        <v>6.1273148148148146E-4</v>
      </c>
      <c r="L17" s="12">
        <v>1.4798611111111113E-3</v>
      </c>
      <c r="M17" s="57">
        <v>1.3306712962962966E-3</v>
      </c>
      <c r="N17" s="12">
        <v>4.0810185185185182E-4</v>
      </c>
      <c r="O17" s="12">
        <v>6.5254629629629636E-4</v>
      </c>
      <c r="P17" s="12">
        <v>8.4027777777777779E-4</v>
      </c>
      <c r="Q17" s="12">
        <v>7.0011574074074073E-4</v>
      </c>
      <c r="R17" s="12">
        <v>1.6951388888888886E-3</v>
      </c>
      <c r="S17" s="14">
        <v>1.4106481481481481E-3</v>
      </c>
      <c r="T17" s="12">
        <v>3.3495370370370368E-4</v>
      </c>
      <c r="U17" s="12">
        <v>5.5416666666666667E-4</v>
      </c>
      <c r="V17" s="12">
        <v>6.9189814814814819E-4</v>
      </c>
      <c r="W17" s="12">
        <v>6.1273148148148146E-4</v>
      </c>
      <c r="X17" s="12">
        <v>1.4798611111111113E-3</v>
      </c>
      <c r="Y17" s="57">
        <v>1.3306712962962966E-3</v>
      </c>
      <c r="Z17" s="12">
        <v>4.4965277777777782E-4</v>
      </c>
      <c r="AA17" s="12">
        <v>7.3738425925925924E-4</v>
      </c>
      <c r="AB17" s="12"/>
      <c r="AC17" s="12"/>
      <c r="AD17" s="12"/>
      <c r="AE17" s="14"/>
      <c r="AF17" s="12">
        <v>3.8599537037037037E-4</v>
      </c>
      <c r="AG17" s="12">
        <v>6.2997685185185183E-4</v>
      </c>
      <c r="AH17" s="12"/>
      <c r="AI17" s="12"/>
      <c r="AJ17" s="12"/>
      <c r="AK17" s="57"/>
      <c r="AL17" s="12">
        <v>4.8263888888888895E-4</v>
      </c>
      <c r="AM17" s="12">
        <v>3.4618055555555552E-4</v>
      </c>
      <c r="AN17" s="57">
        <v>8.1539351851851836E-4</v>
      </c>
      <c r="AO17" s="12">
        <v>4.1550925925925918E-4</v>
      </c>
      <c r="AP17" s="12">
        <v>3.0451388888888889E-4</v>
      </c>
      <c r="AQ17" s="57">
        <v>7.1458333333333324E-4</v>
      </c>
      <c r="AR17" s="12">
        <v>2.7349537037037034E-4</v>
      </c>
      <c r="AS17" s="12">
        <v>4.0937499999999996E-4</v>
      </c>
      <c r="AT17" s="57">
        <v>3.692129629629629E-4</v>
      </c>
      <c r="AU17" s="12">
        <v>2.5069444444444445E-4</v>
      </c>
      <c r="AV17" s="12">
        <v>4.0625000000000009E-4</v>
      </c>
      <c r="AW17" s="12">
        <v>3.5324074074074077E-4</v>
      </c>
    </row>
    <row r="18" spans="1:49" x14ac:dyDescent="0.25">
      <c r="A18" s="2">
        <f t="shared" si="0"/>
        <v>2013</v>
      </c>
      <c r="B18" s="13">
        <v>4.0810185185185182E-4</v>
      </c>
      <c r="C18" s="13">
        <v>6.5254629629629636E-4</v>
      </c>
      <c r="D18" s="13">
        <v>8.244212962962963E-4</v>
      </c>
      <c r="E18" s="13">
        <v>7.0011574074074073E-4</v>
      </c>
      <c r="F18" s="13">
        <v>1.6730324074074076E-3</v>
      </c>
      <c r="G18" s="15">
        <v>1.4106481481481481E-3</v>
      </c>
      <c r="H18" s="13">
        <v>3.3495370370370368E-4</v>
      </c>
      <c r="I18" s="13">
        <v>5.3749999999999989E-4</v>
      </c>
      <c r="J18" s="13">
        <v>6.9189814814814819E-4</v>
      </c>
      <c r="K18" s="13">
        <v>5.9444444444444443E-4</v>
      </c>
      <c r="L18" s="13">
        <v>1.4798611111111113E-3</v>
      </c>
      <c r="M18" s="58">
        <v>1.312962962962963E-3</v>
      </c>
      <c r="N18" s="13">
        <v>4.0810185185185182E-4</v>
      </c>
      <c r="O18" s="13">
        <v>6.5254629629629636E-4</v>
      </c>
      <c r="P18" s="13">
        <v>8.244212962962963E-4</v>
      </c>
      <c r="Q18" s="13">
        <v>7.0011574074074073E-4</v>
      </c>
      <c r="R18" s="13">
        <v>1.6730324074074076E-3</v>
      </c>
      <c r="S18" s="15">
        <v>1.4106481481481481E-3</v>
      </c>
      <c r="T18" s="13">
        <v>3.3495370370370368E-4</v>
      </c>
      <c r="U18" s="13">
        <v>5.3749999999999989E-4</v>
      </c>
      <c r="V18" s="13">
        <v>6.9189814814814819E-4</v>
      </c>
      <c r="W18" s="13">
        <v>5.9444444444444443E-4</v>
      </c>
      <c r="X18" s="13">
        <v>1.4798611111111113E-3</v>
      </c>
      <c r="Y18" s="58">
        <v>1.312962962962963E-3</v>
      </c>
      <c r="Z18" s="13">
        <v>4.4965277777777782E-4</v>
      </c>
      <c r="AA18" s="13">
        <v>7.3738425925925924E-4</v>
      </c>
      <c r="AB18" s="13"/>
      <c r="AC18" s="13"/>
      <c r="AD18" s="13"/>
      <c r="AE18" s="15"/>
      <c r="AF18" s="13">
        <v>3.7962962962962956E-4</v>
      </c>
      <c r="AG18" s="13">
        <v>6.2997685185185183E-4</v>
      </c>
      <c r="AH18" s="13"/>
      <c r="AI18" s="13"/>
      <c r="AJ18" s="13"/>
      <c r="AK18" s="58"/>
      <c r="AL18" s="13">
        <v>4.8263888888888895E-4</v>
      </c>
      <c r="AM18" s="13">
        <v>3.4618055555555552E-4</v>
      </c>
      <c r="AN18" s="58">
        <v>8.1539351851851836E-4</v>
      </c>
      <c r="AO18" s="13">
        <v>4.1550925925925918E-4</v>
      </c>
      <c r="AP18" s="13">
        <v>3.0451388888888889E-4</v>
      </c>
      <c r="AQ18" s="58">
        <v>7.1458333333333324E-4</v>
      </c>
      <c r="AR18" s="13">
        <v>2.7349537037037034E-4</v>
      </c>
      <c r="AS18" s="13">
        <v>4.0937499999999996E-4</v>
      </c>
      <c r="AT18" s="58">
        <v>3.692129629629629E-4</v>
      </c>
      <c r="AU18" s="13">
        <v>2.5069444444444445E-4</v>
      </c>
      <c r="AV18" s="13">
        <v>4.0625000000000009E-4</v>
      </c>
      <c r="AW18" s="13">
        <v>3.5324074074074077E-4</v>
      </c>
    </row>
    <row r="19" spans="1:49" x14ac:dyDescent="0.25">
      <c r="A19" s="2">
        <f t="shared" si="0"/>
        <v>2014</v>
      </c>
      <c r="B19" s="12">
        <v>4.0208333333333334E-4</v>
      </c>
      <c r="C19" s="12">
        <v>6.4490740740740741E-4</v>
      </c>
      <c r="D19" s="12">
        <v>8.0543981481481482E-4</v>
      </c>
      <c r="E19" s="12">
        <v>6.9074074074074079E-4</v>
      </c>
      <c r="F19" s="12">
        <v>1.6730324074074076E-3</v>
      </c>
      <c r="G19" s="14">
        <v>1.4106481481481481E-3</v>
      </c>
      <c r="H19" s="12">
        <v>3.3495370370370368E-4</v>
      </c>
      <c r="I19" s="12">
        <v>5.322916666666667E-4</v>
      </c>
      <c r="J19" s="12">
        <v>6.9189814814814819E-4</v>
      </c>
      <c r="K19" s="12">
        <v>5.84837962962963E-4</v>
      </c>
      <c r="L19" s="12">
        <v>1.4621527777777777E-3</v>
      </c>
      <c r="M19" s="57">
        <v>1.312962962962963E-3</v>
      </c>
      <c r="N19" s="12">
        <v>4.0208333333333334E-4</v>
      </c>
      <c r="O19" s="12">
        <v>6.4490740740740741E-4</v>
      </c>
      <c r="P19" s="12">
        <v>8.0543981481481482E-4</v>
      </c>
      <c r="Q19" s="12">
        <v>6.9074074074074079E-4</v>
      </c>
      <c r="R19" s="12">
        <v>1.6730324074074076E-3</v>
      </c>
      <c r="S19" s="14">
        <v>1.4106481481481481E-3</v>
      </c>
      <c r="T19" s="12">
        <v>3.3495370370370368E-4</v>
      </c>
      <c r="U19" s="12">
        <v>5.322916666666667E-4</v>
      </c>
      <c r="V19" s="12">
        <v>6.9189814814814819E-4</v>
      </c>
      <c r="W19" s="12">
        <v>5.84837962962963E-4</v>
      </c>
      <c r="X19" s="12">
        <v>1.4621527777777777E-3</v>
      </c>
      <c r="Y19" s="57">
        <v>1.312962962962963E-3</v>
      </c>
      <c r="Z19" s="12">
        <v>4.4062499999999999E-4</v>
      </c>
      <c r="AA19" s="12">
        <v>7.3472222222222222E-4</v>
      </c>
      <c r="AB19" s="12"/>
      <c r="AC19" s="12"/>
      <c r="AD19" s="12"/>
      <c r="AE19" s="14"/>
      <c r="AF19" s="12">
        <v>3.7962962962962956E-4</v>
      </c>
      <c r="AG19" s="12">
        <v>6.2997685185185183E-4</v>
      </c>
      <c r="AH19" s="12"/>
      <c r="AI19" s="12"/>
      <c r="AJ19" s="12"/>
      <c r="AK19" s="57"/>
      <c r="AL19" s="12">
        <v>4.8263888888888895E-4</v>
      </c>
      <c r="AM19" s="12">
        <v>3.4618055555555552E-4</v>
      </c>
      <c r="AN19" s="57">
        <v>8.0983796296296305E-4</v>
      </c>
      <c r="AO19" s="12">
        <v>4.1550925925925918E-4</v>
      </c>
      <c r="AP19" s="12">
        <v>3.0451388888888889E-4</v>
      </c>
      <c r="AQ19" s="57">
        <v>7.1458333333333324E-4</v>
      </c>
      <c r="AR19" s="12">
        <v>2.7349537037037034E-4</v>
      </c>
      <c r="AS19" s="12">
        <v>4.0937499999999996E-4</v>
      </c>
      <c r="AT19" s="57">
        <v>3.692129629629629E-4</v>
      </c>
      <c r="AU19" s="12">
        <v>2.5069444444444445E-4</v>
      </c>
      <c r="AV19" s="12">
        <v>4.0393518518518518E-4</v>
      </c>
      <c r="AW19" s="12">
        <v>3.5324074074074077E-4</v>
      </c>
    </row>
    <row r="20" spans="1:49" x14ac:dyDescent="0.25">
      <c r="A20" s="2">
        <f t="shared" si="0"/>
        <v>2015</v>
      </c>
      <c r="B20" s="13">
        <v>4.0208333333333334E-4</v>
      </c>
      <c r="C20" s="13">
        <v>5.9768518518518515E-4</v>
      </c>
      <c r="D20" s="13">
        <v>8.0069444444444448E-4</v>
      </c>
      <c r="E20" s="13">
        <v>6.7164351851851857E-4</v>
      </c>
      <c r="F20" s="13">
        <v>1.6690972222222222E-3</v>
      </c>
      <c r="G20" s="15">
        <v>1.4106481481481481E-3</v>
      </c>
      <c r="H20" s="13">
        <v>3.2696759259259262E-4</v>
      </c>
      <c r="I20" s="13">
        <v>5.2256944444444443E-4</v>
      </c>
      <c r="J20" s="13">
        <v>6.9189814814814819E-4</v>
      </c>
      <c r="K20" s="13">
        <v>5.8287037037037042E-4</v>
      </c>
      <c r="L20" s="13">
        <v>1.454398148148148E-3</v>
      </c>
      <c r="M20" s="58">
        <v>1.3116898148148148E-3</v>
      </c>
      <c r="N20" s="13">
        <v>4.0208333333333334E-4</v>
      </c>
      <c r="O20" s="13">
        <v>5.9768518518518515E-4</v>
      </c>
      <c r="P20" s="13">
        <v>8.0069444444444448E-4</v>
      </c>
      <c r="Q20" s="13">
        <v>6.7164351851851857E-4</v>
      </c>
      <c r="R20" s="13">
        <v>1.6690972222222222E-3</v>
      </c>
      <c r="S20" s="15">
        <v>1.4106481481481481E-3</v>
      </c>
      <c r="T20" s="13">
        <v>3.2696759259259262E-4</v>
      </c>
      <c r="U20" s="13">
        <v>5.2256944444444443E-4</v>
      </c>
      <c r="V20" s="13">
        <v>6.9189814814814819E-4</v>
      </c>
      <c r="W20" s="13">
        <v>5.8287037037037042E-4</v>
      </c>
      <c r="X20" s="13">
        <v>1.454398148148148E-3</v>
      </c>
      <c r="Y20" s="58">
        <v>1.3116898148148148E-3</v>
      </c>
      <c r="Z20" s="13">
        <v>4.4062499999999999E-4</v>
      </c>
      <c r="AA20" s="13">
        <v>7.2534722222222228E-4</v>
      </c>
      <c r="AB20" s="13"/>
      <c r="AC20" s="13"/>
      <c r="AD20" s="13"/>
      <c r="AE20" s="15"/>
      <c r="AF20" s="13">
        <v>3.7962962962962956E-4</v>
      </c>
      <c r="AG20" s="13">
        <v>5.929398148148148E-4</v>
      </c>
      <c r="AH20" s="13"/>
      <c r="AI20" s="13"/>
      <c r="AJ20" s="13"/>
      <c r="AK20" s="58"/>
      <c r="AL20" s="13">
        <v>4.8263888888888895E-4</v>
      </c>
      <c r="AM20" s="13">
        <v>3.4618055555555552E-4</v>
      </c>
      <c r="AN20" s="58">
        <v>8.0983796296296305E-4</v>
      </c>
      <c r="AO20" s="13">
        <v>4.1550925925925918E-4</v>
      </c>
      <c r="AP20" s="13">
        <v>3.0451388888888889E-4</v>
      </c>
      <c r="AQ20" s="58">
        <v>7.1458333333333324E-4</v>
      </c>
      <c r="AR20" s="13">
        <v>2.6273148148148146E-4</v>
      </c>
      <c r="AS20" s="13">
        <v>3.9652777777777776E-4</v>
      </c>
      <c r="AT20" s="58">
        <v>3.692129629629629E-4</v>
      </c>
      <c r="AU20" s="13">
        <v>2.5069444444444445E-4</v>
      </c>
      <c r="AV20" s="13">
        <v>4.0393518518518518E-4</v>
      </c>
      <c r="AW20" s="13">
        <v>3.5324074074074077E-4</v>
      </c>
    </row>
    <row r="21" spans="1:49" x14ac:dyDescent="0.25">
      <c r="A21" s="2">
        <f t="shared" si="0"/>
        <v>2016</v>
      </c>
      <c r="B21" s="12">
        <v>3.9664351851851856E-4</v>
      </c>
      <c r="C21" s="12">
        <v>5.9768518518518515E-4</v>
      </c>
      <c r="D21" s="12">
        <v>8.0069444444444448E-4</v>
      </c>
      <c r="E21" s="12">
        <v>6.7164351851851857E-4</v>
      </c>
      <c r="F21" s="12">
        <v>1.6690972222222222E-3</v>
      </c>
      <c r="G21" s="14">
        <v>1.4106481481481481E-3</v>
      </c>
      <c r="H21" s="12">
        <v>3.2696759259259262E-4</v>
      </c>
      <c r="I21" s="12">
        <v>5.2256944444444443E-4</v>
      </c>
      <c r="J21" s="12">
        <v>6.9189814814814819E-4</v>
      </c>
      <c r="K21" s="12">
        <v>5.8287037037037042E-4</v>
      </c>
      <c r="L21" s="12">
        <v>1.454398148148148E-3</v>
      </c>
      <c r="M21" s="57">
        <v>1.3116898148148148E-3</v>
      </c>
      <c r="N21" s="12">
        <v>3.9664351851851856E-4</v>
      </c>
      <c r="O21" s="12">
        <v>5.9768518518518515E-4</v>
      </c>
      <c r="P21" s="12">
        <v>8.0069444444444448E-4</v>
      </c>
      <c r="Q21" s="12">
        <v>6.7164351851851857E-4</v>
      </c>
      <c r="R21" s="12">
        <v>1.6690972222222222E-3</v>
      </c>
      <c r="S21" s="14">
        <v>1.4106481481481481E-3</v>
      </c>
      <c r="T21" s="12">
        <v>3.2696759259259262E-4</v>
      </c>
      <c r="U21" s="12">
        <v>5.2256944444444443E-4</v>
      </c>
      <c r="V21" s="12">
        <v>6.9189814814814819E-4</v>
      </c>
      <c r="W21" s="12">
        <v>5.8287037037037042E-4</v>
      </c>
      <c r="X21" s="12">
        <v>1.454398148148148E-3</v>
      </c>
      <c r="Y21" s="57">
        <v>1.3116898148148148E-3</v>
      </c>
      <c r="Z21" s="12">
        <v>4.4062499999999999E-4</v>
      </c>
      <c r="AA21" s="12">
        <v>6.9236111111111104E-4</v>
      </c>
      <c r="AB21" s="12"/>
      <c r="AC21" s="12"/>
      <c r="AD21" s="12"/>
      <c r="AE21" s="14"/>
      <c r="AF21" s="12">
        <v>3.7962962962962956E-4</v>
      </c>
      <c r="AG21" s="12">
        <v>5.7118055555555557E-4</v>
      </c>
      <c r="AH21" s="12"/>
      <c r="AI21" s="12"/>
      <c r="AJ21" s="12"/>
      <c r="AK21" s="57"/>
      <c r="AL21" s="12">
        <v>4.650462962962963E-4</v>
      </c>
      <c r="AM21" s="12">
        <v>3.3877314814814816E-4</v>
      </c>
      <c r="AN21" s="57">
        <v>7.9398148148148145E-4</v>
      </c>
      <c r="AO21" s="12">
        <v>4.1550925925925918E-4</v>
      </c>
      <c r="AP21" s="12">
        <v>3.0254629629629631E-4</v>
      </c>
      <c r="AQ21" s="57">
        <v>7.1458333333333324E-4</v>
      </c>
      <c r="AR21" s="12">
        <v>2.6273148148148146E-4</v>
      </c>
      <c r="AS21" s="12">
        <v>3.7835648148148147E-4</v>
      </c>
      <c r="AT21" s="57">
        <v>3.5914351851851857E-4</v>
      </c>
      <c r="AU21" s="12">
        <v>2.5069444444444445E-4</v>
      </c>
      <c r="AV21" s="12">
        <v>3.9525462962962957E-4</v>
      </c>
      <c r="AW21" s="12">
        <v>3.5324074074074077E-4</v>
      </c>
    </row>
    <row r="22" spans="1:49" x14ac:dyDescent="0.25">
      <c r="A22" s="2">
        <f t="shared" si="0"/>
        <v>2017</v>
      </c>
      <c r="B22" s="13">
        <v>3.7951388888888887E-4</v>
      </c>
      <c r="C22" s="13">
        <v>5.9768518518518515E-4</v>
      </c>
      <c r="D22" s="13">
        <v>7.969907407407408E-4</v>
      </c>
      <c r="E22" s="13">
        <v>6.7060185185185191E-4</v>
      </c>
      <c r="F22" s="13">
        <v>1.6438657407407409E-3</v>
      </c>
      <c r="G22" s="15">
        <v>1.4106481481481481E-3</v>
      </c>
      <c r="H22" s="13">
        <v>3.2476851851851845E-4</v>
      </c>
      <c r="I22" s="13">
        <v>5.2256944444444443E-4</v>
      </c>
      <c r="J22" s="13">
        <v>6.8726851851851848E-4</v>
      </c>
      <c r="K22" s="13">
        <v>5.7719907407407405E-4</v>
      </c>
      <c r="L22" s="13">
        <v>1.4452546296296297E-3</v>
      </c>
      <c r="M22" s="58">
        <v>1.3116898148148148E-3</v>
      </c>
      <c r="N22" s="13">
        <v>3.7951388888888887E-4</v>
      </c>
      <c r="O22" s="13">
        <v>5.9768518518518515E-4</v>
      </c>
      <c r="P22" s="13">
        <v>7.969907407407408E-4</v>
      </c>
      <c r="Q22" s="13">
        <v>6.7060185185185191E-4</v>
      </c>
      <c r="R22" s="13">
        <v>1.6438657407407409E-3</v>
      </c>
      <c r="S22" s="15">
        <v>1.4106481481481481E-3</v>
      </c>
      <c r="T22" s="13">
        <v>3.2476851851851845E-4</v>
      </c>
      <c r="U22" s="13">
        <v>5.2256944444444443E-4</v>
      </c>
      <c r="V22" s="13">
        <v>6.8726851851851848E-4</v>
      </c>
      <c r="W22" s="13">
        <v>5.7719907407407405E-4</v>
      </c>
      <c r="X22" s="13">
        <v>1.4452546296296297E-3</v>
      </c>
      <c r="Y22" s="58">
        <v>1.3116898148148148E-3</v>
      </c>
      <c r="Z22" s="13">
        <v>4.4062499999999999E-4</v>
      </c>
      <c r="AA22" s="13">
        <v>6.9236111111111104E-4</v>
      </c>
      <c r="AB22" s="13"/>
      <c r="AC22" s="13"/>
      <c r="AD22" s="13"/>
      <c r="AE22" s="15"/>
      <c r="AF22" s="13">
        <v>3.7962962962962956E-4</v>
      </c>
      <c r="AG22" s="13">
        <v>5.7118055555555557E-4</v>
      </c>
      <c r="AH22" s="13"/>
      <c r="AI22" s="13"/>
      <c r="AJ22" s="13"/>
      <c r="AK22" s="58"/>
      <c r="AL22" s="13">
        <v>4.6342592592592594E-4</v>
      </c>
      <c r="AM22" s="13">
        <v>3.184027777777778E-4</v>
      </c>
      <c r="AN22" s="58">
        <v>7.6979166666666678E-4</v>
      </c>
      <c r="AO22" s="13">
        <v>4.1550925925925918E-4</v>
      </c>
      <c r="AP22" s="13">
        <v>2.9907407407407405E-4</v>
      </c>
      <c r="AQ22" s="58">
        <v>7.086805555555556E-4</v>
      </c>
      <c r="AR22" s="13">
        <v>2.6273148148148146E-4</v>
      </c>
      <c r="AS22" s="13">
        <v>3.7835648148148147E-4</v>
      </c>
      <c r="AT22" s="58">
        <v>3.5914351851851857E-4</v>
      </c>
      <c r="AU22" s="13">
        <v>2.4675925925925923E-4</v>
      </c>
      <c r="AV22" s="13">
        <v>3.9525462962962957E-4</v>
      </c>
      <c r="AW22" s="13">
        <v>3.4745370370370372E-4</v>
      </c>
    </row>
    <row r="23" spans="1:49" x14ac:dyDescent="0.25">
      <c r="A23" s="2">
        <f t="shared" si="0"/>
        <v>2018</v>
      </c>
      <c r="B23" s="12">
        <v>3.7951388888888887E-4</v>
      </c>
      <c r="C23" s="12">
        <v>5.9768518518518515E-4</v>
      </c>
      <c r="D23" s="12">
        <v>7.969907407407408E-4</v>
      </c>
      <c r="E23" s="12">
        <v>6.6180555555555556E-4</v>
      </c>
      <c r="F23" s="12">
        <v>1.6403935185185185E-3</v>
      </c>
      <c r="G23" s="14">
        <v>1.4106481481481481E-3</v>
      </c>
      <c r="H23" s="12">
        <v>3.1562499999999999E-4</v>
      </c>
      <c r="I23" s="12">
        <v>5.2187500000000009E-4</v>
      </c>
      <c r="J23" s="12">
        <v>6.8078703703703704E-4</v>
      </c>
      <c r="K23" s="12">
        <v>5.6736111111111115E-4</v>
      </c>
      <c r="L23" s="12">
        <v>1.4390046296296295E-3</v>
      </c>
      <c r="M23" s="57">
        <v>1.3116898148148148E-3</v>
      </c>
      <c r="N23" s="12">
        <v>3.7951388888888887E-4</v>
      </c>
      <c r="O23" s="12">
        <v>5.9768518518518515E-4</v>
      </c>
      <c r="P23" s="12">
        <v>7.969907407407408E-4</v>
      </c>
      <c r="Q23" s="12">
        <v>6.6180555555555556E-4</v>
      </c>
      <c r="R23" s="12">
        <v>1.6403935185185185E-3</v>
      </c>
      <c r="S23" s="14">
        <v>1.4106481481481481E-3</v>
      </c>
      <c r="T23" s="12">
        <v>3.1562499999999999E-4</v>
      </c>
      <c r="U23" s="12">
        <v>5.2187500000000009E-4</v>
      </c>
      <c r="V23" s="12">
        <v>6.8078703703703704E-4</v>
      </c>
      <c r="W23" s="12">
        <v>5.6736111111111115E-4</v>
      </c>
      <c r="X23" s="12">
        <v>1.4390046296296295E-3</v>
      </c>
      <c r="Y23" s="57">
        <v>1.3116898148148148E-3</v>
      </c>
      <c r="Z23" s="12">
        <v>4.4062499999999999E-4</v>
      </c>
      <c r="AA23" s="12">
        <v>6.899305555555555E-4</v>
      </c>
      <c r="AB23" s="12"/>
      <c r="AC23" s="12"/>
      <c r="AD23" s="12"/>
      <c r="AE23" s="14"/>
      <c r="AF23" s="12">
        <v>3.7962962962962956E-4</v>
      </c>
      <c r="AG23" s="12">
        <v>5.7118055555555557E-4</v>
      </c>
      <c r="AH23" s="12"/>
      <c r="AI23" s="12"/>
      <c r="AJ23" s="12"/>
      <c r="AK23" s="57"/>
      <c r="AL23" s="12">
        <v>4.5081018518518517E-4</v>
      </c>
      <c r="AM23" s="12">
        <v>3.1018518518518521E-4</v>
      </c>
      <c r="AN23" s="57">
        <v>7.4722222222222236E-4</v>
      </c>
      <c r="AO23" s="12">
        <v>4.1550925925925918E-4</v>
      </c>
      <c r="AP23" s="12">
        <v>2.921296296296296E-4</v>
      </c>
      <c r="AQ23" s="57">
        <v>7.086805555555556E-4</v>
      </c>
      <c r="AR23" s="12">
        <v>2.6273148148148146E-4</v>
      </c>
      <c r="AS23" s="12">
        <v>3.7835648148148147E-4</v>
      </c>
      <c r="AT23" s="57">
        <v>3.5914351851851857E-4</v>
      </c>
      <c r="AU23" s="12">
        <v>2.4675925925925923E-4</v>
      </c>
      <c r="AV23" s="12">
        <v>3.9525462962962957E-4</v>
      </c>
      <c r="AW23" s="12">
        <v>3.4745370370370372E-4</v>
      </c>
    </row>
    <row r="24" spans="1:49" x14ac:dyDescent="0.25">
      <c r="A24" s="2">
        <f t="shared" si="0"/>
        <v>2019</v>
      </c>
      <c r="B24" s="13">
        <v>3.7951388888888887E-4</v>
      </c>
      <c r="C24" s="13">
        <v>5.877314814814815E-4</v>
      </c>
      <c r="D24" s="13">
        <v>7.969907407407408E-4</v>
      </c>
      <c r="E24" s="13">
        <v>6.6030092592592583E-4</v>
      </c>
      <c r="F24" s="13">
        <v>1.6403935185185185E-3</v>
      </c>
      <c r="G24" s="15">
        <v>1.4106481481481481E-3</v>
      </c>
      <c r="H24" s="13">
        <v>3.1562499999999999E-4</v>
      </c>
      <c r="I24" s="13">
        <v>5.1168981481481475E-4</v>
      </c>
      <c r="J24" s="13">
        <v>6.8078703703703704E-4</v>
      </c>
      <c r="K24" s="13">
        <v>5.6736111111111115E-4</v>
      </c>
      <c r="L24" s="13">
        <v>1.4390046296296295E-3</v>
      </c>
      <c r="M24" s="58">
        <v>1.3116898148148148E-3</v>
      </c>
      <c r="N24" s="13">
        <v>3.7951388888888887E-4</v>
      </c>
      <c r="O24" s="13">
        <v>5.877314814814815E-4</v>
      </c>
      <c r="P24" s="13">
        <v>7.969907407407408E-4</v>
      </c>
      <c r="Q24" s="13">
        <v>6.6030092592592583E-4</v>
      </c>
      <c r="R24" s="13">
        <v>1.6403935185185185E-3</v>
      </c>
      <c r="S24" s="15">
        <v>1.4106481481481481E-3</v>
      </c>
      <c r="T24" s="13">
        <v>3.1562499999999999E-4</v>
      </c>
      <c r="U24" s="13">
        <v>5.1168981481481475E-4</v>
      </c>
      <c r="V24" s="13">
        <v>6.8078703703703704E-4</v>
      </c>
      <c r="W24" s="13">
        <v>5.6736111111111115E-4</v>
      </c>
      <c r="X24" s="13">
        <v>1.4390046296296295E-3</v>
      </c>
      <c r="Y24" s="58">
        <v>1.3116898148148148E-3</v>
      </c>
      <c r="Z24" s="13">
        <v>4.2777777777777779E-4</v>
      </c>
      <c r="AA24" s="13">
        <v>6.3668981481481476E-4</v>
      </c>
      <c r="AB24" s="13"/>
      <c r="AC24" s="13"/>
      <c r="AD24" s="13"/>
      <c r="AE24" s="15"/>
      <c r="AF24" s="13">
        <v>3.7962962962962956E-4</v>
      </c>
      <c r="AG24" s="13">
        <v>5.7118055555555557E-4</v>
      </c>
      <c r="AH24" s="13"/>
      <c r="AI24" s="13"/>
      <c r="AJ24" s="13"/>
      <c r="AK24" s="58"/>
      <c r="AL24" s="13">
        <v>4.5081018518518517E-4</v>
      </c>
      <c r="AM24" s="13">
        <v>3.1018518518518521E-4</v>
      </c>
      <c r="AN24" s="58">
        <v>7.4722222222222236E-4</v>
      </c>
      <c r="AO24" s="13">
        <v>4.1550925925925918E-4</v>
      </c>
      <c r="AP24" s="13">
        <v>2.6886574074074074E-4</v>
      </c>
      <c r="AQ24" s="58">
        <v>7.086805555555556E-4</v>
      </c>
      <c r="AR24" s="13">
        <v>2.6273148148148146E-4</v>
      </c>
      <c r="AS24" s="13">
        <v>3.7835648148148147E-4</v>
      </c>
      <c r="AT24" s="58">
        <v>3.5914351851851857E-4</v>
      </c>
      <c r="AU24" s="13">
        <v>2.4675925925925923E-4</v>
      </c>
      <c r="AV24" s="13">
        <v>3.9525462962962957E-4</v>
      </c>
      <c r="AW24" s="13">
        <v>3.4745370370370372E-4</v>
      </c>
    </row>
    <row r="25" spans="1:49" x14ac:dyDescent="0.25">
      <c r="A25" s="2">
        <f t="shared" si="0"/>
        <v>2020</v>
      </c>
      <c r="B25" s="12">
        <v>3.9675925925925924E-4</v>
      </c>
      <c r="C25" s="12">
        <v>6.03587962962963E-4</v>
      </c>
      <c r="D25" s="12">
        <v>8.267361111111111E-4</v>
      </c>
      <c r="E25" s="12">
        <v>6.6643518518518516E-4</v>
      </c>
      <c r="F25" s="12">
        <v>1.6587962962962962E-3</v>
      </c>
      <c r="G25" s="14">
        <v>1.5241898148148148E-3</v>
      </c>
      <c r="H25" s="12">
        <v>3.1562499999999999E-4</v>
      </c>
      <c r="I25" s="12">
        <v>5.0972222222222228E-4</v>
      </c>
      <c r="J25" s="12">
        <v>6.835648148148148E-4</v>
      </c>
      <c r="K25" s="12">
        <v>5.7152777777777779E-4</v>
      </c>
      <c r="L25" s="12">
        <v>1.454398148148148E-3</v>
      </c>
      <c r="M25" s="57">
        <v>1.3541666666666667E-3</v>
      </c>
      <c r="N25" s="12">
        <v>4.0798611111111114E-4</v>
      </c>
      <c r="O25" s="12">
        <v>6.03587962962963E-4</v>
      </c>
      <c r="P25" s="12">
        <v>8.5196759259259264E-4</v>
      </c>
      <c r="Q25" s="12">
        <v>7.052083333333334E-4</v>
      </c>
      <c r="R25" s="12">
        <v>1.740625E-3</v>
      </c>
      <c r="S25" s="14">
        <v>1.5274305555555555E-3</v>
      </c>
      <c r="T25" s="12">
        <v>3.4907407407407413E-4</v>
      </c>
      <c r="U25" s="12">
        <v>5.3194444444444448E-4</v>
      </c>
      <c r="V25" s="12">
        <v>7.2303240740740737E-4</v>
      </c>
      <c r="W25" s="12">
        <v>6.0405092592592596E-4</v>
      </c>
      <c r="X25" s="12">
        <v>1.5442129629629627E-3</v>
      </c>
      <c r="Y25" s="57">
        <v>1.4155092592592589E-3</v>
      </c>
      <c r="Z25" s="12">
        <v>4.0798611111111114E-4</v>
      </c>
      <c r="AA25" s="12">
        <v>6.03587962962963E-4</v>
      </c>
      <c r="AB25" s="12">
        <v>8.5196759259259264E-4</v>
      </c>
      <c r="AC25" s="12">
        <v>7.0879629629629624E-4</v>
      </c>
      <c r="AD25" s="12">
        <v>1.740625E-3</v>
      </c>
      <c r="AE25" s="14">
        <v>1.5274305555555555E-3</v>
      </c>
      <c r="AF25" s="12">
        <v>3.7488425925925927E-4</v>
      </c>
      <c r="AG25" s="12">
        <v>5.7118055555555557E-4</v>
      </c>
      <c r="AH25" s="12">
        <v>8.2638888888888877E-4</v>
      </c>
      <c r="AI25" s="12">
        <v>6.5324074074074069E-4</v>
      </c>
      <c r="AJ25" s="12">
        <v>1.6990740740740742E-3</v>
      </c>
      <c r="AK25" s="57">
        <v>1.433449074074074E-3</v>
      </c>
      <c r="AL25" s="12">
        <v>4.5081018518518517E-4</v>
      </c>
      <c r="AM25" s="12">
        <v>3.1018518518518521E-4</v>
      </c>
      <c r="AN25" s="57">
        <v>7.4722222222222236E-4</v>
      </c>
      <c r="AO25" s="12">
        <v>4.1550925925925918E-4</v>
      </c>
      <c r="AP25" s="12">
        <v>2.6886574074074074E-4</v>
      </c>
      <c r="AQ25" s="57">
        <v>7.086805555555556E-4</v>
      </c>
      <c r="AR25" s="12">
        <v>2.6273148148148146E-4</v>
      </c>
      <c r="AS25" s="12">
        <v>3.7835648148148147E-4</v>
      </c>
      <c r="AT25" s="57">
        <v>3.5914351851851857E-4</v>
      </c>
      <c r="AU25" s="12">
        <v>2.4675925925925923E-4</v>
      </c>
      <c r="AV25" s="12">
        <v>3.9525462962962957E-4</v>
      </c>
      <c r="AW25" s="12">
        <v>3.4745370370370372E-4</v>
      </c>
    </row>
    <row r="26" spans="1:49" x14ac:dyDescent="0.25">
      <c r="A26" s="2">
        <f t="shared" si="0"/>
        <v>2021</v>
      </c>
      <c r="B26" s="13">
        <v>3.9675925925925924E-4</v>
      </c>
      <c r="C26" s="13">
        <v>6.03587962962963E-4</v>
      </c>
      <c r="D26" s="13">
        <v>8.267361111111111E-4</v>
      </c>
      <c r="E26" s="13">
        <v>6.6643518518518516E-4</v>
      </c>
      <c r="F26" s="13">
        <v>1.6879629629629632E-3</v>
      </c>
      <c r="G26" s="15">
        <v>1.5241898148148148E-3</v>
      </c>
      <c r="H26" s="13">
        <v>3.1562499999999999E-4</v>
      </c>
      <c r="I26" s="13">
        <v>5.0972222222222228E-4</v>
      </c>
      <c r="J26" s="13">
        <v>6.835648148148148E-4</v>
      </c>
      <c r="K26" s="13">
        <v>5.7152777777777779E-4</v>
      </c>
      <c r="L26" s="13">
        <v>1.454398148148148E-3</v>
      </c>
      <c r="M26" s="58">
        <v>1.3541666666666667E-3</v>
      </c>
      <c r="N26" s="13">
        <v>4.0798611111111114E-4</v>
      </c>
      <c r="O26" s="13">
        <v>6.03587962962963E-4</v>
      </c>
      <c r="P26" s="13">
        <v>8.5196759259259264E-4</v>
      </c>
      <c r="Q26" s="13">
        <v>7.052083333333334E-4</v>
      </c>
      <c r="R26" s="13">
        <v>1.740625E-3</v>
      </c>
      <c r="S26" s="15">
        <v>1.5274305555555555E-3</v>
      </c>
      <c r="T26" s="13">
        <v>3.4907407407407413E-4</v>
      </c>
      <c r="U26" s="13">
        <v>5.3194444444444448E-4</v>
      </c>
      <c r="V26" s="13">
        <v>7.2303240740740737E-4</v>
      </c>
      <c r="W26" s="13">
        <v>6.0405092592592596E-4</v>
      </c>
      <c r="X26" s="13">
        <v>1.5442129629629627E-3</v>
      </c>
      <c r="Y26" s="58">
        <v>1.4155092592592589E-3</v>
      </c>
      <c r="Z26" s="13">
        <v>4.0798611111111114E-4</v>
      </c>
      <c r="AA26" s="13">
        <v>6.03587962962963E-4</v>
      </c>
      <c r="AB26" s="13">
        <v>8.5196759259259264E-4</v>
      </c>
      <c r="AC26" s="13">
        <v>7.0879629629629624E-4</v>
      </c>
      <c r="AD26" s="13">
        <v>1.740625E-3</v>
      </c>
      <c r="AE26" s="15">
        <v>1.5274305555555555E-3</v>
      </c>
      <c r="AF26" s="13">
        <v>3.7488425925925927E-4</v>
      </c>
      <c r="AG26" s="13">
        <v>5.7118055555555557E-4</v>
      </c>
      <c r="AH26" s="13">
        <v>8.2638888888888877E-4</v>
      </c>
      <c r="AI26" s="13">
        <v>6.5324074074074069E-4</v>
      </c>
      <c r="AJ26" s="13">
        <v>1.6990740740740742E-3</v>
      </c>
      <c r="AK26" s="58">
        <v>1.433449074074074E-3</v>
      </c>
      <c r="AL26" s="13">
        <v>4.5081018518518517E-4</v>
      </c>
      <c r="AM26" s="13">
        <v>3.1018518518518521E-4</v>
      </c>
      <c r="AN26" s="58">
        <v>7.4722222222222236E-4</v>
      </c>
      <c r="AO26" s="13">
        <v>4.1550925925925918E-4</v>
      </c>
      <c r="AP26" s="13">
        <v>2.6886574074074074E-4</v>
      </c>
      <c r="AQ26" s="58">
        <v>7.086805555555556E-4</v>
      </c>
      <c r="AR26" s="13">
        <v>2.6273148148148146E-4</v>
      </c>
      <c r="AS26" s="13">
        <v>3.7835648148148147E-4</v>
      </c>
      <c r="AT26" s="58">
        <v>3.5914351851851857E-4</v>
      </c>
      <c r="AU26" s="13">
        <v>2.4675925925925923E-4</v>
      </c>
      <c r="AV26" s="13">
        <v>3.9525462962962957E-4</v>
      </c>
      <c r="AW26" s="13">
        <v>3.4745370370370372E-4</v>
      </c>
    </row>
    <row r="27" spans="1:49" x14ac:dyDescent="0.25">
      <c r="A27" s="2">
        <f t="shared" si="0"/>
        <v>2022</v>
      </c>
      <c r="B27" s="12">
        <v>3.9398148148148148E-4</v>
      </c>
      <c r="C27" s="12">
        <v>6.03587962962963E-4</v>
      </c>
      <c r="D27" s="12">
        <v>8.166666666666666E-4</v>
      </c>
      <c r="E27" s="12">
        <v>6.6643518518518516E-4</v>
      </c>
      <c r="F27" s="12">
        <v>1.6879629629629632E-3</v>
      </c>
      <c r="G27" s="14">
        <v>1.5050925925925924E-3</v>
      </c>
      <c r="H27" s="12">
        <v>3.1562499999999999E-4</v>
      </c>
      <c r="I27" s="12">
        <v>5.0972222222222228E-4</v>
      </c>
      <c r="J27" s="12">
        <v>6.835648148148148E-4</v>
      </c>
      <c r="K27" s="12">
        <v>5.7152777777777779E-4</v>
      </c>
      <c r="L27" s="12">
        <v>1.454398148148148E-3</v>
      </c>
      <c r="M27" s="57">
        <v>1.3541666666666667E-3</v>
      </c>
      <c r="N27" s="12">
        <v>3.9398148148148148E-4</v>
      </c>
      <c r="O27" s="12">
        <v>6.03587962962963E-4</v>
      </c>
      <c r="P27" s="12">
        <v>8.166666666666666E-4</v>
      </c>
      <c r="Q27" s="12">
        <v>7.052083333333334E-4</v>
      </c>
      <c r="R27" s="12">
        <v>1.6906250000000001E-3</v>
      </c>
      <c r="S27" s="14">
        <v>1.5050925925925924E-3</v>
      </c>
      <c r="T27" s="12">
        <v>3.4907407407407413E-4</v>
      </c>
      <c r="U27" s="12">
        <v>5.3194444444444448E-4</v>
      </c>
      <c r="V27" s="12">
        <v>7.2303240740740737E-4</v>
      </c>
      <c r="W27" s="12">
        <v>6.0405092592592596E-4</v>
      </c>
      <c r="X27" s="12">
        <v>1.5442129629629627E-3</v>
      </c>
      <c r="Y27" s="57">
        <v>1.4155092592592589E-3</v>
      </c>
      <c r="Z27" s="12">
        <v>4.0798611111111114E-4</v>
      </c>
      <c r="AA27" s="12">
        <v>6.03587962962963E-4</v>
      </c>
      <c r="AB27" s="12">
        <v>8.5196759259259264E-4</v>
      </c>
      <c r="AC27" s="12">
        <v>7.0879629629629624E-4</v>
      </c>
      <c r="AD27" s="12">
        <v>1.740625E-3</v>
      </c>
      <c r="AE27" s="14">
        <v>1.5274305555555555E-3</v>
      </c>
      <c r="AF27" s="12">
        <v>3.7488425925925927E-4</v>
      </c>
      <c r="AG27" s="12">
        <v>5.7118055555555557E-4</v>
      </c>
      <c r="AH27" s="12">
        <v>8.2638888888888877E-4</v>
      </c>
      <c r="AI27" s="12">
        <v>6.5324074074074069E-4</v>
      </c>
      <c r="AJ27" s="12">
        <v>1.6990740740740742E-3</v>
      </c>
      <c r="AK27" s="57">
        <v>1.433449074074074E-3</v>
      </c>
      <c r="AL27" s="12">
        <v>4.50462962962963E-4</v>
      </c>
      <c r="AM27" s="12">
        <v>3.1018518518518521E-4</v>
      </c>
      <c r="AN27" s="57">
        <v>7.4722222222222236E-4</v>
      </c>
      <c r="AO27" s="12">
        <v>4.1550925925925918E-4</v>
      </c>
      <c r="AP27" s="12">
        <v>2.6886574074074074E-4</v>
      </c>
      <c r="AQ27" s="57">
        <v>7.086805555555556E-4</v>
      </c>
      <c r="AR27" s="12">
        <v>2.6273148148148146E-4</v>
      </c>
      <c r="AS27" s="12">
        <v>3.7835648148148147E-4</v>
      </c>
      <c r="AT27" s="57">
        <v>3.5914351851851857E-4</v>
      </c>
      <c r="AU27" s="12">
        <v>2.4675925925925923E-4</v>
      </c>
      <c r="AV27" s="12">
        <v>3.9525462962962957E-4</v>
      </c>
      <c r="AW27" s="12">
        <v>3.4745370370370372E-4</v>
      </c>
    </row>
    <row r="28" spans="1:49" x14ac:dyDescent="0.25">
      <c r="A28" s="2">
        <f t="shared" si="0"/>
        <v>2023</v>
      </c>
      <c r="B28" s="13">
        <v>3.797453703703704E-4</v>
      </c>
      <c r="C28" s="13">
        <v>5.8599537037037029E-4</v>
      </c>
      <c r="D28" s="13">
        <v>7.7592592592592589E-4</v>
      </c>
      <c r="E28" s="13">
        <v>6.4930555555555564E-4</v>
      </c>
      <c r="F28" s="13">
        <v>1.6552083333333334E-3</v>
      </c>
      <c r="G28" s="15">
        <v>1.4525462962962964E-3</v>
      </c>
      <c r="H28" s="13">
        <v>3.1562499999999999E-4</v>
      </c>
      <c r="I28" s="13">
        <v>5.0972222222222228E-4</v>
      </c>
      <c r="J28" s="13">
        <v>6.835648148148148E-4</v>
      </c>
      <c r="K28" s="13">
        <v>5.7152777777777779E-4</v>
      </c>
      <c r="L28" s="13">
        <v>1.454398148148148E-3</v>
      </c>
      <c r="M28" s="58">
        <v>1.3541666666666667E-3</v>
      </c>
      <c r="N28" s="13">
        <v>3.9398148148148148E-4</v>
      </c>
      <c r="O28" s="13">
        <v>6.03587962962963E-4</v>
      </c>
      <c r="P28" s="13">
        <v>8.166666666666666E-4</v>
      </c>
      <c r="Q28" s="13">
        <v>7.052083333333334E-4</v>
      </c>
      <c r="R28" s="13">
        <v>1.6906250000000001E-3</v>
      </c>
      <c r="S28" s="15">
        <v>1.5050925925925924E-3</v>
      </c>
      <c r="T28" s="13">
        <v>3.4907407407407413E-4</v>
      </c>
      <c r="U28" s="13">
        <v>5.3194444444444448E-4</v>
      </c>
      <c r="V28" s="13">
        <v>7.2303240740740737E-4</v>
      </c>
      <c r="W28" s="13">
        <v>6.0405092592592596E-4</v>
      </c>
      <c r="X28" s="13">
        <v>1.5442129629629627E-3</v>
      </c>
      <c r="Y28" s="58">
        <v>1.4155092592592589E-3</v>
      </c>
      <c r="Z28" s="13">
        <v>4.0798611111111114E-4</v>
      </c>
      <c r="AA28" s="13">
        <v>6.03587962962963E-4</v>
      </c>
      <c r="AB28" s="13">
        <v>8.5196759259259264E-4</v>
      </c>
      <c r="AC28" s="13">
        <v>7.0879629629629624E-4</v>
      </c>
      <c r="AD28" s="13">
        <v>1.740625E-3</v>
      </c>
      <c r="AE28" s="15">
        <v>1.5274305555555555E-3</v>
      </c>
      <c r="AF28" s="13">
        <v>3.7488425925925927E-4</v>
      </c>
      <c r="AG28" s="13">
        <v>5.7118055555555557E-4</v>
      </c>
      <c r="AH28" s="13">
        <v>8.0173611111111114E-4</v>
      </c>
      <c r="AI28" s="13">
        <v>6.5324074074074069E-4</v>
      </c>
      <c r="AJ28" s="13">
        <v>1.6990740740740742E-3</v>
      </c>
      <c r="AK28" s="58">
        <v>1.433449074074074E-3</v>
      </c>
      <c r="AL28" s="13">
        <v>4.50462962962963E-4</v>
      </c>
      <c r="AM28" s="13">
        <v>3.1018518518518521E-4</v>
      </c>
      <c r="AN28" s="58">
        <v>7.4722222222222236E-4</v>
      </c>
      <c r="AO28" s="13">
        <v>4.1550925925925918E-4</v>
      </c>
      <c r="AP28" s="13">
        <v>2.6886574074074074E-4</v>
      </c>
      <c r="AQ28" s="58">
        <v>7.086805555555556E-4</v>
      </c>
      <c r="AR28" s="13">
        <v>2.6273148148148146E-4</v>
      </c>
      <c r="AS28" s="13">
        <v>3.7835648148148147E-4</v>
      </c>
      <c r="AT28" s="58">
        <v>3.5914351851851857E-4</v>
      </c>
      <c r="AU28" s="13">
        <v>2.4675925925925923E-4</v>
      </c>
      <c r="AV28" s="13">
        <v>3.9525462962962957E-4</v>
      </c>
      <c r="AW28" s="13">
        <v>3.4745370370370372E-4</v>
      </c>
    </row>
    <row r="29" spans="1:49" x14ac:dyDescent="0.25">
      <c r="A29" s="2">
        <f t="shared" si="0"/>
        <v>2024</v>
      </c>
      <c r="B29" s="12">
        <v>3.7835648148148147E-4</v>
      </c>
      <c r="C29" s="12">
        <v>5.8599537037037029E-4</v>
      </c>
      <c r="D29" s="12">
        <v>7.693287037037036E-4</v>
      </c>
      <c r="E29" s="12">
        <v>6.4930555555555564E-4</v>
      </c>
      <c r="F29" s="12">
        <v>1.6347222222222223E-3</v>
      </c>
      <c r="G29" s="14">
        <v>1.4525462962962964E-3</v>
      </c>
      <c r="H29" s="12">
        <v>3.1562499999999999E-4</v>
      </c>
      <c r="I29" s="12">
        <v>5.0972222222222228E-4</v>
      </c>
      <c r="J29" s="12">
        <v>6.835648148148148E-4</v>
      </c>
      <c r="K29" s="12">
        <v>5.7152777777777779E-4</v>
      </c>
      <c r="L29" s="12">
        <v>1.454398148148148E-3</v>
      </c>
      <c r="M29" s="57">
        <v>1.3541666666666667E-3</v>
      </c>
      <c r="N29" s="12">
        <v>3.8692129629629629E-4</v>
      </c>
      <c r="O29" s="12">
        <v>6.03587962962963E-4</v>
      </c>
      <c r="P29" s="12">
        <v>8.1539351851851857E-4</v>
      </c>
      <c r="Q29" s="12">
        <v>6.7349537037037031E-4</v>
      </c>
      <c r="R29" s="12">
        <v>1.6906250000000001E-3</v>
      </c>
      <c r="S29" s="14">
        <v>1.5050925925925924E-3</v>
      </c>
      <c r="T29" s="12">
        <v>3.4907407407407413E-4</v>
      </c>
      <c r="U29" s="12">
        <v>5.3194444444444448E-4</v>
      </c>
      <c r="V29" s="12">
        <v>7.2303240740740737E-4</v>
      </c>
      <c r="W29" s="12">
        <v>6.0405092592592596E-4</v>
      </c>
      <c r="X29" s="12">
        <v>1.529398148148148E-3</v>
      </c>
      <c r="Y29" s="57">
        <v>1.3997685185185187E-3</v>
      </c>
      <c r="Z29" s="12">
        <v>4.0798611111111114E-4</v>
      </c>
      <c r="AA29" s="12">
        <v>6.03587962962963E-4</v>
      </c>
      <c r="AB29" s="12">
        <v>8.5196759259259264E-4</v>
      </c>
      <c r="AC29" s="12">
        <v>7.0879629629629624E-4</v>
      </c>
      <c r="AD29" s="12">
        <v>1.740625E-3</v>
      </c>
      <c r="AE29" s="14">
        <v>1.5274305555555555E-3</v>
      </c>
      <c r="AF29" s="12">
        <v>3.6064814814814813E-4</v>
      </c>
      <c r="AG29" s="12">
        <v>5.6747685185185189E-4</v>
      </c>
      <c r="AH29" s="12">
        <v>7.5671296296296294E-4</v>
      </c>
      <c r="AI29" s="12">
        <v>6.4710648148148147E-4</v>
      </c>
      <c r="AJ29" s="12">
        <v>1.6254629629629629E-3</v>
      </c>
      <c r="AK29" s="57">
        <v>1.433449074074074E-3</v>
      </c>
      <c r="AL29" s="12">
        <v>4.50462962962963E-4</v>
      </c>
      <c r="AM29" s="12">
        <v>3.1018518518518521E-4</v>
      </c>
      <c r="AN29" s="57">
        <v>7.4722222222222236E-4</v>
      </c>
      <c r="AO29" s="12">
        <v>3.9733796296296289E-4</v>
      </c>
      <c r="AP29" s="12">
        <v>2.6886574074074074E-4</v>
      </c>
      <c r="AQ29" s="57">
        <v>6.9618055555555546E-4</v>
      </c>
      <c r="AR29" s="12">
        <v>2.6273148148148146E-4</v>
      </c>
      <c r="AS29" s="12">
        <v>3.7835648148148147E-4</v>
      </c>
      <c r="AT29" s="57">
        <v>3.5914351851851857E-4</v>
      </c>
      <c r="AU29" s="12">
        <v>2.4675925925925923E-4</v>
      </c>
      <c r="AV29" s="12">
        <v>3.7349537037037039E-4</v>
      </c>
      <c r="AW29" s="12">
        <v>3.4745370370370372E-4</v>
      </c>
    </row>
    <row r="30" spans="1:49" x14ac:dyDescent="0.25">
      <c r="A30" s="2">
        <f t="shared" si="0"/>
        <v>2025</v>
      </c>
      <c r="B30" s="13">
        <v>3.7268518518518526E-4</v>
      </c>
      <c r="C30" s="13">
        <v>5.8599537037037029E-4</v>
      </c>
      <c r="D30" s="13">
        <v>7.6099537037037054E-4</v>
      </c>
      <c r="E30" s="13">
        <v>6.4606481481481481E-4</v>
      </c>
      <c r="F30" s="13">
        <v>1.6347222222222223E-3</v>
      </c>
      <c r="G30" s="15">
        <v>1.438773148148148E-3</v>
      </c>
      <c r="H30" s="13">
        <v>3.1562499999999999E-4</v>
      </c>
      <c r="I30" s="13">
        <v>5.0972222222222228E-4</v>
      </c>
      <c r="J30" s="13">
        <v>6.835648148148148E-4</v>
      </c>
      <c r="K30" s="13">
        <v>5.7152777777777779E-4</v>
      </c>
      <c r="L30" s="13">
        <v>1.454398148148148E-3</v>
      </c>
      <c r="M30" s="58">
        <v>1.3541666666666667E-3</v>
      </c>
      <c r="N30" s="13">
        <v>3.8692129629629629E-4</v>
      </c>
      <c r="O30" s="13">
        <v>6.03587962962963E-4</v>
      </c>
      <c r="P30" s="13">
        <v>8.1539351851851857E-4</v>
      </c>
      <c r="Q30" s="13">
        <v>6.7349537037037031E-4</v>
      </c>
      <c r="R30" s="13">
        <v>1.6906250000000001E-3</v>
      </c>
      <c r="S30" s="15">
        <v>1.5050925925925924E-3</v>
      </c>
      <c r="T30" s="13">
        <v>3.3518518518518516E-4</v>
      </c>
      <c r="U30" s="13">
        <v>5.3194444444444448E-4</v>
      </c>
      <c r="V30" s="13">
        <v>7.2303240740740737E-4</v>
      </c>
      <c r="W30" s="13">
        <v>6.0405092592592596E-4</v>
      </c>
      <c r="X30" s="13">
        <v>1.529398148148148E-3</v>
      </c>
      <c r="Y30" s="58">
        <v>1.3666666666666669E-3</v>
      </c>
      <c r="Z30" s="13">
        <v>4.0798611111111114E-4</v>
      </c>
      <c r="AA30" s="13">
        <v>6.03587962962963E-4</v>
      </c>
      <c r="AB30" s="13">
        <v>8.5196759259259264E-4</v>
      </c>
      <c r="AC30" s="13">
        <v>7.0879629629629624E-4</v>
      </c>
      <c r="AD30" s="13">
        <v>1.740625E-3</v>
      </c>
      <c r="AE30" s="15">
        <v>1.5274305555555555E-3</v>
      </c>
      <c r="AF30" s="13">
        <v>3.3518518518518516E-4</v>
      </c>
      <c r="AG30" s="13">
        <v>5.6747685185185189E-4</v>
      </c>
      <c r="AH30" s="13">
        <v>7.3993055555555563E-4</v>
      </c>
      <c r="AI30" s="13">
        <v>6.4710648148148147E-4</v>
      </c>
      <c r="AJ30" s="13">
        <v>1.5910879629629632E-3</v>
      </c>
      <c r="AK30" s="58">
        <v>1.3666666666666669E-3</v>
      </c>
      <c r="AL30" s="13">
        <v>4.50462962962963E-4</v>
      </c>
      <c r="AM30" s="13">
        <v>3.1018518518518521E-4</v>
      </c>
      <c r="AN30" s="58">
        <v>7.4722222222222236E-4</v>
      </c>
      <c r="AO30" s="13">
        <v>3.9733796296296289E-4</v>
      </c>
      <c r="AP30" s="13">
        <v>2.6886574074074074E-4</v>
      </c>
      <c r="AQ30" s="58">
        <v>6.9618055555555546E-4</v>
      </c>
      <c r="AR30" s="13">
        <v>2.6273148148148146E-4</v>
      </c>
      <c r="AS30" s="13">
        <v>3.7835648148148147E-4</v>
      </c>
      <c r="AT30" s="58">
        <v>3.5914351851851857E-4</v>
      </c>
      <c r="AU30" s="13">
        <v>2.4675925925925923E-4</v>
      </c>
      <c r="AV30" s="13">
        <v>3.7349537037037039E-4</v>
      </c>
      <c r="AW30" s="13">
        <v>3.4745370370370372E-4</v>
      </c>
    </row>
    <row r="31" spans="1:49" x14ac:dyDescent="0.25">
      <c r="A31" s="2">
        <f t="shared" si="0"/>
        <v>2026</v>
      </c>
      <c r="B31" s="12">
        <v>3.6435185185185187E-4</v>
      </c>
      <c r="C31" s="12">
        <v>5.8599537037037029E-4</v>
      </c>
      <c r="D31" s="12">
        <v>7.3715277777777776E-4</v>
      </c>
      <c r="E31" s="12">
        <v>6.4606481481481481E-4</v>
      </c>
      <c r="F31" s="12">
        <v>1.6347222222222223E-3</v>
      </c>
      <c r="G31" s="14">
        <v>1.4387731481481482E-3</v>
      </c>
      <c r="H31" s="12">
        <v>3.1562499999999999E-4</v>
      </c>
      <c r="I31" s="12">
        <v>5.0972222222222228E-4</v>
      </c>
      <c r="J31" s="12">
        <v>6.835648148148148E-4</v>
      </c>
      <c r="K31" s="12">
        <v>5.7152777777777779E-4</v>
      </c>
      <c r="L31" s="12">
        <v>1.454398148148148E-3</v>
      </c>
      <c r="M31" s="57">
        <v>1.3541666666666667E-3</v>
      </c>
      <c r="N31" s="12">
        <v>3.8692129629629629E-4</v>
      </c>
      <c r="O31" s="12">
        <v>6.03587962962963E-4</v>
      </c>
      <c r="P31" s="12">
        <v>8.1539351851851857E-4</v>
      </c>
      <c r="Q31" s="12">
        <v>6.7349537037037031E-4</v>
      </c>
      <c r="R31" s="12">
        <v>1.6906249999999999E-3</v>
      </c>
      <c r="S31" s="14">
        <v>1.5050925925925926E-3</v>
      </c>
      <c r="T31" s="12">
        <v>3.3518518518518522E-4</v>
      </c>
      <c r="U31" s="12">
        <v>5.3194444444444448E-4</v>
      </c>
      <c r="V31" s="12">
        <v>7.2303240740740737E-4</v>
      </c>
      <c r="W31" s="12">
        <v>6.0405092592592585E-4</v>
      </c>
      <c r="X31" s="12">
        <v>1.4880787037037037E-3</v>
      </c>
      <c r="Y31" s="57">
        <v>1.3666666666666666E-3</v>
      </c>
      <c r="Z31" s="12">
        <v>4.0798611111111114E-4</v>
      </c>
      <c r="AA31" s="12">
        <v>6.03587962962963E-4</v>
      </c>
      <c r="AB31" s="12">
        <v>8.5196759259259253E-4</v>
      </c>
      <c r="AC31" s="12">
        <v>7.0879629629629634E-4</v>
      </c>
      <c r="AD31" s="12">
        <v>1.7406249999999998E-3</v>
      </c>
      <c r="AE31" s="14">
        <v>1.5274305555555555E-3</v>
      </c>
      <c r="AF31" s="12">
        <v>3.3518518518518522E-4</v>
      </c>
      <c r="AG31" s="12">
        <v>5.6747685185185189E-4</v>
      </c>
      <c r="AH31" s="12">
        <v>7.3993055555555552E-4</v>
      </c>
      <c r="AI31" s="12">
        <v>6.4710648148148147E-4</v>
      </c>
      <c r="AJ31" s="12">
        <v>1.591087962962963E-3</v>
      </c>
      <c r="AK31" s="57">
        <v>1.3666666666666666E-3</v>
      </c>
      <c r="AL31" s="12">
        <v>4.50462962962963E-4</v>
      </c>
      <c r="AM31" s="12">
        <v>3.1018518518518521E-4</v>
      </c>
      <c r="AN31" s="57">
        <v>7.4722222222222236E-4</v>
      </c>
      <c r="AO31" s="12">
        <v>3.9062500000000002E-4</v>
      </c>
      <c r="AP31" s="12">
        <v>2.6886574074074074E-4</v>
      </c>
      <c r="AQ31" s="57">
        <v>6.9618055555555546E-4</v>
      </c>
      <c r="AR31" s="12">
        <v>2.6273148148148146E-4</v>
      </c>
      <c r="AS31" s="12">
        <v>3.7835648148148147E-4</v>
      </c>
      <c r="AT31" s="57">
        <v>3.5914351851851857E-4</v>
      </c>
      <c r="AU31" s="12">
        <v>2.4675925925925923E-4</v>
      </c>
      <c r="AV31" s="12">
        <v>3.7349537037037039E-4</v>
      </c>
      <c r="AW31" s="12">
        <v>3.4745370370370372E-4</v>
      </c>
    </row>
  </sheetData>
  <conditionalFormatting sqref="B5:G31">
    <cfRule type="expression" dxfId="13" priority="15">
      <formula>B5&lt;&gt;B4</formula>
    </cfRule>
  </conditionalFormatting>
  <conditionalFormatting sqref="H5:M31">
    <cfRule type="expression" dxfId="12" priority="14">
      <formula>H5&lt;&gt;H4</formula>
    </cfRule>
  </conditionalFormatting>
  <conditionalFormatting sqref="N5:S31">
    <cfRule type="expression" dxfId="11" priority="13">
      <formula>N5&lt;&gt;N4</formula>
    </cfRule>
  </conditionalFormatting>
  <conditionalFormatting sqref="T5:Y31">
    <cfRule type="expression" dxfId="10" priority="12">
      <formula>T5&lt;&gt;T4</formula>
    </cfRule>
  </conditionalFormatting>
  <conditionalFormatting sqref="Z5:AE31">
    <cfRule type="expression" dxfId="9" priority="9">
      <formula>Z5&lt;&gt;Z4</formula>
    </cfRule>
  </conditionalFormatting>
  <conditionalFormatting sqref="AF5:AK31">
    <cfRule type="expression" dxfId="8" priority="8">
      <formula>AF5&lt;&gt;AF4</formula>
    </cfRule>
  </conditionalFormatting>
  <conditionalFormatting sqref="AL5:AN31">
    <cfRule type="expression" dxfId="7" priority="6">
      <formula>AL5&lt;&gt;AL4</formula>
    </cfRule>
  </conditionalFormatting>
  <conditionalFormatting sqref="AO5:AQ31">
    <cfRule type="expression" dxfId="6" priority="5">
      <formula>AO5&lt;&gt;AO4</formula>
    </cfRule>
  </conditionalFormatting>
  <conditionalFormatting sqref="AR5:AT31">
    <cfRule type="expression" dxfId="5" priority="2">
      <formula>AR5&lt;&gt;AR4</formula>
    </cfRule>
  </conditionalFormatting>
  <conditionalFormatting sqref="AU5:AW31">
    <cfRule type="expression" dxfId="4" priority="1">
      <formula>AU5&lt;&gt;AU4</formula>
    </cfRule>
  </conditionalFormatting>
  <pageMargins left="0.7" right="0.7" top="0.78740157499999996" bottom="0.78740157499999996" header="0.3" footer="0.3"/>
  <pageSetup paperSize="9"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168-68B3-410F-B4A6-8D511F9C32E0}">
  <sheetPr codeName="Tabelle1"/>
  <dimension ref="A1:M31"/>
  <sheetViews>
    <sheetView workbookViewId="0">
      <selection activeCell="M30" sqref="M30"/>
    </sheetView>
  </sheetViews>
  <sheetFormatPr baseColWidth="10" defaultRowHeight="15" x14ac:dyDescent="0.25"/>
  <cols>
    <col min="1" max="1" width="12.28515625" customWidth="1"/>
    <col min="2" max="5" width="18.7109375" customWidth="1"/>
    <col min="6" max="6" width="21.140625" customWidth="1"/>
    <col min="7" max="11" width="18.7109375" customWidth="1"/>
    <col min="12" max="12" width="22.140625" customWidth="1"/>
    <col min="13" max="13" width="18.7109375" customWidth="1"/>
  </cols>
  <sheetData>
    <row r="1" spans="1:13" ht="16.5" customHeight="1" x14ac:dyDescent="0.25">
      <c r="A1" s="44" t="s">
        <v>39</v>
      </c>
      <c r="B1" s="45" t="s">
        <v>42</v>
      </c>
      <c r="C1" s="45" t="s">
        <v>44</v>
      </c>
      <c r="D1" s="45" t="s">
        <v>42</v>
      </c>
      <c r="E1" s="45" t="s">
        <v>46</v>
      </c>
      <c r="F1" s="45" t="s">
        <v>47</v>
      </c>
      <c r="G1" s="45" t="s">
        <v>49</v>
      </c>
      <c r="H1" s="46" t="s">
        <v>50</v>
      </c>
      <c r="I1" s="46" t="s">
        <v>53</v>
      </c>
      <c r="J1" s="46" t="s">
        <v>52</v>
      </c>
      <c r="K1" s="46" t="s">
        <v>54</v>
      </c>
      <c r="L1" s="46" t="s">
        <v>55</v>
      </c>
      <c r="M1" s="46" t="s">
        <v>56</v>
      </c>
    </row>
    <row r="2" spans="1:13" ht="16.5" customHeight="1" x14ac:dyDescent="0.25">
      <c r="A2" s="44" t="s">
        <v>40</v>
      </c>
      <c r="B2" s="47" t="s">
        <v>67</v>
      </c>
      <c r="C2" s="47" t="s">
        <v>68</v>
      </c>
      <c r="D2" s="47" t="s">
        <v>65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71</v>
      </c>
      <c r="M2" s="47" t="s">
        <v>76</v>
      </c>
    </row>
    <row r="3" spans="1:13" ht="16.5" customHeight="1" x14ac:dyDescent="0.25">
      <c r="A3" s="44" t="s">
        <v>41</v>
      </c>
      <c r="B3" s="47" t="s">
        <v>43</v>
      </c>
      <c r="C3" s="47" t="s">
        <v>45</v>
      </c>
      <c r="D3" s="47" t="s">
        <v>43</v>
      </c>
      <c r="E3" s="47" t="s">
        <v>45</v>
      </c>
      <c r="F3" s="47" t="s">
        <v>48</v>
      </c>
      <c r="G3" s="47" t="s">
        <v>45</v>
      </c>
      <c r="H3" s="47" t="s">
        <v>45</v>
      </c>
      <c r="I3" s="47" t="s">
        <v>51</v>
      </c>
      <c r="J3" s="47" t="s">
        <v>45</v>
      </c>
      <c r="K3" s="47" t="s">
        <v>51</v>
      </c>
      <c r="L3" s="47" t="s">
        <v>45</v>
      </c>
      <c r="M3" s="47" t="s">
        <v>48</v>
      </c>
    </row>
    <row r="4" spans="1:13" ht="15.75" thickBot="1" x14ac:dyDescent="0.3">
      <c r="A4" s="3" t="s">
        <v>11</v>
      </c>
      <c r="B4" s="48" t="s">
        <v>0</v>
      </c>
      <c r="C4" s="48" t="s">
        <v>1</v>
      </c>
      <c r="D4" s="48" t="s">
        <v>2</v>
      </c>
      <c r="E4" s="48" t="s">
        <v>3</v>
      </c>
      <c r="F4" s="48" t="s">
        <v>4</v>
      </c>
      <c r="G4" s="49" t="s">
        <v>5</v>
      </c>
      <c r="H4" s="50" t="s">
        <v>12</v>
      </c>
      <c r="I4" s="50" t="s">
        <v>96</v>
      </c>
      <c r="J4" s="50" t="s">
        <v>97</v>
      </c>
      <c r="K4" s="50" t="s">
        <v>98</v>
      </c>
      <c r="L4" s="50" t="s">
        <v>99</v>
      </c>
      <c r="M4" s="50" t="s">
        <v>100</v>
      </c>
    </row>
    <row r="5" spans="1:13" x14ac:dyDescent="0.25">
      <c r="A5" s="2">
        <v>2000</v>
      </c>
      <c r="B5" s="8"/>
      <c r="C5" s="8"/>
      <c r="D5" s="8"/>
      <c r="E5" s="8"/>
      <c r="F5" s="8"/>
      <c r="G5" s="9"/>
      <c r="H5" s="8"/>
      <c r="I5" s="8"/>
      <c r="J5" s="8"/>
      <c r="K5" s="8"/>
      <c r="L5" s="8"/>
      <c r="M5" s="8"/>
    </row>
    <row r="6" spans="1:13" x14ac:dyDescent="0.25">
      <c r="A6" s="2">
        <f t="shared" ref="A6:A31" si="0">A5+1</f>
        <v>2001</v>
      </c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</row>
    <row r="7" spans="1:13" x14ac:dyDescent="0.25">
      <c r="A7" s="2">
        <f t="shared" si="0"/>
        <v>2002</v>
      </c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x14ac:dyDescent="0.25">
      <c r="A8" s="2">
        <f t="shared" si="0"/>
        <v>2003</v>
      </c>
      <c r="B8" s="10"/>
      <c r="C8" s="10"/>
      <c r="D8" s="10"/>
      <c r="E8" s="10"/>
      <c r="F8" s="10"/>
      <c r="G8" s="11"/>
      <c r="H8" s="10"/>
      <c r="I8" s="10"/>
      <c r="J8" s="10"/>
      <c r="K8" s="10"/>
      <c r="L8" s="10"/>
      <c r="M8" s="10"/>
    </row>
    <row r="9" spans="1:13" x14ac:dyDescent="0.25">
      <c r="A9" s="2">
        <f t="shared" si="0"/>
        <v>2004</v>
      </c>
      <c r="B9" s="8"/>
      <c r="C9" s="8"/>
      <c r="D9" s="8"/>
      <c r="E9" s="8"/>
      <c r="F9" s="8"/>
      <c r="G9" s="9"/>
      <c r="H9" s="8"/>
      <c r="I9" s="8"/>
      <c r="J9" s="8"/>
      <c r="K9" s="8"/>
      <c r="L9" s="8"/>
      <c r="M9" s="8"/>
    </row>
    <row r="10" spans="1:13" x14ac:dyDescent="0.25">
      <c r="A10" s="2">
        <f t="shared" si="0"/>
        <v>2005</v>
      </c>
      <c r="B10" s="10"/>
      <c r="C10" s="10"/>
      <c r="D10" s="10"/>
      <c r="E10" s="10"/>
      <c r="F10" s="10"/>
      <c r="G10" s="11"/>
      <c r="H10" s="10"/>
      <c r="I10" s="10"/>
      <c r="J10" s="10"/>
      <c r="K10" s="10"/>
      <c r="L10" s="10"/>
      <c r="M10" s="10"/>
    </row>
    <row r="11" spans="1:13" x14ac:dyDescent="0.25">
      <c r="A11" s="2">
        <f t="shared" si="0"/>
        <v>2006</v>
      </c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</row>
    <row r="12" spans="1:13" x14ac:dyDescent="0.25">
      <c r="A12" s="2">
        <f t="shared" si="0"/>
        <v>2007</v>
      </c>
      <c r="B12" s="10"/>
      <c r="C12" s="10"/>
      <c r="D12" s="10"/>
      <c r="E12" s="10"/>
      <c r="F12" s="10"/>
      <c r="G12" s="11"/>
      <c r="H12" s="10"/>
      <c r="I12" s="10"/>
      <c r="J12" s="10"/>
      <c r="K12" s="10"/>
      <c r="L12" s="10"/>
      <c r="M12" s="10"/>
    </row>
    <row r="13" spans="1:13" x14ac:dyDescent="0.25">
      <c r="A13" s="2">
        <f t="shared" si="0"/>
        <v>2008</v>
      </c>
      <c r="B13" s="8"/>
      <c r="C13" s="8"/>
      <c r="D13" s="8"/>
      <c r="E13" s="8"/>
      <c r="F13" s="8"/>
      <c r="G13" s="9"/>
      <c r="H13" s="8"/>
      <c r="I13" s="8"/>
      <c r="J13" s="8"/>
      <c r="K13" s="8"/>
      <c r="L13" s="8"/>
      <c r="M13" s="8"/>
    </row>
    <row r="14" spans="1:13" x14ac:dyDescent="0.25">
      <c r="A14" s="2">
        <f t="shared" si="0"/>
        <v>2009</v>
      </c>
      <c r="B14" s="10"/>
      <c r="C14" s="10"/>
      <c r="D14" s="10"/>
      <c r="E14" s="10"/>
      <c r="F14" s="10"/>
      <c r="G14" s="11"/>
      <c r="H14" s="10"/>
      <c r="I14" s="10"/>
      <c r="J14" s="10"/>
      <c r="K14" s="10"/>
      <c r="L14" s="10"/>
      <c r="M14" s="10"/>
    </row>
    <row r="15" spans="1:13" x14ac:dyDescent="0.25">
      <c r="A15" s="2">
        <f t="shared" si="0"/>
        <v>2010</v>
      </c>
      <c r="B15" s="8"/>
      <c r="C15" s="8"/>
      <c r="D15" s="8"/>
      <c r="E15" s="8"/>
      <c r="F15" s="8"/>
      <c r="G15" s="9"/>
      <c r="H15" s="8"/>
      <c r="I15" s="8"/>
      <c r="J15" s="8"/>
      <c r="K15" s="8"/>
      <c r="L15" s="8"/>
      <c r="M15" s="8"/>
    </row>
    <row r="16" spans="1:13" x14ac:dyDescent="0.25">
      <c r="A16" s="2">
        <f t="shared" si="0"/>
        <v>2011</v>
      </c>
      <c r="B16" s="10"/>
      <c r="C16" s="10"/>
      <c r="D16" s="10"/>
      <c r="E16" s="10"/>
      <c r="F16" s="10"/>
      <c r="G16" s="11"/>
      <c r="H16" s="10"/>
      <c r="I16" s="10"/>
      <c r="J16" s="10"/>
      <c r="K16" s="10"/>
      <c r="L16" s="10"/>
      <c r="M16" s="10"/>
    </row>
    <row r="17" spans="1:13" x14ac:dyDescent="0.25">
      <c r="A17" s="2">
        <f t="shared" si="0"/>
        <v>2012</v>
      </c>
      <c r="B17" s="8"/>
      <c r="C17" s="8"/>
      <c r="D17" s="8"/>
      <c r="E17" s="8"/>
      <c r="F17" s="8"/>
      <c r="G17" s="9"/>
      <c r="H17" s="8"/>
      <c r="I17" s="8"/>
      <c r="J17" s="8"/>
      <c r="K17" s="8"/>
      <c r="L17" s="8"/>
      <c r="M17" s="8"/>
    </row>
    <row r="18" spans="1:13" x14ac:dyDescent="0.25">
      <c r="A18" s="2">
        <f t="shared" si="0"/>
        <v>2013</v>
      </c>
      <c r="B18" s="10"/>
      <c r="C18" s="10"/>
      <c r="D18" s="10"/>
      <c r="E18" s="10"/>
      <c r="F18" s="10"/>
      <c r="G18" s="11"/>
      <c r="H18" s="10"/>
      <c r="I18" s="10"/>
      <c r="J18" s="10"/>
      <c r="K18" s="10"/>
      <c r="L18" s="10"/>
      <c r="M18" s="10"/>
    </row>
    <row r="19" spans="1:13" x14ac:dyDescent="0.25">
      <c r="A19" s="2">
        <f t="shared" si="0"/>
        <v>2014</v>
      </c>
      <c r="B19" s="13">
        <v>4.3194444444444443E-4</v>
      </c>
      <c r="C19" s="13">
        <v>6.5798611111111103E-4</v>
      </c>
      <c r="D19" s="13">
        <v>8.4861111111111107E-4</v>
      </c>
      <c r="E19" s="13">
        <v>7.0185185185185183E-4</v>
      </c>
      <c r="F19" s="13">
        <v>1.7334490740740739E-3</v>
      </c>
      <c r="G19" s="15">
        <v>1.4596064814814816E-3</v>
      </c>
      <c r="H19" s="13">
        <v>3.6018518518518523E-4</v>
      </c>
      <c r="I19" s="13">
        <v>5.5081018518518521E-4</v>
      </c>
      <c r="J19" s="13">
        <v>7.3599537037037036E-4</v>
      </c>
      <c r="K19" s="13">
        <v>6.2881944444444443E-4</v>
      </c>
      <c r="L19" s="13">
        <v>1.5302083333333333E-3</v>
      </c>
      <c r="M19" s="13">
        <v>1.3592592592592591E-3</v>
      </c>
    </row>
    <row r="20" spans="1:13" x14ac:dyDescent="0.25">
      <c r="A20" s="2">
        <f t="shared" si="0"/>
        <v>2015</v>
      </c>
      <c r="B20" s="12">
        <v>4.1574074074074077E-4</v>
      </c>
      <c r="C20" s="12">
        <v>6.4398148148148149E-4</v>
      </c>
      <c r="D20" s="12">
        <v>8.4861111111111107E-4</v>
      </c>
      <c r="E20" s="12">
        <v>7.0185185185185183E-4</v>
      </c>
      <c r="F20" s="12">
        <v>1.7334490740740739E-3</v>
      </c>
      <c r="G20" s="14">
        <v>1.4596064814814816E-3</v>
      </c>
      <c r="H20" s="12">
        <v>3.4456018518518516E-4</v>
      </c>
      <c r="I20" s="12">
        <v>5.4108796296296294E-4</v>
      </c>
      <c r="J20" s="12">
        <v>7.1898148148148158E-4</v>
      </c>
      <c r="K20" s="12">
        <v>6.0405092592592596E-4</v>
      </c>
      <c r="L20" s="12">
        <v>1.5302083333333333E-3</v>
      </c>
      <c r="M20" s="12">
        <v>1.3592592592592591E-3</v>
      </c>
    </row>
    <row r="21" spans="1:13" x14ac:dyDescent="0.25">
      <c r="A21" s="2">
        <f t="shared" si="0"/>
        <v>2016</v>
      </c>
      <c r="B21" s="13">
        <v>3.9884259259259262E-4</v>
      </c>
      <c r="C21" s="13">
        <v>6.4039351851851855E-4</v>
      </c>
      <c r="D21" s="13">
        <v>8.4398148148148158E-4</v>
      </c>
      <c r="E21" s="13">
        <v>6.9409722222222225E-4</v>
      </c>
      <c r="F21" s="13">
        <v>1.7334490740740739E-3</v>
      </c>
      <c r="G21" s="15">
        <v>1.4596064814814816E-3</v>
      </c>
      <c r="H21" s="13">
        <v>3.4456018518518516E-4</v>
      </c>
      <c r="I21" s="13">
        <v>5.4108796296296294E-4</v>
      </c>
      <c r="J21" s="13">
        <v>7.1898148148148158E-4</v>
      </c>
      <c r="K21" s="13">
        <v>6.0405092592592596E-4</v>
      </c>
      <c r="L21" s="13">
        <v>1.5229166666666666E-3</v>
      </c>
      <c r="M21" s="13">
        <v>1.3577546296296298E-3</v>
      </c>
    </row>
    <row r="22" spans="1:13" x14ac:dyDescent="0.25">
      <c r="A22" s="2">
        <f t="shared" si="0"/>
        <v>2017</v>
      </c>
      <c r="B22" s="12">
        <v>3.9884259259259262E-4</v>
      </c>
      <c r="C22" s="12">
        <v>6.041666666666667E-4</v>
      </c>
      <c r="D22" s="12">
        <v>8.3888888888888891E-4</v>
      </c>
      <c r="E22" s="12">
        <v>6.887731481481481E-4</v>
      </c>
      <c r="F22" s="12">
        <v>1.7063657407407407E-3</v>
      </c>
      <c r="G22" s="14">
        <v>1.4596064814814816E-3</v>
      </c>
      <c r="H22" s="12">
        <v>3.4456018518518516E-4</v>
      </c>
      <c r="I22" s="12">
        <v>5.4108796296296294E-4</v>
      </c>
      <c r="J22" s="12">
        <v>7.1898148148148158E-4</v>
      </c>
      <c r="K22" s="12">
        <v>6.0405092592592596E-4</v>
      </c>
      <c r="L22" s="12">
        <v>1.5229166666666666E-3</v>
      </c>
      <c r="M22" s="12">
        <v>1.3577546296296298E-3</v>
      </c>
    </row>
    <row r="23" spans="1:13" x14ac:dyDescent="0.25">
      <c r="A23" s="2">
        <f t="shared" si="0"/>
        <v>2018</v>
      </c>
      <c r="B23" s="13">
        <v>3.9884259259259262E-4</v>
      </c>
      <c r="C23" s="13">
        <v>5.836805555555556E-4</v>
      </c>
      <c r="D23" s="13">
        <v>8.1261574074074081E-4</v>
      </c>
      <c r="E23" s="13">
        <v>6.887731481481481E-4</v>
      </c>
      <c r="F23" s="13">
        <v>1.665162037037037E-3</v>
      </c>
      <c r="G23" s="15">
        <v>1.4596064814814816E-3</v>
      </c>
      <c r="H23" s="13">
        <v>3.4456018518518516E-4</v>
      </c>
      <c r="I23" s="13">
        <v>5.3310185185185188E-4</v>
      </c>
      <c r="J23" s="13">
        <v>7.1898148148148158E-4</v>
      </c>
      <c r="K23" s="13">
        <v>6.0405092592592596E-4</v>
      </c>
      <c r="L23" s="13">
        <v>1.5229166666666666E-3</v>
      </c>
      <c r="M23" s="13">
        <v>1.3511574074074075E-3</v>
      </c>
    </row>
    <row r="24" spans="1:13" x14ac:dyDescent="0.25">
      <c r="A24" s="2">
        <f t="shared" si="0"/>
        <v>2019</v>
      </c>
      <c r="B24" s="12">
        <v>3.9884259259259262E-4</v>
      </c>
      <c r="C24" s="12">
        <v>5.7094907407407409E-4</v>
      </c>
      <c r="D24" s="12">
        <v>8.1261574074074081E-4</v>
      </c>
      <c r="E24" s="12">
        <v>6.8321759259259258E-4</v>
      </c>
      <c r="F24" s="12">
        <v>1.647222222222222E-3</v>
      </c>
      <c r="G24" s="14">
        <v>1.4596064814814816E-3</v>
      </c>
      <c r="H24" s="12">
        <v>3.4456018518518516E-4</v>
      </c>
      <c r="I24" s="12">
        <v>5.3194444444444448E-4</v>
      </c>
      <c r="J24" s="12">
        <v>7.1898148148148158E-4</v>
      </c>
      <c r="K24" s="12">
        <v>6.0405092592592596E-4</v>
      </c>
      <c r="L24" s="12">
        <v>1.5229166666666666E-3</v>
      </c>
      <c r="M24" s="12">
        <v>1.3511574074074075E-3</v>
      </c>
    </row>
    <row r="25" spans="1:13" x14ac:dyDescent="0.25">
      <c r="A25" s="2">
        <f t="shared" si="0"/>
        <v>2020</v>
      </c>
      <c r="B25" s="13">
        <v>3.9884259259259262E-4</v>
      </c>
      <c r="C25" s="13">
        <v>5.7094907407407409E-4</v>
      </c>
      <c r="D25" s="13">
        <v>8.1261574074074081E-4</v>
      </c>
      <c r="E25" s="13">
        <v>6.8321759259259258E-4</v>
      </c>
      <c r="F25" s="13">
        <v>1.647222222222222E-3</v>
      </c>
      <c r="G25" s="15">
        <v>1.4596064814814816E-3</v>
      </c>
      <c r="H25" s="13">
        <v>3.4456018518518516E-4</v>
      </c>
      <c r="I25" s="13">
        <v>5.3194444444444448E-4</v>
      </c>
      <c r="J25" s="13">
        <v>7.1898148148148158E-4</v>
      </c>
      <c r="K25" s="13">
        <v>6.0405092592592596E-4</v>
      </c>
      <c r="L25" s="13">
        <v>1.5229166666666666E-3</v>
      </c>
      <c r="M25" s="13">
        <v>1.3511574074074075E-3</v>
      </c>
    </row>
    <row r="26" spans="1:13" x14ac:dyDescent="0.25">
      <c r="A26" s="2">
        <f t="shared" si="0"/>
        <v>2021</v>
      </c>
      <c r="B26" s="12">
        <v>3.9398148148148148E-4</v>
      </c>
      <c r="C26" s="12">
        <v>5.7094907407407409E-4</v>
      </c>
      <c r="D26" s="12">
        <v>8.1261574074074081E-4</v>
      </c>
      <c r="E26" s="12">
        <v>6.7870370370370383E-4</v>
      </c>
      <c r="F26" s="12">
        <v>1.647222222222222E-3</v>
      </c>
      <c r="G26" s="14">
        <v>1.4388888888888889E-3</v>
      </c>
      <c r="H26" s="12">
        <v>3.4224537037037036E-4</v>
      </c>
      <c r="I26" s="12">
        <v>5.3194444444444448E-4</v>
      </c>
      <c r="J26" s="12">
        <v>7.0277777777777775E-4</v>
      </c>
      <c r="K26" s="12">
        <v>5.7881944444444441E-4</v>
      </c>
      <c r="L26" s="12">
        <v>1.5097222222222222E-3</v>
      </c>
      <c r="M26" s="12">
        <v>1.3511574074074075E-3</v>
      </c>
    </row>
    <row r="27" spans="1:13" x14ac:dyDescent="0.25">
      <c r="A27" s="2">
        <f t="shared" si="0"/>
        <v>2022</v>
      </c>
      <c r="B27" s="13">
        <v>3.9398148148148148E-4</v>
      </c>
      <c r="C27" s="13">
        <v>5.7094907407407409E-4</v>
      </c>
      <c r="D27" s="13">
        <v>8.1261574074074081E-4</v>
      </c>
      <c r="E27" s="13">
        <v>6.7719907407407399E-4</v>
      </c>
      <c r="F27" s="13">
        <v>1.647222222222222E-3</v>
      </c>
      <c r="G27" s="15">
        <v>1.4339120370370371E-3</v>
      </c>
      <c r="H27" s="13">
        <v>3.3807870370370372E-4</v>
      </c>
      <c r="I27" s="13">
        <v>5.3194444444444448E-4</v>
      </c>
      <c r="J27" s="13">
        <v>6.9027777777777783E-4</v>
      </c>
      <c r="K27" s="13">
        <v>5.7881944444444441E-4</v>
      </c>
      <c r="L27" s="13">
        <v>1.4707175925925927E-3</v>
      </c>
      <c r="M27" s="13">
        <v>1.3511574074074075E-3</v>
      </c>
    </row>
    <row r="28" spans="1:13" x14ac:dyDescent="0.25">
      <c r="A28" s="2">
        <f t="shared" si="0"/>
        <v>2023</v>
      </c>
      <c r="B28" s="12">
        <v>3.8692129629629629E-4</v>
      </c>
      <c r="C28" s="12">
        <v>5.7094907407407409E-4</v>
      </c>
      <c r="D28" s="12">
        <v>8.1261574074074081E-4</v>
      </c>
      <c r="E28" s="12">
        <v>6.613425925925926E-4</v>
      </c>
      <c r="F28" s="12">
        <v>1.647222222222222E-3</v>
      </c>
      <c r="G28" s="14">
        <v>1.4339120370370371E-3</v>
      </c>
      <c r="H28" s="12">
        <v>3.3807870370370372E-4</v>
      </c>
      <c r="I28" s="12">
        <v>5.3194444444444448E-4</v>
      </c>
      <c r="J28" s="12">
        <v>6.9027777777777783E-4</v>
      </c>
      <c r="K28" s="12">
        <v>5.7881944444444441E-4</v>
      </c>
      <c r="L28" s="12">
        <v>1.4707175925925927E-3</v>
      </c>
      <c r="M28" s="12">
        <v>1.3511574074074075E-3</v>
      </c>
    </row>
    <row r="29" spans="1:13" x14ac:dyDescent="0.25">
      <c r="A29" s="2">
        <f t="shared" si="0"/>
        <v>2024</v>
      </c>
      <c r="B29" s="13">
        <v>3.8692129629629629E-4</v>
      </c>
      <c r="C29" s="13">
        <v>5.7094907407407409E-4</v>
      </c>
      <c r="D29" s="13">
        <v>7.9976851851851845E-4</v>
      </c>
      <c r="E29" s="13">
        <v>6.607638888888889E-4</v>
      </c>
      <c r="F29" s="13">
        <v>1.647222222222222E-3</v>
      </c>
      <c r="G29" s="15">
        <v>1.4339120370370371E-3</v>
      </c>
      <c r="H29" s="13">
        <v>3.3425925925925924E-4</v>
      </c>
      <c r="I29" s="13">
        <v>5.2685185185185192E-4</v>
      </c>
      <c r="J29" s="13">
        <v>6.9027777777777783E-4</v>
      </c>
      <c r="K29" s="13">
        <v>5.7881944444444441E-4</v>
      </c>
      <c r="L29" s="13">
        <v>1.4707175925925927E-3</v>
      </c>
      <c r="M29" s="13">
        <v>1.3511574074074075E-3</v>
      </c>
    </row>
    <row r="30" spans="1:13" x14ac:dyDescent="0.25">
      <c r="A30" s="2">
        <f t="shared" si="0"/>
        <v>2025</v>
      </c>
      <c r="B30" s="12">
        <v>3.8287037037037033E-4</v>
      </c>
      <c r="C30" s="12">
        <v>5.7094907407407409E-4</v>
      </c>
      <c r="D30" s="12">
        <v>7.9976851851851845E-4</v>
      </c>
      <c r="E30" s="12">
        <v>6.607638888888889E-4</v>
      </c>
      <c r="F30" s="12">
        <v>1.6468749999999999E-3</v>
      </c>
      <c r="G30" s="14">
        <v>1.4339120370370371E-3</v>
      </c>
      <c r="H30" s="12">
        <v>3.3425925925925924E-4</v>
      </c>
      <c r="I30" s="12">
        <v>5.2685185185185192E-4</v>
      </c>
      <c r="J30" s="12">
        <v>6.9027777777777783E-4</v>
      </c>
      <c r="K30" s="12">
        <v>5.7881944444444441E-4</v>
      </c>
      <c r="L30" s="12">
        <v>1.4707175925925927E-3</v>
      </c>
      <c r="M30" s="12">
        <v>1.3511574074074075E-3</v>
      </c>
    </row>
    <row r="31" spans="1:13" x14ac:dyDescent="0.25">
      <c r="A31" s="2">
        <f t="shared" si="0"/>
        <v>2026</v>
      </c>
      <c r="B31" s="12"/>
      <c r="C31" s="12"/>
      <c r="D31" s="12"/>
      <c r="E31" s="12"/>
      <c r="F31" s="12"/>
      <c r="G31" s="14"/>
      <c r="H31" s="12"/>
      <c r="I31" s="12"/>
      <c r="J31" s="12"/>
      <c r="K31" s="12"/>
      <c r="L31" s="12"/>
      <c r="M31" s="12"/>
    </row>
  </sheetData>
  <conditionalFormatting sqref="B5:G31">
    <cfRule type="expression" dxfId="3" priority="1">
      <formula>B5&lt;&gt;B4</formula>
    </cfRule>
  </conditionalFormatting>
  <conditionalFormatting sqref="H5:M31">
    <cfRule type="expression" dxfId="2" priority="2">
      <formula>H5&lt;&gt;H4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FB6C-7DEA-4C95-82B5-1769BD3934D8}">
  <sheetPr codeName="Tabelle2"/>
  <dimension ref="A1:M31"/>
  <sheetViews>
    <sheetView workbookViewId="0">
      <selection activeCell="M32" sqref="M32"/>
    </sheetView>
  </sheetViews>
  <sheetFormatPr baseColWidth="10" defaultRowHeight="15" x14ac:dyDescent="0.25"/>
  <cols>
    <col min="1" max="1" width="11.85546875" customWidth="1"/>
    <col min="2" max="5" width="18.7109375" customWidth="1"/>
    <col min="6" max="6" width="21.140625" customWidth="1"/>
    <col min="7" max="11" width="18.7109375" customWidth="1"/>
    <col min="12" max="12" width="22.140625" customWidth="1"/>
    <col min="13" max="13" width="18.7109375" customWidth="1"/>
  </cols>
  <sheetData>
    <row r="1" spans="1:13" ht="16.5" customHeight="1" x14ac:dyDescent="0.25">
      <c r="A1" s="44" t="s">
        <v>39</v>
      </c>
      <c r="B1" s="45" t="s">
        <v>78</v>
      </c>
      <c r="C1" s="45" t="s">
        <v>80</v>
      </c>
      <c r="D1" s="45" t="s">
        <v>78</v>
      </c>
      <c r="E1" s="45" t="s">
        <v>82</v>
      </c>
      <c r="F1" s="45" t="s">
        <v>83</v>
      </c>
      <c r="G1" s="45" t="s">
        <v>85</v>
      </c>
      <c r="H1" s="46" t="s">
        <v>57</v>
      </c>
      <c r="I1" s="46" t="s">
        <v>58</v>
      </c>
      <c r="J1" s="46" t="s">
        <v>52</v>
      </c>
      <c r="K1" s="46" t="s">
        <v>64</v>
      </c>
      <c r="L1" s="46" t="s">
        <v>66</v>
      </c>
      <c r="M1" s="46" t="s">
        <v>61</v>
      </c>
    </row>
    <row r="2" spans="1:13" ht="16.5" customHeight="1" x14ac:dyDescent="0.25">
      <c r="A2" s="44" t="s">
        <v>40</v>
      </c>
      <c r="B2" s="47" t="s">
        <v>29</v>
      </c>
      <c r="C2" s="47" t="s">
        <v>81</v>
      </c>
      <c r="D2" s="47" t="s">
        <v>62</v>
      </c>
      <c r="E2" s="47" t="s">
        <v>67</v>
      </c>
      <c r="F2" s="47" t="s">
        <v>84</v>
      </c>
      <c r="G2" s="47" t="s">
        <v>86</v>
      </c>
      <c r="H2" s="47" t="s">
        <v>65</v>
      </c>
      <c r="I2" s="47" t="s">
        <v>59</v>
      </c>
      <c r="J2" s="47" t="s">
        <v>133</v>
      </c>
      <c r="K2" s="47" t="s">
        <v>65</v>
      </c>
      <c r="L2" s="47" t="s">
        <v>77</v>
      </c>
      <c r="M2" s="47" t="s">
        <v>65</v>
      </c>
    </row>
    <row r="3" spans="1:13" ht="16.5" customHeight="1" x14ac:dyDescent="0.25">
      <c r="A3" s="44" t="s">
        <v>41</v>
      </c>
      <c r="B3" s="47" t="s">
        <v>79</v>
      </c>
      <c r="C3" s="47" t="s">
        <v>45</v>
      </c>
      <c r="D3" s="47" t="s">
        <v>79</v>
      </c>
      <c r="E3" s="47" t="s">
        <v>43</v>
      </c>
      <c r="F3" s="47" t="s">
        <v>60</v>
      </c>
      <c r="G3" s="47" t="s">
        <v>87</v>
      </c>
      <c r="H3" s="47" t="s">
        <v>43</v>
      </c>
      <c r="I3" s="47" t="s">
        <v>60</v>
      </c>
      <c r="J3" s="47" t="s">
        <v>45</v>
      </c>
      <c r="K3" s="47" t="s">
        <v>48</v>
      </c>
      <c r="L3" s="47" t="s">
        <v>45</v>
      </c>
      <c r="M3" s="47" t="s">
        <v>63</v>
      </c>
    </row>
    <row r="4" spans="1:13" ht="15.75" thickBot="1" x14ac:dyDescent="0.3">
      <c r="A4" s="3" t="s">
        <v>10</v>
      </c>
      <c r="B4" s="48" t="s">
        <v>0</v>
      </c>
      <c r="C4" s="48" t="s">
        <v>1</v>
      </c>
      <c r="D4" s="48" t="s">
        <v>2</v>
      </c>
      <c r="E4" s="48" t="s">
        <v>3</v>
      </c>
      <c r="F4" s="48" t="s">
        <v>4</v>
      </c>
      <c r="G4" s="49" t="s">
        <v>5</v>
      </c>
      <c r="H4" s="50" t="s">
        <v>12</v>
      </c>
      <c r="I4" s="50" t="s">
        <v>96</v>
      </c>
      <c r="J4" s="50" t="s">
        <v>97</v>
      </c>
      <c r="K4" s="50" t="s">
        <v>98</v>
      </c>
      <c r="L4" s="50" t="s">
        <v>99</v>
      </c>
      <c r="M4" s="50" t="s">
        <v>100</v>
      </c>
    </row>
    <row r="5" spans="1:13" x14ac:dyDescent="0.25">
      <c r="A5" s="2">
        <v>2000</v>
      </c>
      <c r="B5" s="12"/>
      <c r="C5" s="12">
        <v>7.0497685185185192E-4</v>
      </c>
      <c r="D5" s="12"/>
      <c r="E5" s="12">
        <v>7.3368055555555556E-4</v>
      </c>
      <c r="F5" s="12"/>
      <c r="G5" s="14">
        <v>1.5353009259259261E-3</v>
      </c>
      <c r="H5" s="12"/>
      <c r="I5" s="12">
        <v>6.0335648148148152E-4</v>
      </c>
      <c r="J5" s="12"/>
      <c r="K5" s="12">
        <v>6.4687499999999999E-4</v>
      </c>
      <c r="L5" s="12"/>
      <c r="M5" s="12">
        <v>1.3629629629629632E-3</v>
      </c>
    </row>
    <row r="6" spans="1:13" x14ac:dyDescent="0.25">
      <c r="A6" s="2">
        <f t="shared" ref="A6:A31" si="0">A5+1</f>
        <v>2001</v>
      </c>
      <c r="B6" s="13">
        <v>4.5000000000000004E-4</v>
      </c>
      <c r="C6" s="13">
        <v>6.864583333333333E-4</v>
      </c>
      <c r="D6" s="13">
        <v>9.1134259259259261E-4</v>
      </c>
      <c r="E6" s="13">
        <v>7.3368055555555556E-4</v>
      </c>
      <c r="F6" s="13">
        <v>1.7942129629629629E-3</v>
      </c>
      <c r="G6" s="15">
        <v>1.5353009259259261E-3</v>
      </c>
      <c r="H6" s="13">
        <v>3.7476851851851858E-4</v>
      </c>
      <c r="I6" s="13">
        <v>6.0335648148148152E-4</v>
      </c>
      <c r="J6" s="13">
        <v>7.6516203703703718E-4</v>
      </c>
      <c r="K6" s="13">
        <v>6.4687499999999999E-4</v>
      </c>
      <c r="L6" s="13">
        <v>1.5703703703703704E-3</v>
      </c>
      <c r="M6" s="13">
        <v>1.3629629629629632E-3</v>
      </c>
    </row>
    <row r="7" spans="1:13" x14ac:dyDescent="0.25">
      <c r="A7" s="2">
        <f t="shared" si="0"/>
        <v>2002</v>
      </c>
      <c r="B7" s="12">
        <v>4.1504629629629633E-4</v>
      </c>
      <c r="C7" s="12">
        <v>6.9363425925925929E-4</v>
      </c>
      <c r="D7" s="12">
        <v>8.6585648148148166E-4</v>
      </c>
      <c r="E7" s="12">
        <v>7.3368055555555556E-4</v>
      </c>
      <c r="F7" s="12">
        <v>1.7427083333333333E-3</v>
      </c>
      <c r="G7" s="14">
        <v>1.5210648148148147E-3</v>
      </c>
      <c r="H7" s="12">
        <v>3.5949074074074073E-4</v>
      </c>
      <c r="I7" s="12">
        <v>6.0335648148148152E-4</v>
      </c>
      <c r="J7" s="12">
        <v>7.3287037037037027E-4</v>
      </c>
      <c r="K7" s="12">
        <v>6.3622685185185191E-4</v>
      </c>
      <c r="L7" s="12">
        <v>1.5243055555555554E-3</v>
      </c>
      <c r="M7" s="12">
        <v>1.3346064814814815E-3</v>
      </c>
    </row>
    <row r="8" spans="1:13" x14ac:dyDescent="0.25">
      <c r="A8" s="2">
        <f t="shared" si="0"/>
        <v>2003</v>
      </c>
      <c r="B8" s="13">
        <v>4.1446759259259258E-4</v>
      </c>
      <c r="C8" s="13">
        <v>6.9363425925925929E-4</v>
      </c>
      <c r="D8" s="13">
        <v>8.6585648148148166E-4</v>
      </c>
      <c r="E8" s="13">
        <v>7.2858796296296289E-4</v>
      </c>
      <c r="F8" s="13">
        <v>1.7341435185185185E-3</v>
      </c>
      <c r="G8" s="15">
        <v>1.5210648148148147E-3</v>
      </c>
      <c r="H8" s="13">
        <v>3.5532407407407404E-4</v>
      </c>
      <c r="I8" s="13">
        <v>5.8472222222222226E-4</v>
      </c>
      <c r="J8" s="13">
        <v>7.3287037037037027E-4</v>
      </c>
      <c r="K8" s="13">
        <v>6.3460648148148144E-4</v>
      </c>
      <c r="L8" s="13">
        <v>1.5031249999999999E-3</v>
      </c>
      <c r="M8" s="13">
        <v>1.3346064814814815E-3</v>
      </c>
    </row>
    <row r="9" spans="1:13" x14ac:dyDescent="0.25">
      <c r="A9" s="2">
        <f t="shared" si="0"/>
        <v>2004</v>
      </c>
      <c r="B9" s="12">
        <v>4.130787037037037E-4</v>
      </c>
      <c r="C9" s="12">
        <v>6.9363425925925929E-4</v>
      </c>
      <c r="D9" s="12">
        <v>8.524305555555556E-4</v>
      </c>
      <c r="E9" s="12">
        <v>7.1979166666666665E-4</v>
      </c>
      <c r="F9" s="12">
        <v>1.7252314814814815E-3</v>
      </c>
      <c r="G9" s="14">
        <v>1.5210648148148147E-3</v>
      </c>
      <c r="H9" s="12">
        <v>3.5532407407407404E-4</v>
      </c>
      <c r="I9" s="12">
        <v>5.8472222222222226E-4</v>
      </c>
      <c r="J9" s="12">
        <v>7.2893518518518522E-4</v>
      </c>
      <c r="K9" s="12">
        <v>6.2210648148148151E-4</v>
      </c>
      <c r="L9" s="12">
        <v>1.4964120370370372E-3</v>
      </c>
      <c r="M9" s="12">
        <v>1.3346064814814815E-3</v>
      </c>
    </row>
    <row r="10" spans="1:13" x14ac:dyDescent="0.25">
      <c r="A10" s="2">
        <f t="shared" si="0"/>
        <v>2005</v>
      </c>
      <c r="B10" s="13">
        <v>4.1203703703703709E-4</v>
      </c>
      <c r="C10" s="13">
        <v>6.9363425925925929E-4</v>
      </c>
      <c r="D10" s="13">
        <v>8.524305555555556E-4</v>
      </c>
      <c r="E10" s="13">
        <v>7.1979166666666665E-4</v>
      </c>
      <c r="F10" s="13">
        <v>1.7252314814814815E-3</v>
      </c>
      <c r="G10" s="15">
        <v>1.5210648148148147E-3</v>
      </c>
      <c r="H10" s="13">
        <v>3.5532407407407404E-4</v>
      </c>
      <c r="I10" s="13">
        <v>5.8425925925925919E-4</v>
      </c>
      <c r="J10" s="13">
        <v>7.1458333333333324E-4</v>
      </c>
      <c r="K10" s="13">
        <v>6.2210648148148151E-4</v>
      </c>
      <c r="L10" s="13">
        <v>1.4964120370370372E-3</v>
      </c>
      <c r="M10" s="13">
        <v>1.3346064814814815E-3</v>
      </c>
    </row>
    <row r="11" spans="1:13" x14ac:dyDescent="0.25">
      <c r="A11" s="2">
        <f t="shared" si="0"/>
        <v>2006</v>
      </c>
      <c r="B11" s="12">
        <v>4.0810185185185182E-4</v>
      </c>
      <c r="C11" s="12">
        <v>6.5891203703703695E-4</v>
      </c>
      <c r="D11" s="12">
        <v>8.4236111111111111E-4</v>
      </c>
      <c r="E11" s="12">
        <v>7.1979166666666665E-4</v>
      </c>
      <c r="F11" s="12">
        <v>1.7197916666666666E-3</v>
      </c>
      <c r="G11" s="14">
        <v>1.5043981481481479E-3</v>
      </c>
      <c r="H11" s="12">
        <v>3.5520833333333341E-4</v>
      </c>
      <c r="I11" s="12">
        <v>5.8425925925925919E-4</v>
      </c>
      <c r="J11" s="12">
        <v>7.3657407407407406E-4</v>
      </c>
      <c r="K11" s="12">
        <v>6.2210648148148151E-4</v>
      </c>
      <c r="L11" s="12">
        <v>1.4964120370370372E-3</v>
      </c>
      <c r="M11" s="12">
        <v>1.3346064814814815E-3</v>
      </c>
    </row>
    <row r="12" spans="1:13" x14ac:dyDescent="0.25">
      <c r="A12" s="2">
        <f t="shared" si="0"/>
        <v>2007</v>
      </c>
      <c r="B12" s="13">
        <v>4.0810185185185182E-4</v>
      </c>
      <c r="C12" s="13">
        <v>6.5891203703703695E-4</v>
      </c>
      <c r="D12" s="13">
        <v>8.4236111111111111E-4</v>
      </c>
      <c r="E12" s="13">
        <v>7.1712962962962963E-4</v>
      </c>
      <c r="F12" s="13">
        <v>1.7197916666666666E-3</v>
      </c>
      <c r="G12" s="15">
        <v>1.4934027777777777E-3</v>
      </c>
      <c r="H12" s="13">
        <v>3.4120370370370375E-4</v>
      </c>
      <c r="I12" s="13">
        <v>5.7280092592592593E-4</v>
      </c>
      <c r="J12" s="13">
        <v>7.2615740740740746E-4</v>
      </c>
      <c r="K12" s="13">
        <v>6.2210648148148151E-4</v>
      </c>
      <c r="L12" s="13">
        <v>1.4964120370370372E-3</v>
      </c>
      <c r="M12" s="13">
        <v>1.3346064814814815E-3</v>
      </c>
    </row>
    <row r="13" spans="1:13" x14ac:dyDescent="0.25">
      <c r="A13" s="2">
        <f t="shared" si="0"/>
        <v>2008</v>
      </c>
      <c r="B13" s="12">
        <v>4.0810185185185182E-4</v>
      </c>
      <c r="C13" s="12">
        <v>6.5891203703703695E-4</v>
      </c>
      <c r="D13" s="12">
        <v>8.4236111111111111E-4</v>
      </c>
      <c r="E13" s="12">
        <v>7.0150462962962961E-4</v>
      </c>
      <c r="F13" s="12">
        <v>1.7197916666666666E-3</v>
      </c>
      <c r="G13" s="14">
        <v>1.4934027777777777E-3</v>
      </c>
      <c r="H13" s="12">
        <v>3.4120370370370375E-4</v>
      </c>
      <c r="I13" s="12">
        <v>5.7199074074074075E-4</v>
      </c>
      <c r="J13" s="12">
        <v>7.1435185185185187E-4</v>
      </c>
      <c r="K13" s="12">
        <v>6.2210648148148151E-4</v>
      </c>
      <c r="L13" s="12">
        <v>1.4964120370370372E-3</v>
      </c>
      <c r="M13" s="12">
        <v>1.3346064814814815E-3</v>
      </c>
    </row>
    <row r="14" spans="1:13" x14ac:dyDescent="0.25">
      <c r="A14" s="2">
        <f t="shared" si="0"/>
        <v>2009</v>
      </c>
      <c r="B14" s="13">
        <v>4.0810185185185182E-4</v>
      </c>
      <c r="C14" s="13">
        <v>6.5289351851851847E-4</v>
      </c>
      <c r="D14" s="13">
        <v>8.4236111111111111E-4</v>
      </c>
      <c r="E14" s="13">
        <v>7.0150462962962961E-4</v>
      </c>
      <c r="F14" s="13">
        <v>1.7197916666666666E-3</v>
      </c>
      <c r="G14" s="15">
        <v>1.4106481481481481E-3</v>
      </c>
      <c r="H14" s="13">
        <v>3.3495370370370368E-4</v>
      </c>
      <c r="I14" s="13">
        <v>5.597222222222222E-4</v>
      </c>
      <c r="J14" s="13">
        <v>6.9189814814814819E-4</v>
      </c>
      <c r="K14" s="13">
        <v>6.2210648148148151E-4</v>
      </c>
      <c r="L14" s="13">
        <v>1.4964120370370372E-3</v>
      </c>
      <c r="M14" s="13">
        <v>1.3306712962962966E-3</v>
      </c>
    </row>
    <row r="15" spans="1:13" x14ac:dyDescent="0.25">
      <c r="A15" s="2">
        <f t="shared" si="0"/>
        <v>2010</v>
      </c>
      <c r="B15" s="12">
        <v>4.0810185185185182E-4</v>
      </c>
      <c r="C15" s="12">
        <v>6.5289351851851847E-4</v>
      </c>
      <c r="D15" s="12">
        <v>8.4178240740740741E-4</v>
      </c>
      <c r="E15" s="12">
        <v>7.0150462962962961E-4</v>
      </c>
      <c r="F15" s="12">
        <v>1.7197916666666666E-3</v>
      </c>
      <c r="G15" s="14">
        <v>1.4106481481481481E-3</v>
      </c>
      <c r="H15" s="12">
        <v>3.3495370370370368E-4</v>
      </c>
      <c r="I15" s="12">
        <v>5.597222222222222E-4</v>
      </c>
      <c r="J15" s="12">
        <v>6.9189814814814819E-4</v>
      </c>
      <c r="K15" s="12">
        <v>6.2210648148148151E-4</v>
      </c>
      <c r="L15" s="12">
        <v>1.4964120370370372E-3</v>
      </c>
      <c r="M15" s="12">
        <v>1.3306712962962966E-3</v>
      </c>
    </row>
    <row r="16" spans="1:13" x14ac:dyDescent="0.25">
      <c r="A16" s="2">
        <f t="shared" si="0"/>
        <v>2011</v>
      </c>
      <c r="B16" s="13">
        <v>4.0810185185185182E-4</v>
      </c>
      <c r="C16" s="13">
        <v>6.5254629629629636E-4</v>
      </c>
      <c r="D16" s="13">
        <v>8.4027777777777779E-4</v>
      </c>
      <c r="E16" s="13">
        <v>7.0011574074074073E-4</v>
      </c>
      <c r="F16" s="13">
        <v>1.6951388888888886E-3</v>
      </c>
      <c r="G16" s="15">
        <v>1.4106481481481481E-3</v>
      </c>
      <c r="H16" s="13">
        <v>3.3495370370370368E-4</v>
      </c>
      <c r="I16" s="13">
        <v>5.5416666666666667E-4</v>
      </c>
      <c r="J16" s="13">
        <v>6.9189814814814819E-4</v>
      </c>
      <c r="K16" s="13">
        <v>6.1273148148148146E-4</v>
      </c>
      <c r="L16" s="13">
        <v>1.4798611111111113E-3</v>
      </c>
      <c r="M16" s="13">
        <v>1.3306712962962966E-3</v>
      </c>
    </row>
    <row r="17" spans="1:13" x14ac:dyDescent="0.25">
      <c r="A17" s="2">
        <f t="shared" si="0"/>
        <v>2012</v>
      </c>
      <c r="B17" s="12">
        <v>4.0810185185185182E-4</v>
      </c>
      <c r="C17" s="12">
        <v>6.5254629629629636E-4</v>
      </c>
      <c r="D17" s="12">
        <v>8.244212962962963E-4</v>
      </c>
      <c r="E17" s="12">
        <v>6.9224537037037041E-4</v>
      </c>
      <c r="F17" s="12">
        <v>1.6730324074074076E-3</v>
      </c>
      <c r="G17" s="14">
        <v>1.4106481481481481E-3</v>
      </c>
      <c r="H17" s="12">
        <v>3.3495370370370368E-4</v>
      </c>
      <c r="I17" s="12">
        <v>5.3749999999999989E-4</v>
      </c>
      <c r="J17" s="12">
        <v>6.9189814814814819E-4</v>
      </c>
      <c r="K17" s="12">
        <v>5.9444444444444443E-4</v>
      </c>
      <c r="L17" s="12">
        <v>1.4798611111111113E-3</v>
      </c>
      <c r="M17" s="12">
        <v>1.312962962962963E-3</v>
      </c>
    </row>
    <row r="18" spans="1:13" x14ac:dyDescent="0.25">
      <c r="A18" s="2">
        <f t="shared" si="0"/>
        <v>2013</v>
      </c>
      <c r="B18" s="13">
        <v>4.0208333333333334E-4</v>
      </c>
      <c r="C18" s="13">
        <v>6.4490740740740741E-4</v>
      </c>
      <c r="D18" s="13">
        <v>8.0543981481481482E-4</v>
      </c>
      <c r="E18" s="13">
        <v>6.9074074074074079E-4</v>
      </c>
      <c r="F18" s="13">
        <v>1.6730324074074076E-3</v>
      </c>
      <c r="G18" s="15">
        <v>1.4106481481481481E-3</v>
      </c>
      <c r="H18" s="13">
        <v>3.3495370370370368E-4</v>
      </c>
      <c r="I18" s="13">
        <v>5.322916666666667E-4</v>
      </c>
      <c r="J18" s="13">
        <v>6.9189814814814819E-4</v>
      </c>
      <c r="K18" s="13">
        <v>5.84837962962963E-4</v>
      </c>
      <c r="L18" s="13">
        <v>1.4621527777777777E-3</v>
      </c>
      <c r="M18" s="13">
        <v>1.312962962962963E-3</v>
      </c>
    </row>
    <row r="19" spans="1:13" x14ac:dyDescent="0.25">
      <c r="A19" s="2">
        <f t="shared" si="0"/>
        <v>2014</v>
      </c>
      <c r="B19" s="12">
        <v>4.0208333333333334E-4</v>
      </c>
      <c r="C19" s="12">
        <v>5.9768518518518515E-4</v>
      </c>
      <c r="D19" s="12">
        <v>8.0069444444444448E-4</v>
      </c>
      <c r="E19" s="12">
        <v>6.7164351851851857E-4</v>
      </c>
      <c r="F19" s="12">
        <v>1.6690972222222222E-3</v>
      </c>
      <c r="G19" s="14">
        <v>1.4106481481481481E-3</v>
      </c>
      <c r="H19" s="12">
        <v>3.2696759259259262E-4</v>
      </c>
      <c r="I19" s="12">
        <v>5.2256944444444443E-4</v>
      </c>
      <c r="J19" s="12">
        <v>6.9189814814814819E-4</v>
      </c>
      <c r="K19" s="12">
        <v>5.8287037037037042E-4</v>
      </c>
      <c r="L19" s="12">
        <v>1.454398148148148E-3</v>
      </c>
      <c r="M19" s="12">
        <v>1.3116898148148148E-3</v>
      </c>
    </row>
    <row r="20" spans="1:13" x14ac:dyDescent="0.25">
      <c r="A20" s="2">
        <f t="shared" si="0"/>
        <v>2015</v>
      </c>
      <c r="B20" s="13">
        <v>3.9664351851851856E-4</v>
      </c>
      <c r="C20" s="13">
        <v>5.9768518518518515E-4</v>
      </c>
      <c r="D20" s="13">
        <v>7.969907407407408E-4</v>
      </c>
      <c r="E20" s="13">
        <v>6.7164351851851857E-4</v>
      </c>
      <c r="F20" s="13">
        <v>1.6690972222222222E-3</v>
      </c>
      <c r="G20" s="15">
        <v>1.4106481481481481E-3</v>
      </c>
      <c r="H20" s="13">
        <v>3.2696759259259262E-4</v>
      </c>
      <c r="I20" s="13">
        <v>5.2256944444444443E-4</v>
      </c>
      <c r="J20" s="13">
        <v>6.9189814814814819E-4</v>
      </c>
      <c r="K20" s="13">
        <v>5.8287037037037042E-4</v>
      </c>
      <c r="L20" s="13">
        <v>1.454398148148148E-3</v>
      </c>
      <c r="M20" s="13">
        <v>1.3116898148148148E-3</v>
      </c>
    </row>
    <row r="21" spans="1:13" x14ac:dyDescent="0.25">
      <c r="A21" s="2">
        <f t="shared" si="0"/>
        <v>2016</v>
      </c>
      <c r="B21" s="12">
        <v>3.7951388888888887E-4</v>
      </c>
      <c r="C21" s="12">
        <v>5.9768518518518515E-4</v>
      </c>
      <c r="D21" s="12">
        <v>7.969907407407408E-4</v>
      </c>
      <c r="E21" s="12">
        <v>6.7060185185185191E-4</v>
      </c>
      <c r="F21" s="12">
        <v>1.6438657407407409E-3</v>
      </c>
      <c r="G21" s="14">
        <v>1.4106481481481481E-3</v>
      </c>
      <c r="H21" s="12">
        <v>3.2476851851851845E-4</v>
      </c>
      <c r="I21" s="12">
        <v>5.2256944444444443E-4</v>
      </c>
      <c r="J21" s="12">
        <v>6.8726851851851848E-4</v>
      </c>
      <c r="K21" s="12">
        <v>5.7719907407407405E-4</v>
      </c>
      <c r="L21" s="12">
        <v>1.4452546296296297E-3</v>
      </c>
      <c r="M21" s="12">
        <v>1.3116898148148148E-3</v>
      </c>
    </row>
    <row r="22" spans="1:13" x14ac:dyDescent="0.25">
      <c r="A22" s="2">
        <f t="shared" si="0"/>
        <v>2017</v>
      </c>
      <c r="B22" s="13">
        <v>3.7951388888888887E-4</v>
      </c>
      <c r="C22" s="13">
        <v>5.9768518518518515E-4</v>
      </c>
      <c r="D22" s="13">
        <v>7.969907407407408E-4</v>
      </c>
      <c r="E22" s="13">
        <v>6.6180555555555556E-4</v>
      </c>
      <c r="F22" s="13">
        <v>1.6403935185185185E-3</v>
      </c>
      <c r="G22" s="15">
        <v>1.4106481481481481E-3</v>
      </c>
      <c r="H22" s="13">
        <v>3.1562499999999999E-4</v>
      </c>
      <c r="I22" s="13">
        <v>5.2187500000000009E-4</v>
      </c>
      <c r="J22" s="13">
        <v>6.8113425925925926E-4</v>
      </c>
      <c r="K22" s="13">
        <v>5.6736111111111115E-4</v>
      </c>
      <c r="L22" s="13">
        <v>1.4390046296296295E-3</v>
      </c>
      <c r="M22" s="13">
        <v>1.3116898148148148E-3</v>
      </c>
    </row>
    <row r="23" spans="1:13" x14ac:dyDescent="0.25">
      <c r="A23" s="2">
        <f t="shared" si="0"/>
        <v>2018</v>
      </c>
      <c r="B23" s="12">
        <v>3.7951388888888887E-4</v>
      </c>
      <c r="C23" s="12">
        <v>5.836805555555556E-4</v>
      </c>
      <c r="D23" s="12">
        <v>7.969907407407408E-4</v>
      </c>
      <c r="E23" s="12">
        <v>6.6030092592592583E-4</v>
      </c>
      <c r="F23" s="12">
        <v>1.6390046296296298E-3</v>
      </c>
      <c r="G23" s="14">
        <v>1.4106481481481481E-3</v>
      </c>
      <c r="H23" s="12">
        <v>3.1562499999999999E-4</v>
      </c>
      <c r="I23" s="12">
        <v>5.1168981481481475E-4</v>
      </c>
      <c r="J23" s="12">
        <v>6.8113425925925926E-4</v>
      </c>
      <c r="K23" s="12">
        <v>5.6736111111111115E-4</v>
      </c>
      <c r="L23" s="12">
        <v>1.4390046296296295E-3</v>
      </c>
      <c r="M23" s="12">
        <v>1.3116898148148148E-3</v>
      </c>
    </row>
    <row r="24" spans="1:13" x14ac:dyDescent="0.25">
      <c r="A24" s="2">
        <f t="shared" si="0"/>
        <v>2019</v>
      </c>
      <c r="B24" s="13">
        <v>3.7951388888888887E-4</v>
      </c>
      <c r="C24" s="13">
        <v>5.7094907407407409E-4</v>
      </c>
      <c r="D24" s="13">
        <v>7.969907407407408E-4</v>
      </c>
      <c r="E24" s="13">
        <v>6.4120370370370373E-4</v>
      </c>
      <c r="F24" s="13">
        <v>1.6209490740740739E-3</v>
      </c>
      <c r="G24" s="15">
        <v>1.4106481481481481E-3</v>
      </c>
      <c r="H24" s="13">
        <v>3.1562499999999999E-4</v>
      </c>
      <c r="I24" s="13">
        <v>5.0972222222222228E-4</v>
      </c>
      <c r="J24" s="13">
        <v>6.8113425925925926E-4</v>
      </c>
      <c r="K24" s="13">
        <v>5.6736111111111115E-4</v>
      </c>
      <c r="L24" s="13">
        <v>1.4390046296296295E-3</v>
      </c>
      <c r="M24" s="13">
        <v>1.3097222222222223E-3</v>
      </c>
    </row>
    <row r="25" spans="1:13" x14ac:dyDescent="0.25">
      <c r="A25" s="2">
        <f t="shared" si="0"/>
        <v>2020</v>
      </c>
      <c r="B25" s="12">
        <v>3.7951388888888887E-4</v>
      </c>
      <c r="C25" s="12">
        <v>5.7094907407407409E-4</v>
      </c>
      <c r="D25" s="12">
        <v>7.969907407407408E-4</v>
      </c>
      <c r="E25" s="12">
        <v>6.4120370370370373E-4</v>
      </c>
      <c r="F25" s="12">
        <v>1.6209490740740739E-3</v>
      </c>
      <c r="G25" s="14">
        <v>1.4106481481481481E-3</v>
      </c>
      <c r="H25" s="12">
        <v>3.1562499999999999E-4</v>
      </c>
      <c r="I25" s="12">
        <v>5.0972222222222228E-4</v>
      </c>
      <c r="J25" s="12">
        <v>6.8113425925925926E-4</v>
      </c>
      <c r="K25" s="12">
        <v>5.6736111111111115E-4</v>
      </c>
      <c r="L25" s="12">
        <v>1.4390046296296295E-3</v>
      </c>
      <c r="M25" s="12">
        <v>1.3097222222222223E-3</v>
      </c>
    </row>
    <row r="26" spans="1:13" x14ac:dyDescent="0.25">
      <c r="A26" s="2">
        <f t="shared" si="0"/>
        <v>2021</v>
      </c>
      <c r="B26" s="13">
        <v>3.7951388888888887E-4</v>
      </c>
      <c r="C26" s="13">
        <v>5.7094907407407409E-4</v>
      </c>
      <c r="D26" s="13">
        <v>7.9398148148148145E-4</v>
      </c>
      <c r="E26" s="13">
        <v>6.4120370370370373E-4</v>
      </c>
      <c r="F26" s="13">
        <v>1.6065972222222222E-3</v>
      </c>
      <c r="G26" s="15">
        <v>1.4106481481481481E-3</v>
      </c>
      <c r="H26" s="13">
        <v>3.1562499999999999E-4</v>
      </c>
      <c r="I26" s="13">
        <v>5.0972222222222228E-4</v>
      </c>
      <c r="J26" s="13">
        <v>6.6736111111111108E-4</v>
      </c>
      <c r="K26" s="13">
        <v>5.6736111111111115E-4</v>
      </c>
      <c r="L26" s="13">
        <v>1.4390046296296295E-3</v>
      </c>
      <c r="M26" s="13">
        <v>1.3097222222222223E-3</v>
      </c>
    </row>
    <row r="27" spans="1:13" x14ac:dyDescent="0.25">
      <c r="A27" s="2">
        <f t="shared" si="0"/>
        <v>2022</v>
      </c>
      <c r="B27" s="12">
        <v>3.7951388888888887E-4</v>
      </c>
      <c r="C27" s="12">
        <v>5.7060185185185187E-4</v>
      </c>
      <c r="D27" s="12">
        <v>7.7592592592592589E-4</v>
      </c>
      <c r="E27" s="12">
        <v>6.4120370370370373E-4</v>
      </c>
      <c r="F27" s="12">
        <v>1.5748842592592594E-3</v>
      </c>
      <c r="G27" s="14">
        <v>1.4106481481481481E-3</v>
      </c>
      <c r="H27" s="12">
        <v>3.1562499999999999E-4</v>
      </c>
      <c r="I27" s="12">
        <v>5.0972222222222228E-4</v>
      </c>
      <c r="J27" s="12">
        <v>6.6736111111111108E-4</v>
      </c>
      <c r="K27" s="12">
        <v>5.6736111111111115E-4</v>
      </c>
      <c r="L27" s="12">
        <v>1.4390046296296295E-3</v>
      </c>
      <c r="M27" s="12">
        <v>1.3097222222222223E-3</v>
      </c>
    </row>
    <row r="28" spans="1:13" x14ac:dyDescent="0.25">
      <c r="A28" s="2">
        <f t="shared" si="0"/>
        <v>2023</v>
      </c>
      <c r="B28" s="13">
        <v>3.7835648148148147E-4</v>
      </c>
      <c r="C28" s="13">
        <v>5.7060185185185187E-4</v>
      </c>
      <c r="D28" s="13">
        <v>7.693287037037036E-4</v>
      </c>
      <c r="E28" s="13">
        <v>6.4120370370370373E-4</v>
      </c>
      <c r="F28" s="13">
        <v>1.5748842592592594E-3</v>
      </c>
      <c r="G28" s="15">
        <v>1.4106481481481481E-3</v>
      </c>
      <c r="H28" s="13">
        <v>3.1562499999999999E-4</v>
      </c>
      <c r="I28" s="13">
        <v>5.0972222222222228E-4</v>
      </c>
      <c r="J28" s="13">
        <v>6.6736111111111108E-4</v>
      </c>
      <c r="K28" s="13">
        <v>5.660879629629629E-4</v>
      </c>
      <c r="L28" s="13">
        <v>1.4233796296296295E-3</v>
      </c>
      <c r="M28" s="13">
        <v>1.3097222222222223E-3</v>
      </c>
    </row>
    <row r="29" spans="1:13" x14ac:dyDescent="0.25">
      <c r="A29" s="2">
        <f t="shared" si="0"/>
        <v>2024</v>
      </c>
      <c r="B29" s="12">
        <v>3.7268518518518526E-4</v>
      </c>
      <c r="C29" s="12">
        <v>5.7060185185185187E-4</v>
      </c>
      <c r="D29" s="12">
        <v>7.6099537037037032E-4</v>
      </c>
      <c r="E29" s="12">
        <v>6.3692129629629635E-4</v>
      </c>
      <c r="F29" s="12">
        <v>1.5748842592592594E-3</v>
      </c>
      <c r="G29" s="14">
        <v>1.4106481481481481E-3</v>
      </c>
      <c r="H29" s="12">
        <v>3.1481481481481481E-4</v>
      </c>
      <c r="I29" s="12">
        <v>5.0891203703703699E-4</v>
      </c>
      <c r="J29" s="12">
        <v>6.6736111111111108E-4</v>
      </c>
      <c r="K29" s="12">
        <v>5.5185185185185187E-4</v>
      </c>
      <c r="L29" s="12">
        <v>1.4233796296296295E-3</v>
      </c>
      <c r="M29" s="12">
        <v>1.2931712962962962E-3</v>
      </c>
    </row>
    <row r="30" spans="1:13" x14ac:dyDescent="0.25">
      <c r="A30" s="2">
        <f t="shared" si="0"/>
        <v>2025</v>
      </c>
      <c r="B30" s="13">
        <v>3.6435185185185187E-4</v>
      </c>
      <c r="C30" s="13">
        <v>5.7060185185185187E-4</v>
      </c>
      <c r="D30" s="13">
        <v>7.3715277777777776E-4</v>
      </c>
      <c r="E30" s="13">
        <v>6.2731481481481481E-4</v>
      </c>
      <c r="F30" s="13">
        <v>1.5748842592592594E-3</v>
      </c>
      <c r="G30" s="15">
        <v>1.4106481481481481E-3</v>
      </c>
      <c r="H30" s="13">
        <v>3.1481481481481481E-4</v>
      </c>
      <c r="I30" s="13">
        <v>5.0104166666666667E-4</v>
      </c>
      <c r="J30" s="13">
        <v>6.648148148148148E-4</v>
      </c>
      <c r="K30" s="13">
        <v>5.5185185185185187E-4</v>
      </c>
      <c r="L30" s="13">
        <v>1.4233796296296295E-3</v>
      </c>
      <c r="M30" s="13">
        <v>1.2931712962962962E-3</v>
      </c>
    </row>
    <row r="31" spans="1:13" x14ac:dyDescent="0.25">
      <c r="A31" s="2">
        <f t="shared" si="0"/>
        <v>2026</v>
      </c>
      <c r="B31" s="12"/>
      <c r="C31" s="12"/>
      <c r="D31" s="12"/>
      <c r="E31" s="12"/>
      <c r="F31" s="12"/>
      <c r="G31" s="14"/>
      <c r="H31" s="12"/>
      <c r="I31" s="12"/>
    </row>
  </sheetData>
  <conditionalFormatting sqref="B5:G31">
    <cfRule type="expression" dxfId="1" priority="2">
      <formula>B5&lt;&gt;B4</formula>
    </cfRule>
  </conditionalFormatting>
  <conditionalFormatting sqref="H5:M31">
    <cfRule type="expression" dxfId="0" priority="1">
      <formula>H5&lt;&gt;H4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A05-76A3-4AE3-B1B5-E78B06AE489F}">
  <sheetPr codeName="Tabelle3">
    <tabColor theme="4"/>
  </sheetPr>
  <dimension ref="A1:N37"/>
  <sheetViews>
    <sheetView workbookViewId="0">
      <selection activeCell="L18" sqref="L18"/>
    </sheetView>
  </sheetViews>
  <sheetFormatPr baseColWidth="10" defaultRowHeight="15" x14ac:dyDescent="0.25"/>
  <cols>
    <col min="1" max="1" width="16.85546875" style="1" customWidth="1"/>
    <col min="2" max="13" width="18.7109375" style="1" customWidth="1"/>
    <col min="14" max="14" width="25" style="1" bestFit="1" customWidth="1"/>
    <col min="15" max="16384" width="11.42578125" style="1"/>
  </cols>
  <sheetData>
    <row r="1" spans="1:14" ht="23.25" customHeight="1" thickBot="1" x14ac:dyDescent="0.3">
      <c r="A1" s="20">
        <v>2024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 t="s">
        <v>0</v>
      </c>
      <c r="I1" s="6" t="s">
        <v>1</v>
      </c>
      <c r="J1" s="6" t="s">
        <v>2</v>
      </c>
      <c r="K1" s="6" t="s">
        <v>3</v>
      </c>
      <c r="L1" s="6" t="s">
        <v>4</v>
      </c>
      <c r="M1" s="7" t="s">
        <v>5</v>
      </c>
      <c r="N1" s="3" t="s">
        <v>9</v>
      </c>
    </row>
    <row r="2" spans="1:14" ht="16.5" customHeight="1" x14ac:dyDescent="0.25">
      <c r="A2" s="21" t="s">
        <v>6</v>
      </c>
      <c r="B2" s="16">
        <f>ROUND(((2001/934)-((2001/934)^2+($N2-2534)/467)^(1/2))*VLOOKUP($A$1-1,WR_Youth[],COLUMN(B$1))*86400,2)</f>
        <v>44.41</v>
      </c>
      <c r="C2" s="16">
        <f>ROUND(((2001/934)-((2001/934)^2+($N2-2534)/467)^(1/2))*VLOOKUP($A$1-1,WR_Youth[],COLUMN(C$1))*86400,2)</f>
        <v>65.53</v>
      </c>
      <c r="D2" s="16">
        <f>ROUND(((2001/934)-((2001/934)^2+($N2-2534)/467)^(1/2))*VLOOKUP($A$1-1,WR_Youth[],COLUMN(D$1))*86400,2)</f>
        <v>93.26</v>
      </c>
      <c r="E2" s="16">
        <f>ROUND(((2001/934)-((2001/934)^2+($N2-2534)/467)^(1/2))*VLOOKUP($A$1-1,WR_Youth[],COLUMN(E$1))*86400,2)</f>
        <v>75.900000000000006</v>
      </c>
      <c r="F2" s="16">
        <f>ROUND(((2001/934)-((2001/934)^2+($N2-2534)/467)^(1/2))*VLOOKUP($A$1-1,WR_Youth[],COLUMN(F$1))*86400,2)</f>
        <v>189.05</v>
      </c>
      <c r="G2" s="17">
        <f>ROUND(((2001/934)-((2001/934)^2+($N2-2534)/467)^(1/2))*VLOOKUP($A$1-1,WR_Youth[],COLUMN(G$1))*86400,2)</f>
        <v>164.57</v>
      </c>
      <c r="H2" s="16">
        <f>ROUND(((2001/934)-((2001/934)^2+($N2-2534)/467)^(1/2))*VLOOKUP($A$1-1,WR_Youth[],COLUMN(H$1))*86400,2)</f>
        <v>38.799999999999997</v>
      </c>
      <c r="I2" s="16">
        <f>ROUND(((2001/934)-((2001/934)^2+($N2-2534)/467)^(1/2))*VLOOKUP($A$1-1,WR_Youth[],COLUMN(I$1))*86400,2)</f>
        <v>61.05</v>
      </c>
      <c r="J2" s="16">
        <f>ROUND(((2001/934)-((2001/934)^2+($N2-2534)/467)^(1/2))*VLOOKUP($A$1-1,WR_Youth[],COLUMN(J$1))*86400,2)</f>
        <v>79.22</v>
      </c>
      <c r="K2" s="16">
        <f>ROUND(((2001/934)-((2001/934)^2+($N2-2534)/467)^(1/2))*VLOOKUP($A$1-1,WR_Youth[],COLUMN(K$1))*86400,2)</f>
        <v>66.430000000000007</v>
      </c>
      <c r="L2" s="16">
        <f>ROUND(((2001/934)-((2001/934)^2+($N2-2534)/467)^(1/2))*VLOOKUP($A$1-1,WR_Youth[],COLUMN(L$1))*86400,2)</f>
        <v>168.79</v>
      </c>
      <c r="M2" s="17">
        <f>ROUND(((2001/934)-((2001/934)^2+($N2-2534)/467)^(1/2))*VLOOKUP($A$1-1,WR_Youth[],COLUMN(M$1))*86400,2)</f>
        <v>155.07</v>
      </c>
      <c r="N2" s="2">
        <v>700</v>
      </c>
    </row>
    <row r="3" spans="1:14" ht="16.5" customHeight="1" x14ac:dyDescent="0.25">
      <c r="A3" s="21" t="s">
        <v>7</v>
      </c>
      <c r="B3" s="18">
        <f>ROUND(((2001/934)-((2001/934)^2+($N3-2534)/467)^(1/2))*VLOOKUP($A$1-1,WR_Youth[],COLUMN(B$1))*86400,2)</f>
        <v>43.54</v>
      </c>
      <c r="C3" s="18">
        <f>ROUND(((2001/934)-((2001/934)^2+($N3-2534)/467)^(1/2))*VLOOKUP($A$1-1,WR_Youth[],COLUMN(C$1))*86400,2)</f>
        <v>64.25</v>
      </c>
      <c r="D3" s="18">
        <f>ROUND(((2001/934)-((2001/934)^2+($N3-2534)/467)^(1/2))*VLOOKUP($A$1-1,WR_Youth[],COLUMN(D$1))*86400,2)</f>
        <v>91.45</v>
      </c>
      <c r="E3" s="18">
        <f>ROUND(((2001/934)-((2001/934)^2+($N3-2534)/467)^(1/2))*VLOOKUP($A$1-1,WR_Youth[],COLUMN(E$1))*86400,2)</f>
        <v>74.42</v>
      </c>
      <c r="F3" s="18">
        <f>ROUND(((2001/934)-((2001/934)^2+($N3-2534)/467)^(1/2))*VLOOKUP($A$1-1,WR_Youth[],COLUMN(F$1))*86400,2)</f>
        <v>185.37</v>
      </c>
      <c r="G3" s="19">
        <f>ROUND(((2001/934)-((2001/934)^2+($N3-2534)/467)^(1/2))*VLOOKUP($A$1-1,WR_Youth[],COLUMN(G$1))*86400,2)</f>
        <v>161.36000000000001</v>
      </c>
      <c r="H3" s="18">
        <f>ROUND(((2001/934)-((2001/934)^2+($N3-2534)/467)^(1/2))*VLOOKUP($A$1-1,WR_Youth[],COLUMN(H$1))*86400,2)</f>
        <v>38.04</v>
      </c>
      <c r="I3" s="18">
        <f>ROUND(((2001/934)-((2001/934)^2+($N3-2534)/467)^(1/2))*VLOOKUP($A$1-1,WR_Youth[],COLUMN(I$1))*86400,2)</f>
        <v>59.86</v>
      </c>
      <c r="J3" s="18">
        <f>ROUND(((2001/934)-((2001/934)^2+($N3-2534)/467)^(1/2))*VLOOKUP($A$1-1,WR_Youth[],COLUMN(J$1))*86400,2)</f>
        <v>77.680000000000007</v>
      </c>
      <c r="K3" s="18">
        <f>ROUND(((2001/934)-((2001/934)^2+($N3-2534)/467)^(1/2))*VLOOKUP($A$1-1,WR_Youth[],COLUMN(K$1))*86400,2)</f>
        <v>65.14</v>
      </c>
      <c r="L3" s="18">
        <f>ROUND(((2001/934)-((2001/934)^2+($N3-2534)/467)^(1/2))*VLOOKUP($A$1-1,WR_Youth[],COLUMN(L$1))*86400,2)</f>
        <v>165.5</v>
      </c>
      <c r="M3" s="19">
        <f>ROUND(((2001/934)-((2001/934)^2+($N3-2534)/467)^(1/2))*VLOOKUP($A$1-1,WR_Youth[],COLUMN(M$1))*86400,2)</f>
        <v>152.05000000000001</v>
      </c>
      <c r="N3" s="2">
        <v>720</v>
      </c>
    </row>
    <row r="4" spans="1:14" ht="16.5" customHeight="1" x14ac:dyDescent="0.25">
      <c r="A4" s="21" t="s">
        <v>8</v>
      </c>
      <c r="B4" s="16">
        <f>ROUND(((2001/934)-((2001/934)^2+($N4-2534)/467)^(1/2))*VLOOKUP($A$1-1,WR_Open[],COLUMN(B$1))*86400,2)</f>
        <v>41.76</v>
      </c>
      <c r="C4" s="16">
        <f>ROUND(((2001/934)-((2001/934)^2+($N4-2534)/467)^(1/2))*VLOOKUP($A$1-1,WR_Open[],COLUMN(C$1))*86400,2)</f>
        <v>62.97</v>
      </c>
      <c r="D4" s="16">
        <f>ROUND(((2001/934)-((2001/934)^2+($N4-2534)/467)^(1/2))*VLOOKUP($A$1-1,WR_Open[],COLUMN(D$1))*86400,2)</f>
        <v>84.9</v>
      </c>
      <c r="E4" s="16">
        <f>ROUND(((2001/934)-((2001/934)^2+($N4-2534)/467)^(1/2))*VLOOKUP($A$1-1,WR_Open[],COLUMN(E$1))*86400,2)</f>
        <v>70.760000000000005</v>
      </c>
      <c r="F4" s="16">
        <f>ROUND(((2001/934)-((2001/934)^2+($N4-2534)/467)^(1/2))*VLOOKUP($A$1-1,WR_Open[],COLUMN(F$1))*86400,2)</f>
        <v>173.81</v>
      </c>
      <c r="G4" s="17">
        <f>ROUND(((2001/934)-((2001/934)^2+($N4-2534)/467)^(1/2))*VLOOKUP($A$1-1,WR_Open[],COLUMN(G$1))*86400,2)</f>
        <v>155.68</v>
      </c>
      <c r="H4" s="16">
        <f>ROUND(((2001/934)-((2001/934)^2+($N4-2534)/467)^(1/2))*VLOOKUP($A$1-1,WR_Open[],COLUMN(H$1))*86400,2)</f>
        <v>34.83</v>
      </c>
      <c r="I4" s="16">
        <f>ROUND(((2001/934)-((2001/934)^2+($N4-2534)/467)^(1/2))*VLOOKUP($A$1-1,WR_Open[],COLUMN(I$1))*86400,2)</f>
        <v>56.25</v>
      </c>
      <c r="J4" s="16">
        <f>ROUND(((2001/934)-((2001/934)^2+($N4-2534)/467)^(1/2))*VLOOKUP($A$1-1,WR_Open[],COLUMN(J$1))*86400,2)</f>
        <v>73.650000000000006</v>
      </c>
      <c r="K4" s="16">
        <f>ROUND(((2001/934)-((2001/934)^2+($N4-2534)/467)^(1/2))*VLOOKUP($A$1-1,WR_Open[],COLUMN(K$1))*86400,2)</f>
        <v>62.47</v>
      </c>
      <c r="L4" s="16">
        <f>ROUND(((2001/934)-((2001/934)^2+($N4-2534)/467)^(1/2))*VLOOKUP($A$1-1,WR_Open[],COLUMN(L$1))*86400,2)</f>
        <v>157.09</v>
      </c>
      <c r="M4" s="17">
        <f>ROUND(((2001/934)-((2001/934)^2+($N4-2534)/467)^(1/2))*VLOOKUP($A$1-1,WR_Open[],COLUMN(M$1))*86400,2)</f>
        <v>144.54</v>
      </c>
      <c r="N4" s="2">
        <v>740</v>
      </c>
    </row>
    <row r="7" spans="1:14" x14ac:dyDescent="0.25">
      <c r="A7" s="62" t="s">
        <v>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</row>
    <row r="8" spans="1:14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14" x14ac:dyDescent="0.25">
      <c r="A9" s="22" t="s">
        <v>6</v>
      </c>
      <c r="B9" s="33" t="str">
        <f t="shared" ref="B9:M11" si="0">CONCATENATE(ROUNDDOWN(B2/60,0),":",TEXT(B2-(60*ROUNDDOWN(B2/60,0)),"00,00"))</f>
        <v>0:44,41</v>
      </c>
      <c r="C9" s="33" t="str">
        <f>CONCATENATE(ROUNDDOWN(C2/60,0),":",TEXT(C2-(60*ROUNDDOWN(C2/60,0)),"00,00"))</f>
        <v>1:05,53</v>
      </c>
      <c r="D9" s="33" t="str">
        <f t="shared" ref="D9:M9" si="1">CONCATENATE(ROUNDDOWN(D2/60,0),":",TEXT(D2-(60*ROUNDDOWN(D2/60,0)),"00,00"))</f>
        <v>1:33,26</v>
      </c>
      <c r="E9" s="33" t="str">
        <f t="shared" si="1"/>
        <v>1:15,90</v>
      </c>
      <c r="F9" s="33" t="str">
        <f t="shared" si="1"/>
        <v>3:09,05</v>
      </c>
      <c r="G9" s="34" t="str">
        <f t="shared" si="1"/>
        <v>2:44,57</v>
      </c>
      <c r="H9" s="33" t="str">
        <f t="shared" si="1"/>
        <v>0:38,80</v>
      </c>
      <c r="I9" s="33" t="str">
        <f t="shared" si="1"/>
        <v>1:01,05</v>
      </c>
      <c r="J9" s="33" t="str">
        <f t="shared" si="1"/>
        <v>1:19,22</v>
      </c>
      <c r="K9" s="33" t="str">
        <f t="shared" si="1"/>
        <v>1:06,43</v>
      </c>
      <c r="L9" s="33" t="str">
        <f t="shared" si="1"/>
        <v>2:48,79</v>
      </c>
      <c r="M9" s="33" t="str">
        <f t="shared" si="1"/>
        <v>2:35,07</v>
      </c>
      <c r="N9" s="23"/>
    </row>
    <row r="10" spans="1:14" x14ac:dyDescent="0.25">
      <c r="A10" s="22" t="s">
        <v>7</v>
      </c>
      <c r="B10" s="26" t="str">
        <f t="shared" si="0"/>
        <v>0:43,54</v>
      </c>
      <c r="C10" s="26" t="str">
        <f t="shared" si="0"/>
        <v>1:04,25</v>
      </c>
      <c r="D10" s="26" t="str">
        <f t="shared" si="0"/>
        <v>1:31,45</v>
      </c>
      <c r="E10" s="26" t="str">
        <f t="shared" si="0"/>
        <v>1:14,42</v>
      </c>
      <c r="F10" s="26" t="str">
        <f t="shared" si="0"/>
        <v>3:05,37</v>
      </c>
      <c r="G10" s="31" t="str">
        <f t="shared" si="0"/>
        <v>2:41,36</v>
      </c>
      <c r="H10" s="26" t="str">
        <f t="shared" si="0"/>
        <v>0:38,04</v>
      </c>
      <c r="I10" s="26" t="str">
        <f t="shared" si="0"/>
        <v>0:59,86</v>
      </c>
      <c r="J10" s="26" t="str">
        <f t="shared" si="0"/>
        <v>1:17,68</v>
      </c>
      <c r="K10" s="26" t="str">
        <f t="shared" si="0"/>
        <v>1:05,14</v>
      </c>
      <c r="L10" s="26" t="str">
        <f t="shared" si="0"/>
        <v>2:45,50</v>
      </c>
      <c r="M10" s="26" t="str">
        <f t="shared" si="0"/>
        <v>2:32,05</v>
      </c>
      <c r="N10" s="23"/>
    </row>
    <row r="11" spans="1:14" ht="15.75" thickBot="1" x14ac:dyDescent="0.3">
      <c r="A11" s="24" t="s">
        <v>8</v>
      </c>
      <c r="B11" s="27" t="str">
        <f t="shared" si="0"/>
        <v>0:41,76</v>
      </c>
      <c r="C11" s="27" t="str">
        <f t="shared" si="0"/>
        <v>1:02,97</v>
      </c>
      <c r="D11" s="27" t="str">
        <f t="shared" si="0"/>
        <v>1:24,90</v>
      </c>
      <c r="E11" s="27" t="str">
        <f t="shared" si="0"/>
        <v>1:10,76</v>
      </c>
      <c r="F11" s="27" t="str">
        <f t="shared" si="0"/>
        <v>2:53,81</v>
      </c>
      <c r="G11" s="32" t="str">
        <f t="shared" si="0"/>
        <v>2:35,68</v>
      </c>
      <c r="H11" s="27" t="str">
        <f t="shared" si="0"/>
        <v>0:34,83</v>
      </c>
      <c r="I11" s="27" t="str">
        <f t="shared" si="0"/>
        <v>0:56,25</v>
      </c>
      <c r="J11" s="27" t="str">
        <f t="shared" si="0"/>
        <v>1:13,65</v>
      </c>
      <c r="K11" s="27" t="str">
        <f t="shared" si="0"/>
        <v>1:02,47</v>
      </c>
      <c r="L11" s="27" t="str">
        <f t="shared" si="0"/>
        <v>2:37,09</v>
      </c>
      <c r="M11" s="27" t="str">
        <f t="shared" si="0"/>
        <v>2:24,54</v>
      </c>
      <c r="N11" s="25"/>
    </row>
    <row r="14" spans="1:14" ht="15" customHeight="1" x14ac:dyDescent="0.25">
      <c r="A14" s="61" t="s">
        <v>14</v>
      </c>
      <c r="B14" s="61"/>
      <c r="C14" s="61"/>
      <c r="D14" s="61"/>
      <c r="E14" s="61"/>
      <c r="F14" s="61"/>
      <c r="G14"/>
      <c r="H14" s="63" t="s">
        <v>35</v>
      </c>
      <c r="I14" s="63"/>
      <c r="J14" s="63"/>
      <c r="L14" s="63" t="s">
        <v>36</v>
      </c>
      <c r="M14"/>
      <c r="N14"/>
    </row>
    <row r="15" spans="1:14" ht="15" customHeight="1" x14ac:dyDescent="0.25">
      <c r="A15" s="61"/>
      <c r="B15" s="61"/>
      <c r="C15" s="61"/>
      <c r="D15" s="61"/>
      <c r="E15" s="61"/>
      <c r="F15" s="61"/>
      <c r="G15"/>
      <c r="H15" s="63"/>
      <c r="I15" s="63"/>
      <c r="J15" s="63"/>
      <c r="L15" s="63"/>
      <c r="M15"/>
      <c r="N15"/>
    </row>
    <row r="16" spans="1:14" x14ac:dyDescent="0.25">
      <c r="A16" s="2" t="s">
        <v>15</v>
      </c>
      <c r="B16" s="2" t="s">
        <v>17</v>
      </c>
      <c r="C16" s="2" t="s">
        <v>16</v>
      </c>
      <c r="D16" s="2" t="s">
        <v>18</v>
      </c>
      <c r="E16" s="2" t="s">
        <v>20</v>
      </c>
      <c r="F16" s="2" t="s">
        <v>25</v>
      </c>
      <c r="G16"/>
      <c r="H16" s="2" t="s">
        <v>37</v>
      </c>
      <c r="I16" s="2" t="s">
        <v>32</v>
      </c>
      <c r="J16" s="2" t="s">
        <v>25</v>
      </c>
      <c r="L16" s="2" t="s">
        <v>37</v>
      </c>
      <c r="M16"/>
      <c r="N16"/>
    </row>
    <row r="17" spans="1:14" x14ac:dyDescent="0.25">
      <c r="A17" s="8" t="s">
        <v>19</v>
      </c>
      <c r="B17" s="8">
        <v>15</v>
      </c>
      <c r="C17" s="8">
        <v>18</v>
      </c>
      <c r="D17" s="8">
        <v>2</v>
      </c>
      <c r="E17" s="8" t="s">
        <v>21</v>
      </c>
      <c r="F17" s="8" t="s">
        <v>26</v>
      </c>
      <c r="G17"/>
      <c r="H17" s="36" t="s">
        <v>88</v>
      </c>
      <c r="I17" s="8" t="s">
        <v>31</v>
      </c>
      <c r="J17" s="8" t="s">
        <v>27</v>
      </c>
      <c r="L17" s="37" t="s">
        <v>89</v>
      </c>
      <c r="M17"/>
      <c r="N17"/>
    </row>
    <row r="18" spans="1:14" x14ac:dyDescent="0.25">
      <c r="A18" s="10" t="s">
        <v>19</v>
      </c>
      <c r="B18" s="10">
        <v>13</v>
      </c>
      <c r="C18" s="10">
        <v>14</v>
      </c>
      <c r="D18" s="10">
        <v>1</v>
      </c>
      <c r="E18" s="10" t="s">
        <v>21</v>
      </c>
      <c r="F18" s="10" t="s">
        <v>26</v>
      </c>
      <c r="G18"/>
      <c r="H18" s="37" t="s">
        <v>89</v>
      </c>
      <c r="I18" s="37" t="s">
        <v>31</v>
      </c>
      <c r="J18" s="37" t="s">
        <v>27</v>
      </c>
      <c r="L18" s="36"/>
      <c r="M18"/>
      <c r="N18"/>
    </row>
    <row r="19" spans="1:14" x14ac:dyDescent="0.25">
      <c r="A19" s="8" t="s">
        <v>22</v>
      </c>
      <c r="B19" s="8">
        <v>12</v>
      </c>
      <c r="C19" s="8">
        <v>18</v>
      </c>
      <c r="D19" s="8">
        <v>16</v>
      </c>
      <c r="E19" s="8" t="s">
        <v>23</v>
      </c>
      <c r="F19" s="8" t="s">
        <v>26</v>
      </c>
      <c r="G19"/>
      <c r="H19" s="36" t="s">
        <v>90</v>
      </c>
      <c r="I19" s="36" t="s">
        <v>31</v>
      </c>
      <c r="J19" s="36" t="s">
        <v>26</v>
      </c>
      <c r="L19" s="37"/>
      <c r="M19"/>
      <c r="N19"/>
    </row>
    <row r="20" spans="1:14" x14ac:dyDescent="0.25">
      <c r="A20" s="10" t="s">
        <v>24</v>
      </c>
      <c r="B20" s="10">
        <v>12</v>
      </c>
      <c r="C20" s="10">
        <v>18</v>
      </c>
      <c r="D20" s="10">
        <v>10</v>
      </c>
      <c r="E20" s="10" t="s">
        <v>21</v>
      </c>
      <c r="F20" s="10" t="s">
        <v>26</v>
      </c>
      <c r="G20"/>
      <c r="H20" s="37" t="s">
        <v>91</v>
      </c>
      <c r="I20" s="37" t="s">
        <v>34</v>
      </c>
      <c r="J20" s="37"/>
      <c r="L20" s="36"/>
      <c r="M20"/>
      <c r="N20"/>
    </row>
    <row r="21" spans="1:14" x14ac:dyDescent="0.25">
      <c r="A21" s="8" t="s">
        <v>22</v>
      </c>
      <c r="B21" s="8">
        <v>12</v>
      </c>
      <c r="C21" s="8">
        <v>100</v>
      </c>
      <c r="D21" s="8">
        <v>8</v>
      </c>
      <c r="E21" s="8" t="s">
        <v>23</v>
      </c>
      <c r="F21" s="8" t="s">
        <v>27</v>
      </c>
      <c r="G21"/>
      <c r="H21" s="36"/>
      <c r="I21" s="36"/>
      <c r="J21" s="36"/>
      <c r="L21" s="37"/>
      <c r="M21"/>
      <c r="N21"/>
    </row>
    <row r="22" spans="1:14" x14ac:dyDescent="0.25">
      <c r="A22" s="10" t="s">
        <v>19</v>
      </c>
      <c r="B22" s="10">
        <v>17</v>
      </c>
      <c r="C22" s="10">
        <v>18</v>
      </c>
      <c r="D22" s="10">
        <v>1</v>
      </c>
      <c r="E22" s="10" t="s">
        <v>21</v>
      </c>
      <c r="F22" s="10" t="s">
        <v>27</v>
      </c>
      <c r="H22" s="35"/>
      <c r="I22" s="35"/>
      <c r="L22" s="43"/>
    </row>
    <row r="23" spans="1:14" x14ac:dyDescent="0.25">
      <c r="A23" s="8" t="s">
        <v>19</v>
      </c>
      <c r="B23" s="8">
        <v>19</v>
      </c>
      <c r="C23" s="8">
        <v>100</v>
      </c>
      <c r="D23" s="8">
        <v>4</v>
      </c>
      <c r="E23" s="8" t="s">
        <v>21</v>
      </c>
      <c r="F23" s="8" t="s">
        <v>27</v>
      </c>
      <c r="H23" s="35"/>
      <c r="I23" s="35"/>
      <c r="L23" s="42"/>
    </row>
    <row r="24" spans="1:14" x14ac:dyDescent="0.25">
      <c r="H24" s="35"/>
      <c r="I24" s="35"/>
      <c r="L24" s="43"/>
    </row>
    <row r="25" spans="1:14" x14ac:dyDescent="0.25">
      <c r="H25" s="35"/>
      <c r="I25" s="35"/>
      <c r="L25" s="42"/>
    </row>
    <row r="26" spans="1:14" x14ac:dyDescent="0.25">
      <c r="L26" s="43"/>
    </row>
    <row r="27" spans="1:14" x14ac:dyDescent="0.25">
      <c r="L27" s="42"/>
    </row>
    <row r="28" spans="1:14" x14ac:dyDescent="0.25">
      <c r="L28" s="43"/>
    </row>
    <row r="29" spans="1:14" x14ac:dyDescent="0.25">
      <c r="L29" s="42"/>
    </row>
    <row r="30" spans="1:14" x14ac:dyDescent="0.25">
      <c r="L30" s="43"/>
    </row>
    <row r="31" spans="1:14" x14ac:dyDescent="0.25">
      <c r="L31" s="42"/>
    </row>
    <row r="32" spans="1:14" x14ac:dyDescent="0.25">
      <c r="L32" s="43"/>
    </row>
    <row r="33" spans="12:12" x14ac:dyDescent="0.25">
      <c r="L33" s="42"/>
    </row>
    <row r="34" spans="12:12" x14ac:dyDescent="0.25">
      <c r="L34" s="43"/>
    </row>
    <row r="35" spans="12:12" x14ac:dyDescent="0.25">
      <c r="L35" s="35"/>
    </row>
    <row r="36" spans="12:12" x14ac:dyDescent="0.25">
      <c r="L36" s="43"/>
    </row>
    <row r="37" spans="12:12" x14ac:dyDescent="0.25">
      <c r="L37" s="35"/>
    </row>
  </sheetData>
  <mergeCells count="4">
    <mergeCell ref="A14:F15"/>
    <mergeCell ref="A7:N8"/>
    <mergeCell ref="L14:L15"/>
    <mergeCell ref="H14:J15"/>
  </mergeCells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D901-68D8-4F92-82B6-BCB1A3899285}">
  <sheetPr codeName="Tabelle4">
    <tabColor theme="4"/>
  </sheetPr>
  <dimension ref="A1:N39"/>
  <sheetViews>
    <sheetView workbookViewId="0">
      <selection activeCell="I29" sqref="I29"/>
    </sheetView>
  </sheetViews>
  <sheetFormatPr baseColWidth="10" defaultRowHeight="15" x14ac:dyDescent="0.25"/>
  <cols>
    <col min="1" max="1" width="16.85546875" style="1" customWidth="1"/>
    <col min="2" max="13" width="18.7109375" style="1" customWidth="1"/>
    <col min="14" max="14" width="25" style="1" bestFit="1" customWidth="1"/>
    <col min="15" max="16384" width="11.42578125" style="1"/>
  </cols>
  <sheetData>
    <row r="1" spans="1:14" ht="23.25" customHeight="1" thickBot="1" x14ac:dyDescent="0.3">
      <c r="A1" s="20">
        <v>2025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8" t="s">
        <v>5</v>
      </c>
      <c r="H1" s="6" t="s">
        <v>0</v>
      </c>
      <c r="I1" s="6" t="s">
        <v>1</v>
      </c>
      <c r="J1" s="6" t="s">
        <v>2</v>
      </c>
      <c r="K1" s="6" t="s">
        <v>3</v>
      </c>
      <c r="L1" s="6" t="s">
        <v>4</v>
      </c>
      <c r="M1" s="7" t="s">
        <v>5</v>
      </c>
      <c r="N1" s="3" t="s">
        <v>9</v>
      </c>
    </row>
    <row r="2" spans="1:14" ht="16.5" customHeight="1" x14ac:dyDescent="0.25">
      <c r="A2" s="21" t="s">
        <v>6</v>
      </c>
      <c r="B2" s="16">
        <f>ROUND(((2001/934)-((2001/934)^2+($N2-2534)/467)^(1/2))*VLOOKUP($A$1-1,WR_Youth[],COLUMN(B$1))*86400,2)</f>
        <v>44.41</v>
      </c>
      <c r="C2" s="16">
        <f>ROUND(((2001/934)-((2001/934)^2+($N2-2534)/467)^(1/2))*VLOOKUP($A$1-1,WR_Youth[],COLUMN(C$1))*86400,2)</f>
        <v>65.53</v>
      </c>
      <c r="D2" s="16">
        <f>ROUND(((2001/934)-((2001/934)^2+($N2-2534)/467)^(1/2))*VLOOKUP($A$1-1,WR_Youth[],COLUMN(D$1))*86400,2)</f>
        <v>91.79</v>
      </c>
      <c r="E2" s="16">
        <f>ROUND(((2001/934)-((2001/934)^2+($N2-2534)/467)^(1/2))*VLOOKUP($A$1-1,WR_Youth[],COLUMN(E$1))*86400,2)</f>
        <v>75.84</v>
      </c>
      <c r="F2" s="16">
        <f>ROUND(((2001/934)-((2001/934)^2+($N2-2534)/467)^(1/2))*VLOOKUP($A$1-1,WR_Youth[],COLUMN(F$1))*86400,2)</f>
        <v>189.05</v>
      </c>
      <c r="G2" s="29">
        <f>ROUND(((2001/934)-((2001/934)^2+($N2-2534)/467)^(1/2))*VLOOKUP($A$1-1,WR_Youth[],COLUMN(G$1))*86400,2)</f>
        <v>164.57</v>
      </c>
      <c r="H2" s="16">
        <f>ROUND(((2001/934)-((2001/934)^2+($N2-2534)/467)^(1/2))*VLOOKUP($A$1-1,WR_Youth[],COLUMN(H$1))*86400,2)</f>
        <v>38.36</v>
      </c>
      <c r="I2" s="16">
        <f>ROUND(((2001/934)-((2001/934)^2+($N2-2534)/467)^(1/2))*VLOOKUP($A$1-1,WR_Youth[],COLUMN(I$1))*86400,2)</f>
        <v>60.47</v>
      </c>
      <c r="J2" s="16">
        <f>ROUND(((2001/934)-((2001/934)^2+($N2-2534)/467)^(1/2))*VLOOKUP($A$1-1,WR_Youth[],COLUMN(J$1))*86400,2)</f>
        <v>79.22</v>
      </c>
      <c r="K2" s="16">
        <f>ROUND(((2001/934)-((2001/934)^2+($N2-2534)/467)^(1/2))*VLOOKUP($A$1-1,WR_Youth[],COLUMN(K$1))*86400,2)</f>
        <v>66.430000000000007</v>
      </c>
      <c r="L2" s="16">
        <f>ROUND(((2001/934)-((2001/934)^2+($N2-2534)/467)^(1/2))*VLOOKUP($A$1-1,WR_Youth[],COLUMN(L$1))*86400,2)</f>
        <v>168.79</v>
      </c>
      <c r="M2" s="17">
        <f>ROUND(((2001/934)-((2001/934)^2+($N2-2534)/467)^(1/2))*VLOOKUP($A$1-1,WR_Youth[],COLUMN(M$1))*86400,2)</f>
        <v>155.07</v>
      </c>
      <c r="N2" s="2">
        <v>700</v>
      </c>
    </row>
    <row r="3" spans="1:14" ht="16.5" customHeight="1" x14ac:dyDescent="0.25">
      <c r="A3" s="21" t="s">
        <v>7</v>
      </c>
      <c r="B3" s="18">
        <f>ROUND(((2001/934)-((2001/934)^2+($N3-2534)/467)^(1/2))*VLOOKUP($A$1-1,WR_Youth[],COLUMN(B$1))*86400,2)</f>
        <v>43.12</v>
      </c>
      <c r="C3" s="18">
        <f>ROUND(((2001/934)-((2001/934)^2+($N3-2534)/467)^(1/2))*VLOOKUP($A$1-1,WR_Youth[],COLUMN(C$1))*86400,2)</f>
        <v>63.63</v>
      </c>
      <c r="D3" s="18">
        <f>ROUND(((2001/934)-((2001/934)^2+($N3-2534)/467)^(1/2))*VLOOKUP($A$1-1,WR_Youth[],COLUMN(D$1))*86400,2)</f>
        <v>89.13</v>
      </c>
      <c r="E3" s="18">
        <f>ROUND(((2001/934)-((2001/934)^2+($N3-2534)/467)^(1/2))*VLOOKUP($A$1-1,WR_Youth[],COLUMN(E$1))*86400,2)</f>
        <v>73.63</v>
      </c>
      <c r="F3" s="18">
        <f>ROUND(((2001/934)-((2001/934)^2+($N3-2534)/467)^(1/2))*VLOOKUP($A$1-1,WR_Youth[],COLUMN(F$1))*86400,2)</f>
        <v>183.57</v>
      </c>
      <c r="G3" s="30">
        <f>ROUND(((2001/934)-((2001/934)^2+($N3-2534)/467)^(1/2))*VLOOKUP($A$1-1,WR_Youth[],COLUMN(G$1))*86400,2)</f>
        <v>159.79</v>
      </c>
      <c r="H3" s="18">
        <f>ROUND(((2001/934)-((2001/934)^2+($N3-2534)/467)^(1/2))*VLOOKUP($A$1-1,WR_Youth[],COLUMN(H$1))*86400,2)</f>
        <v>37.25</v>
      </c>
      <c r="I3" s="18">
        <f>ROUND(((2001/934)-((2001/934)^2+($N3-2534)/467)^(1/2))*VLOOKUP($A$1-1,WR_Youth[],COLUMN(I$1))*86400,2)</f>
        <v>58.71</v>
      </c>
      <c r="J3" s="18">
        <f>ROUND(((2001/934)-((2001/934)^2+($N3-2534)/467)^(1/2))*VLOOKUP($A$1-1,WR_Youth[],COLUMN(J$1))*86400,2)</f>
        <v>76.92</v>
      </c>
      <c r="K3" s="18">
        <f>ROUND(((2001/934)-((2001/934)^2+($N3-2534)/467)^(1/2))*VLOOKUP($A$1-1,WR_Youth[],COLUMN(K$1))*86400,2)</f>
        <v>64.5</v>
      </c>
      <c r="L3" s="18">
        <f>ROUND(((2001/934)-((2001/934)^2+($N3-2534)/467)^(1/2))*VLOOKUP($A$1-1,WR_Youth[],COLUMN(L$1))*86400,2)</f>
        <v>163.9</v>
      </c>
      <c r="M3" s="19">
        <f>ROUND(((2001/934)-((2001/934)^2+($N3-2534)/467)^(1/2))*VLOOKUP($A$1-1,WR_Youth[],COLUMN(M$1))*86400,2)</f>
        <v>150.57</v>
      </c>
      <c r="N3" s="2">
        <v>730</v>
      </c>
    </row>
    <row r="4" spans="1:14" ht="16.5" customHeight="1" x14ac:dyDescent="0.25">
      <c r="A4" s="21" t="s">
        <v>8</v>
      </c>
      <c r="B4" s="16">
        <f>ROUND(((2001/934)-((2001/934)^2+($N4-2534)/467)^(1/2))*VLOOKUP($A$1-1,WR_Open[],COLUMN(B$1))*86400,2)</f>
        <v>41.13</v>
      </c>
      <c r="C4" s="16">
        <f>ROUND(((2001/934)-((2001/934)^2+($N4-2534)/467)^(1/2))*VLOOKUP($A$1-1,WR_Open[],COLUMN(C$1))*86400,2)</f>
        <v>62.97</v>
      </c>
      <c r="D4" s="16">
        <f>ROUND(((2001/934)-((2001/934)^2+($N4-2534)/467)^(1/2))*VLOOKUP($A$1-1,WR_Open[],COLUMN(D$1))*86400,2)</f>
        <v>83.98</v>
      </c>
      <c r="E4" s="16">
        <f>ROUND(((2001/934)-((2001/934)^2+($N4-2534)/467)^(1/2))*VLOOKUP($A$1-1,WR_Open[],COLUMN(E$1))*86400,2)</f>
        <v>70.290000000000006</v>
      </c>
      <c r="F4" s="16">
        <f>ROUND(((2001/934)-((2001/934)^2+($N4-2534)/467)^(1/2))*VLOOKUP($A$1-1,WR_Open[],COLUMN(F$1))*86400,2)</f>
        <v>173.81</v>
      </c>
      <c r="G4" s="29">
        <f>ROUND(((2001/934)-((2001/934)^2+($N4-2534)/467)^(1/2))*VLOOKUP($A$1-1,WR_Open[],COLUMN(G$1))*86400,2)</f>
        <v>155.68</v>
      </c>
      <c r="H4" s="16">
        <f>ROUND(((2001/934)-((2001/934)^2+($N4-2534)/467)^(1/2))*VLOOKUP($A$1-1,WR_Open[],COLUMN(H$1))*86400,2)</f>
        <v>34.74</v>
      </c>
      <c r="I4" s="16">
        <f>ROUND(((2001/934)-((2001/934)^2+($N4-2534)/467)^(1/2))*VLOOKUP($A$1-1,WR_Open[],COLUMN(I$1))*86400,2)</f>
        <v>56.16</v>
      </c>
      <c r="J4" s="16">
        <f>ROUND(((2001/934)-((2001/934)^2+($N4-2534)/467)^(1/2))*VLOOKUP($A$1-1,WR_Open[],COLUMN(J$1))*86400,2)</f>
        <v>73.650000000000006</v>
      </c>
      <c r="K4" s="16">
        <f>ROUND(((2001/934)-((2001/934)^2+($N4-2534)/467)^(1/2))*VLOOKUP($A$1-1,WR_Open[],COLUMN(K$1))*86400,2)</f>
        <v>60.9</v>
      </c>
      <c r="L4" s="16">
        <f>ROUND(((2001/934)-((2001/934)^2+($N4-2534)/467)^(1/2))*VLOOKUP($A$1-1,WR_Open[],COLUMN(L$1))*86400,2)</f>
        <v>157.09</v>
      </c>
      <c r="M4" s="17">
        <f>ROUND(((2001/934)-((2001/934)^2+($N4-2534)/467)^(1/2))*VLOOKUP($A$1-1,WR_Open[],COLUMN(M$1))*86400,2)</f>
        <v>142.72</v>
      </c>
      <c r="N4" s="2">
        <v>740</v>
      </c>
    </row>
    <row r="7" spans="1:14" x14ac:dyDescent="0.25">
      <c r="A7" s="62" t="s">
        <v>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</row>
    <row r="8" spans="1:14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14" x14ac:dyDescent="0.25">
      <c r="A9" s="22" t="s">
        <v>6</v>
      </c>
      <c r="B9" s="33" t="str">
        <f t="shared" ref="B9" si="0">CONCATENATE(ROUNDDOWN(B2/60,0),":",TEXT(B2-(60*ROUNDDOWN(B2/60,0)),"00,00"))</f>
        <v>0:44,41</v>
      </c>
      <c r="C9" s="33" t="str">
        <f>CONCATENATE(ROUNDDOWN(C2/60,0),":",TEXT(C2-(60*ROUNDDOWN(C2/60,0)),"00,00"))</f>
        <v>1:05,53</v>
      </c>
      <c r="D9" s="33" t="str">
        <f t="shared" ref="D9:M9" si="1">CONCATENATE(ROUNDDOWN(D2/60,0),":",TEXT(D2-(60*ROUNDDOWN(D2/60,0)),"00,00"))</f>
        <v>1:31,79</v>
      </c>
      <c r="E9" s="33" t="str">
        <f t="shared" si="1"/>
        <v>1:15,84</v>
      </c>
      <c r="F9" s="33" t="str">
        <f t="shared" si="1"/>
        <v>3:09,05</v>
      </c>
      <c r="G9" s="34" t="str">
        <f t="shared" si="1"/>
        <v>2:44,57</v>
      </c>
      <c r="H9" s="33" t="str">
        <f t="shared" si="1"/>
        <v>0:38,36</v>
      </c>
      <c r="I9" s="33" t="str">
        <f t="shared" si="1"/>
        <v>1:00,47</v>
      </c>
      <c r="J9" s="33" t="str">
        <f t="shared" si="1"/>
        <v>1:19,22</v>
      </c>
      <c r="K9" s="33" t="str">
        <f t="shared" si="1"/>
        <v>1:06,43</v>
      </c>
      <c r="L9" s="33" t="str">
        <f t="shared" si="1"/>
        <v>2:48,79</v>
      </c>
      <c r="M9" s="33" t="str">
        <f t="shared" si="1"/>
        <v>2:35,07</v>
      </c>
      <c r="N9" s="23"/>
    </row>
    <row r="10" spans="1:14" x14ac:dyDescent="0.25">
      <c r="A10" s="22" t="s">
        <v>7</v>
      </c>
      <c r="B10" s="26" t="str">
        <f t="shared" ref="B10:M10" si="2">CONCATENATE(ROUNDDOWN(B3/60,0),":",TEXT(B3-(60*ROUNDDOWN(B3/60,0)),"00,00"))</f>
        <v>0:43,12</v>
      </c>
      <c r="C10" s="26" t="str">
        <f t="shared" si="2"/>
        <v>1:03,63</v>
      </c>
      <c r="D10" s="26" t="str">
        <f t="shared" si="2"/>
        <v>1:29,13</v>
      </c>
      <c r="E10" s="26" t="str">
        <f t="shared" si="2"/>
        <v>1:13,63</v>
      </c>
      <c r="F10" s="26" t="str">
        <f t="shared" si="2"/>
        <v>3:03,57</v>
      </c>
      <c r="G10" s="31" t="str">
        <f t="shared" si="2"/>
        <v>2:39,79</v>
      </c>
      <c r="H10" s="26" t="str">
        <f t="shared" si="2"/>
        <v>0:37,25</v>
      </c>
      <c r="I10" s="26" t="str">
        <f t="shared" si="2"/>
        <v>0:58,71</v>
      </c>
      <c r="J10" s="26" t="str">
        <f t="shared" si="2"/>
        <v>1:16,92</v>
      </c>
      <c r="K10" s="26" t="str">
        <f t="shared" si="2"/>
        <v>1:04,50</v>
      </c>
      <c r="L10" s="26" t="str">
        <f t="shared" si="2"/>
        <v>2:43,90</v>
      </c>
      <c r="M10" s="26" t="str">
        <f t="shared" si="2"/>
        <v>2:30,57</v>
      </c>
      <c r="N10" s="23"/>
    </row>
    <row r="11" spans="1:14" ht="15.75" thickBot="1" x14ac:dyDescent="0.3">
      <c r="A11" s="24" t="s">
        <v>8</v>
      </c>
      <c r="B11" s="27" t="str">
        <f t="shared" ref="B11:M11" si="3">CONCATENATE(ROUNDDOWN(B4/60,0),":",TEXT(B4-(60*ROUNDDOWN(B4/60,0)),"00,00"))</f>
        <v>0:41,13</v>
      </c>
      <c r="C11" s="27" t="str">
        <f t="shared" si="3"/>
        <v>1:02,97</v>
      </c>
      <c r="D11" s="27" t="str">
        <f t="shared" si="3"/>
        <v>1:23,98</v>
      </c>
      <c r="E11" s="27" t="str">
        <f t="shared" si="3"/>
        <v>1:10,29</v>
      </c>
      <c r="F11" s="27" t="str">
        <f t="shared" si="3"/>
        <v>2:53,81</v>
      </c>
      <c r="G11" s="32" t="str">
        <f t="shared" si="3"/>
        <v>2:35,68</v>
      </c>
      <c r="H11" s="27" t="str">
        <f t="shared" si="3"/>
        <v>0:34,74</v>
      </c>
      <c r="I11" s="27" t="str">
        <f t="shared" si="3"/>
        <v>0:56,16</v>
      </c>
      <c r="J11" s="27" t="str">
        <f t="shared" si="3"/>
        <v>1:13,65</v>
      </c>
      <c r="K11" s="27" t="str">
        <f t="shared" si="3"/>
        <v>1:00,90</v>
      </c>
      <c r="L11" s="27" t="str">
        <f t="shared" si="3"/>
        <v>2:37,09</v>
      </c>
      <c r="M11" s="27" t="str">
        <f t="shared" si="3"/>
        <v>2:22,72</v>
      </c>
      <c r="N11" s="25"/>
    </row>
    <row r="14" spans="1:14" x14ac:dyDescent="0.25">
      <c r="A14" s="61" t="s">
        <v>14</v>
      </c>
      <c r="B14" s="61"/>
      <c r="C14" s="61"/>
      <c r="D14" s="61"/>
      <c r="E14" s="61"/>
      <c r="F14" s="61"/>
      <c r="H14" s="63" t="s">
        <v>35</v>
      </c>
      <c r="I14" s="63"/>
      <c r="J14" s="63"/>
      <c r="L14" s="63" t="s">
        <v>36</v>
      </c>
      <c r="M14"/>
    </row>
    <row r="15" spans="1:14" x14ac:dyDescent="0.25">
      <c r="A15" s="61"/>
      <c r="B15" s="61"/>
      <c r="C15" s="61"/>
      <c r="D15" s="61"/>
      <c r="E15" s="61"/>
      <c r="F15" s="61"/>
      <c r="H15" s="63"/>
      <c r="I15" s="63"/>
      <c r="J15" s="63"/>
      <c r="L15" s="63"/>
      <c r="M15"/>
    </row>
    <row r="16" spans="1:14" x14ac:dyDescent="0.25">
      <c r="A16" s="2" t="s">
        <v>15</v>
      </c>
      <c r="B16" s="2" t="s">
        <v>17</v>
      </c>
      <c r="C16" s="2" t="s">
        <v>16</v>
      </c>
      <c r="D16" s="2" t="s">
        <v>18</v>
      </c>
      <c r="E16" s="2" t="s">
        <v>20</v>
      </c>
      <c r="F16" s="2" t="s">
        <v>25</v>
      </c>
      <c r="H16" s="2" t="s">
        <v>37</v>
      </c>
      <c r="I16" s="2" t="s">
        <v>32</v>
      </c>
      <c r="J16" s="2" t="s">
        <v>25</v>
      </c>
      <c r="L16" s="2" t="s">
        <v>37</v>
      </c>
      <c r="M16"/>
    </row>
    <row r="17" spans="1:13" x14ac:dyDescent="0.25">
      <c r="A17" s="8" t="s">
        <v>28</v>
      </c>
      <c r="B17" s="8">
        <v>15</v>
      </c>
      <c r="C17" s="8">
        <v>18</v>
      </c>
      <c r="D17" s="8">
        <v>3</v>
      </c>
      <c r="E17" s="8" t="s">
        <v>21</v>
      </c>
      <c r="F17" s="8" t="s">
        <v>26</v>
      </c>
      <c r="H17" s="36" t="s">
        <v>88</v>
      </c>
      <c r="I17" s="8" t="s">
        <v>31</v>
      </c>
      <c r="J17" s="8" t="s">
        <v>27</v>
      </c>
      <c r="L17" s="37" t="s">
        <v>88</v>
      </c>
      <c r="M17"/>
    </row>
    <row r="18" spans="1:13" x14ac:dyDescent="0.25">
      <c r="A18" s="10" t="s">
        <v>28</v>
      </c>
      <c r="B18" s="10">
        <v>13</v>
      </c>
      <c r="C18" s="10">
        <v>14</v>
      </c>
      <c r="D18" s="10">
        <v>1</v>
      </c>
      <c r="E18" s="10" t="s">
        <v>21</v>
      </c>
      <c r="F18" s="10" t="s">
        <v>26</v>
      </c>
      <c r="H18" s="37" t="s">
        <v>89</v>
      </c>
      <c r="I18" s="37" t="s">
        <v>31</v>
      </c>
      <c r="J18" s="37" t="s">
        <v>27</v>
      </c>
      <c r="L18" s="40"/>
      <c r="M18"/>
    </row>
    <row r="19" spans="1:13" x14ac:dyDescent="0.25">
      <c r="A19" s="8" t="s">
        <v>29</v>
      </c>
      <c r="B19" s="8">
        <v>12</v>
      </c>
      <c r="C19" s="8">
        <v>18</v>
      </c>
      <c r="D19" s="8">
        <v>16</v>
      </c>
      <c r="E19" s="8" t="s">
        <v>23</v>
      </c>
      <c r="F19" s="8" t="s">
        <v>26</v>
      </c>
      <c r="H19" s="36" t="s">
        <v>90</v>
      </c>
      <c r="I19" s="36" t="s">
        <v>31</v>
      </c>
      <c r="J19" s="36" t="s">
        <v>27</v>
      </c>
      <c r="L19" s="38"/>
      <c r="M19"/>
    </row>
    <row r="20" spans="1:13" x14ac:dyDescent="0.25">
      <c r="A20" s="10" t="s">
        <v>30</v>
      </c>
      <c r="B20" s="10">
        <v>12</v>
      </c>
      <c r="C20" s="10">
        <v>18</v>
      </c>
      <c r="D20" s="10">
        <v>10</v>
      </c>
      <c r="E20" s="10" t="s">
        <v>21</v>
      </c>
      <c r="F20" s="10" t="s">
        <v>26</v>
      </c>
      <c r="H20" s="37" t="s">
        <v>91</v>
      </c>
      <c r="I20" s="37" t="s">
        <v>34</v>
      </c>
      <c r="J20" s="37"/>
      <c r="L20" s="40"/>
      <c r="M20"/>
    </row>
    <row r="21" spans="1:13" x14ac:dyDescent="0.25">
      <c r="A21" s="8" t="s">
        <v>29</v>
      </c>
      <c r="B21" s="8">
        <v>12</v>
      </c>
      <c r="C21" s="8">
        <v>100</v>
      </c>
      <c r="D21" s="8">
        <v>8</v>
      </c>
      <c r="E21" s="8" t="s">
        <v>23</v>
      </c>
      <c r="F21" s="8" t="s">
        <v>27</v>
      </c>
      <c r="H21" s="36" t="s">
        <v>92</v>
      </c>
      <c r="I21" s="36" t="s">
        <v>31</v>
      </c>
      <c r="J21" s="36" t="s">
        <v>26</v>
      </c>
      <c r="L21" s="38"/>
      <c r="M21"/>
    </row>
    <row r="22" spans="1:13" x14ac:dyDescent="0.25">
      <c r="A22" s="10" t="s">
        <v>28</v>
      </c>
      <c r="B22" s="10">
        <v>17</v>
      </c>
      <c r="C22" s="10">
        <v>18</v>
      </c>
      <c r="D22" s="10">
        <v>1</v>
      </c>
      <c r="E22" s="10" t="s">
        <v>21</v>
      </c>
      <c r="F22" s="10" t="s">
        <v>27</v>
      </c>
      <c r="H22" s="42" t="s">
        <v>93</v>
      </c>
      <c r="I22" s="42" t="s">
        <v>31</v>
      </c>
      <c r="J22" s="10" t="s">
        <v>26</v>
      </c>
      <c r="L22" s="41"/>
      <c r="M22"/>
    </row>
    <row r="23" spans="1:13" x14ac:dyDescent="0.25">
      <c r="A23" s="8" t="s">
        <v>28</v>
      </c>
      <c r="B23" s="8">
        <v>19</v>
      </c>
      <c r="C23" s="8">
        <v>100</v>
      </c>
      <c r="D23" s="8">
        <v>4</v>
      </c>
      <c r="E23" s="8" t="s">
        <v>21</v>
      </c>
      <c r="F23" s="8" t="s">
        <v>27</v>
      </c>
      <c r="H23" s="43" t="s">
        <v>94</v>
      </c>
      <c r="I23" s="43" t="s">
        <v>38</v>
      </c>
      <c r="J23" s="43" t="s">
        <v>26</v>
      </c>
      <c r="L23" s="39"/>
      <c r="M23"/>
    </row>
    <row r="24" spans="1:13" x14ac:dyDescent="0.25">
      <c r="H24" s="42"/>
      <c r="I24" s="42"/>
      <c r="J24" s="42"/>
      <c r="L24" s="41"/>
      <c r="M24"/>
    </row>
    <row r="25" spans="1:13" x14ac:dyDescent="0.25">
      <c r="H25" s="35"/>
      <c r="I25" s="35"/>
      <c r="L25" s="39"/>
      <c r="M25"/>
    </row>
    <row r="26" spans="1:13" x14ac:dyDescent="0.25">
      <c r="L26" s="41"/>
      <c r="M26"/>
    </row>
    <row r="27" spans="1:13" x14ac:dyDescent="0.25">
      <c r="L27" s="39"/>
      <c r="M27"/>
    </row>
    <row r="28" spans="1:13" x14ac:dyDescent="0.25">
      <c r="L28" s="41"/>
      <c r="M28"/>
    </row>
    <row r="29" spans="1:13" x14ac:dyDescent="0.25">
      <c r="L29" s="39"/>
      <c r="M29"/>
    </row>
    <row r="30" spans="1:13" x14ac:dyDescent="0.25">
      <c r="L30" s="41"/>
      <c r="M30"/>
    </row>
    <row r="31" spans="1:13" x14ac:dyDescent="0.25">
      <c r="L31" s="39"/>
      <c r="M31"/>
    </row>
    <row r="32" spans="1:13" x14ac:dyDescent="0.25">
      <c r="L32" s="41"/>
      <c r="M32"/>
    </row>
    <row r="33" spans="8:13" x14ac:dyDescent="0.25">
      <c r="L33" s="39"/>
      <c r="M33"/>
    </row>
    <row r="34" spans="8:13" x14ac:dyDescent="0.25">
      <c r="L34" s="41"/>
      <c r="M34"/>
    </row>
    <row r="35" spans="8:13" x14ac:dyDescent="0.25">
      <c r="M35"/>
    </row>
    <row r="36" spans="8:13" x14ac:dyDescent="0.25">
      <c r="L36" s="41"/>
      <c r="M36"/>
    </row>
    <row r="37" spans="8:13" x14ac:dyDescent="0.25">
      <c r="M37"/>
    </row>
    <row r="38" spans="8:13" x14ac:dyDescent="0.25">
      <c r="H38"/>
      <c r="I38"/>
      <c r="J38"/>
      <c r="K38"/>
      <c r="L38"/>
      <c r="M38"/>
    </row>
    <row r="39" spans="8:13" x14ac:dyDescent="0.25">
      <c r="H39"/>
      <c r="I39"/>
      <c r="J39"/>
      <c r="K39"/>
      <c r="L39"/>
      <c r="M39"/>
    </row>
  </sheetData>
  <mergeCells count="4">
    <mergeCell ref="A7:N8"/>
    <mergeCell ref="A14:F15"/>
    <mergeCell ref="H14:J15"/>
    <mergeCell ref="L14:L15"/>
  </mergeCells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61C1-FFCA-45E5-8C71-AB7C914C935B}">
  <sheetPr codeName="Tabelle5"/>
  <dimension ref="A1:N39"/>
  <sheetViews>
    <sheetView workbookViewId="0">
      <selection activeCell="H29" sqref="H29"/>
    </sheetView>
  </sheetViews>
  <sheetFormatPr baseColWidth="10" defaultRowHeight="15" x14ac:dyDescent="0.25"/>
  <cols>
    <col min="1" max="1" width="16.85546875" style="1" customWidth="1"/>
    <col min="2" max="13" width="18.7109375" style="1" customWidth="1"/>
    <col min="14" max="14" width="25" style="1" bestFit="1" customWidth="1"/>
    <col min="15" max="16384" width="11.42578125" style="1"/>
  </cols>
  <sheetData>
    <row r="1" spans="1:14" ht="23.25" customHeight="1" thickBot="1" x14ac:dyDescent="0.3">
      <c r="A1" s="20">
        <v>2026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28" t="s">
        <v>5</v>
      </c>
      <c r="H1" s="6" t="s">
        <v>0</v>
      </c>
      <c r="I1" s="6" t="s">
        <v>1</v>
      </c>
      <c r="J1" s="6" t="s">
        <v>2</v>
      </c>
      <c r="K1" s="6" t="s">
        <v>3</v>
      </c>
      <c r="L1" s="6" t="s">
        <v>4</v>
      </c>
      <c r="M1" s="7" t="s">
        <v>5</v>
      </c>
      <c r="N1" s="3" t="s">
        <v>9</v>
      </c>
    </row>
    <row r="2" spans="1:14" ht="16.5" customHeight="1" x14ac:dyDescent="0.25">
      <c r="A2" s="21" t="s">
        <v>6</v>
      </c>
      <c r="B2" s="16">
        <f>ROUND(((2001/934)-((2001/934)^2+($N2-2534)/467)^(1/2))*VLOOKUP($A$1-1,WR_Youth[],COLUMN(B$1))*86400,2)</f>
        <v>43.94</v>
      </c>
      <c r="C2" s="16">
        <f>ROUND(((2001/934)-((2001/934)^2+($N2-2534)/467)^(1/2))*VLOOKUP($A$1-1,WR_Youth[],COLUMN(C$1))*86400,2)</f>
        <v>65.53</v>
      </c>
      <c r="D2" s="16">
        <f>ROUND(((2001/934)-((2001/934)^2+($N2-2534)/467)^(1/2))*VLOOKUP($A$1-1,WR_Youth[],COLUMN(D$1))*86400,2)</f>
        <v>91.79</v>
      </c>
      <c r="E2" s="16">
        <f>ROUND(((2001/934)-((2001/934)^2+($N2-2534)/467)^(1/2))*VLOOKUP($A$1-1,WR_Youth[],COLUMN(E$1))*86400,2)</f>
        <v>75.84</v>
      </c>
      <c r="F2" s="16">
        <f>ROUND(((2001/934)-((2001/934)^2+($N2-2534)/467)^(1/2))*VLOOKUP($A$1-1,WR_Youth[],COLUMN(F$1))*86400,2)</f>
        <v>189.01</v>
      </c>
      <c r="G2" s="29">
        <f>ROUND(((2001/934)-((2001/934)^2+($N2-2534)/467)^(1/2))*VLOOKUP($A$1-1,WR_Youth[],COLUMN(G$1))*86400,2)</f>
        <v>164.57</v>
      </c>
      <c r="H2" s="16">
        <f>ROUND(((2001/934)-((2001/934)^2+($N2-2534)/467)^(1/2))*VLOOKUP($A$1-1,WR_Youth[],COLUMN(H$1))*86400,2)</f>
        <v>38.36</v>
      </c>
      <c r="I2" s="16">
        <f>ROUND(((2001/934)-((2001/934)^2+($N2-2534)/467)^(1/2))*VLOOKUP($A$1-1,WR_Youth[],COLUMN(I$1))*86400,2)</f>
        <v>60.47</v>
      </c>
      <c r="J2" s="16">
        <f>ROUND(((2001/934)-((2001/934)^2+($N2-2534)/467)^(1/2))*VLOOKUP($A$1-1,WR_Youth[],COLUMN(J$1))*86400,2)</f>
        <v>79.22</v>
      </c>
      <c r="K2" s="16">
        <f>ROUND(((2001/934)-((2001/934)^2+($N2-2534)/467)^(1/2))*VLOOKUP($A$1-1,WR_Youth[],COLUMN(K$1))*86400,2)</f>
        <v>66.430000000000007</v>
      </c>
      <c r="L2" s="16">
        <f>ROUND(((2001/934)-((2001/934)^2+($N2-2534)/467)^(1/2))*VLOOKUP($A$1-1,WR_Youth[],COLUMN(L$1))*86400,2)</f>
        <v>168.79</v>
      </c>
      <c r="M2" s="17">
        <f>ROUND(((2001/934)-((2001/934)^2+($N2-2534)/467)^(1/2))*VLOOKUP($A$1-1,WR_Youth[],COLUMN(M$1))*86400,2)</f>
        <v>155.07</v>
      </c>
      <c r="N2" s="2">
        <v>700</v>
      </c>
    </row>
    <row r="3" spans="1:14" ht="16.5" customHeight="1" x14ac:dyDescent="0.25">
      <c r="A3" s="21" t="s">
        <v>7</v>
      </c>
      <c r="B3" s="18">
        <f>ROUND(((2001/934)-((2001/934)^2+($N3-2534)/467)^(1/2))*VLOOKUP($A$1-1,WR_Youth[],COLUMN(B$1))*86400,2)</f>
        <v>42.67</v>
      </c>
      <c r="C3" s="18">
        <f>ROUND(((2001/934)-((2001/934)^2+($N3-2534)/467)^(1/2))*VLOOKUP($A$1-1,WR_Youth[],COLUMN(C$1))*86400,2)</f>
        <v>63.63</v>
      </c>
      <c r="D3" s="18">
        <f>ROUND(((2001/934)-((2001/934)^2+($N3-2534)/467)^(1/2))*VLOOKUP($A$1-1,WR_Youth[],COLUMN(D$1))*86400,2)</f>
        <v>89.13</v>
      </c>
      <c r="E3" s="18">
        <f>ROUND(((2001/934)-((2001/934)^2+($N3-2534)/467)^(1/2))*VLOOKUP($A$1-1,WR_Youth[],COLUMN(E$1))*86400,2)</f>
        <v>73.63</v>
      </c>
      <c r="F3" s="18">
        <f>ROUND(((2001/934)-((2001/934)^2+($N3-2534)/467)^(1/2))*VLOOKUP($A$1-1,WR_Youth[],COLUMN(F$1))*86400,2)</f>
        <v>183.53</v>
      </c>
      <c r="G3" s="30">
        <f>ROUND(((2001/934)-((2001/934)^2+($N3-2534)/467)^(1/2))*VLOOKUP($A$1-1,WR_Youth[],COLUMN(G$1))*86400,2)</f>
        <v>159.79</v>
      </c>
      <c r="H3" s="18">
        <f>ROUND(((2001/934)-((2001/934)^2+($N3-2534)/467)^(1/2))*VLOOKUP($A$1-1,WR_Youth[],COLUMN(H$1))*86400,2)</f>
        <v>37.25</v>
      </c>
      <c r="I3" s="18">
        <f>ROUND(((2001/934)-((2001/934)^2+($N3-2534)/467)^(1/2))*VLOOKUP($A$1-1,WR_Youth[],COLUMN(I$1))*86400,2)</f>
        <v>58.71</v>
      </c>
      <c r="J3" s="18">
        <f>ROUND(((2001/934)-((2001/934)^2+($N3-2534)/467)^(1/2))*VLOOKUP($A$1-1,WR_Youth[],COLUMN(J$1))*86400,2)</f>
        <v>76.92</v>
      </c>
      <c r="K3" s="18">
        <f>ROUND(((2001/934)-((2001/934)^2+($N3-2534)/467)^(1/2))*VLOOKUP($A$1-1,WR_Youth[],COLUMN(K$1))*86400,2)</f>
        <v>64.5</v>
      </c>
      <c r="L3" s="18">
        <f>ROUND(((2001/934)-((2001/934)^2+($N3-2534)/467)^(1/2))*VLOOKUP($A$1-1,WR_Youth[],COLUMN(L$1))*86400,2)</f>
        <v>163.9</v>
      </c>
      <c r="M3" s="19">
        <f>ROUND(((2001/934)-((2001/934)^2+($N3-2534)/467)^(1/2))*VLOOKUP($A$1-1,WR_Youth[],COLUMN(M$1))*86400,2)</f>
        <v>150.57</v>
      </c>
      <c r="N3" s="2">
        <v>730</v>
      </c>
    </row>
    <row r="4" spans="1:14" ht="16.5" customHeight="1" x14ac:dyDescent="0.25">
      <c r="A4" s="21" t="s">
        <v>8</v>
      </c>
      <c r="B4" s="16">
        <f>ROUND(((2001/934)-((2001/934)^2+($N4-2534)/467)^(1/2))*VLOOKUP($A$1-1,WR_Open[],COLUMN(B$1))*86400,2)</f>
        <v>40.21</v>
      </c>
      <c r="C4" s="16">
        <f>ROUND(((2001/934)-((2001/934)^2+($N4-2534)/467)^(1/2))*VLOOKUP($A$1-1,WR_Open[],COLUMN(C$1))*86400,2)</f>
        <v>62.97</v>
      </c>
      <c r="D4" s="16">
        <f>ROUND(((2001/934)-((2001/934)^2+($N4-2534)/467)^(1/2))*VLOOKUP($A$1-1,WR_Open[],COLUMN(D$1))*86400,2)</f>
        <v>81.349999999999994</v>
      </c>
      <c r="E4" s="16">
        <f>ROUND(((2001/934)-((2001/934)^2+($N4-2534)/467)^(1/2))*VLOOKUP($A$1-1,WR_Open[],COLUMN(E$1))*86400,2)</f>
        <v>69.23</v>
      </c>
      <c r="F4" s="16">
        <f>ROUND(((2001/934)-((2001/934)^2+($N4-2534)/467)^(1/2))*VLOOKUP($A$1-1,WR_Open[],COLUMN(F$1))*86400,2)</f>
        <v>173.81</v>
      </c>
      <c r="G4" s="29">
        <f>ROUND(((2001/934)-((2001/934)^2+($N4-2534)/467)^(1/2))*VLOOKUP($A$1-1,WR_Open[],COLUMN(G$1))*86400,2)</f>
        <v>155.68</v>
      </c>
      <c r="H4" s="16">
        <f>ROUND(((2001/934)-((2001/934)^2+($N4-2534)/467)^(1/2))*VLOOKUP($A$1-1,WR_Open[],COLUMN(H$1))*86400,2)</f>
        <v>34.74</v>
      </c>
      <c r="I4" s="16">
        <f>ROUND(((2001/934)-((2001/934)^2+($N4-2534)/467)^(1/2))*VLOOKUP($A$1-1,WR_Open[],COLUMN(I$1))*86400,2)</f>
        <v>55.3</v>
      </c>
      <c r="J4" s="16">
        <f>ROUND(((2001/934)-((2001/934)^2+($N4-2534)/467)^(1/2))*VLOOKUP($A$1-1,WR_Open[],COLUMN(J$1))*86400,2)</f>
        <v>73.37</v>
      </c>
      <c r="K4" s="16">
        <f>ROUND(((2001/934)-((2001/934)^2+($N4-2534)/467)^(1/2))*VLOOKUP($A$1-1,WR_Open[],COLUMN(K$1))*86400,2)</f>
        <v>60.9</v>
      </c>
      <c r="L4" s="16">
        <f>ROUND(((2001/934)-((2001/934)^2+($N4-2534)/467)^(1/2))*VLOOKUP($A$1-1,WR_Open[],COLUMN(L$1))*86400,2)</f>
        <v>157.09</v>
      </c>
      <c r="M4" s="17">
        <f>ROUND(((2001/934)-((2001/934)^2+($N4-2534)/467)^(1/2))*VLOOKUP($A$1-1,WR_Open[],COLUMN(M$1))*86400,2)</f>
        <v>142.72</v>
      </c>
      <c r="N4" s="2">
        <v>740</v>
      </c>
    </row>
    <row r="7" spans="1:14" x14ac:dyDescent="0.25">
      <c r="A7" s="62" t="s">
        <v>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</row>
    <row r="8" spans="1:14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14" x14ac:dyDescent="0.25">
      <c r="A9" s="22" t="s">
        <v>6</v>
      </c>
      <c r="B9" s="33" t="str">
        <f t="shared" ref="B9:M11" si="0">CONCATENATE(ROUNDDOWN(B2/60,0),":",TEXT(B2-(60*ROUNDDOWN(B2/60,0)),"00,00"))</f>
        <v>0:43,94</v>
      </c>
      <c r="C9" s="33" t="str">
        <f>CONCATENATE(ROUNDDOWN(C2/60,0),":",TEXT(C2-(60*ROUNDDOWN(C2/60,0)),"00,00"))</f>
        <v>1:05,53</v>
      </c>
      <c r="D9" s="33" t="str">
        <f t="shared" ref="D9:M9" si="1">CONCATENATE(ROUNDDOWN(D2/60,0),":",TEXT(D2-(60*ROUNDDOWN(D2/60,0)),"00,00"))</f>
        <v>1:31,79</v>
      </c>
      <c r="E9" s="33" t="str">
        <f t="shared" si="1"/>
        <v>1:15,84</v>
      </c>
      <c r="F9" s="33" t="str">
        <f t="shared" si="1"/>
        <v>3:09,01</v>
      </c>
      <c r="G9" s="34" t="str">
        <f t="shared" si="1"/>
        <v>2:44,57</v>
      </c>
      <c r="H9" s="33" t="str">
        <f t="shared" si="1"/>
        <v>0:38,36</v>
      </c>
      <c r="I9" s="33" t="str">
        <f t="shared" si="1"/>
        <v>1:00,47</v>
      </c>
      <c r="J9" s="33" t="str">
        <f t="shared" si="1"/>
        <v>1:19,22</v>
      </c>
      <c r="K9" s="33" t="str">
        <f t="shared" si="1"/>
        <v>1:06,43</v>
      </c>
      <c r="L9" s="33" t="str">
        <f t="shared" si="1"/>
        <v>2:48,79</v>
      </c>
      <c r="M9" s="33" t="str">
        <f t="shared" si="1"/>
        <v>2:35,07</v>
      </c>
      <c r="N9" s="23"/>
    </row>
    <row r="10" spans="1:14" x14ac:dyDescent="0.25">
      <c r="A10" s="22" t="s">
        <v>7</v>
      </c>
      <c r="B10" s="26" t="str">
        <f t="shared" si="0"/>
        <v>0:42,67</v>
      </c>
      <c r="C10" s="26" t="str">
        <f t="shared" si="0"/>
        <v>1:03,63</v>
      </c>
      <c r="D10" s="26" t="str">
        <f t="shared" si="0"/>
        <v>1:29,13</v>
      </c>
      <c r="E10" s="26" t="str">
        <f t="shared" si="0"/>
        <v>1:13,63</v>
      </c>
      <c r="F10" s="26" t="str">
        <f t="shared" si="0"/>
        <v>3:03,53</v>
      </c>
      <c r="G10" s="31" t="str">
        <f t="shared" si="0"/>
        <v>2:39,79</v>
      </c>
      <c r="H10" s="26" t="str">
        <f t="shared" si="0"/>
        <v>0:37,25</v>
      </c>
      <c r="I10" s="26" t="str">
        <f t="shared" si="0"/>
        <v>0:58,71</v>
      </c>
      <c r="J10" s="26" t="str">
        <f t="shared" si="0"/>
        <v>1:16,92</v>
      </c>
      <c r="K10" s="26" t="str">
        <f t="shared" si="0"/>
        <v>1:04,50</v>
      </c>
      <c r="L10" s="26" t="str">
        <f t="shared" si="0"/>
        <v>2:43,90</v>
      </c>
      <c r="M10" s="26" t="str">
        <f t="shared" si="0"/>
        <v>2:30,57</v>
      </c>
      <c r="N10" s="23"/>
    </row>
    <row r="11" spans="1:14" ht="15.75" thickBot="1" x14ac:dyDescent="0.3">
      <c r="A11" s="24" t="s">
        <v>8</v>
      </c>
      <c r="B11" s="27" t="str">
        <f t="shared" si="0"/>
        <v>0:40,21</v>
      </c>
      <c r="C11" s="27" t="str">
        <f t="shared" si="0"/>
        <v>1:02,97</v>
      </c>
      <c r="D11" s="27" t="str">
        <f t="shared" si="0"/>
        <v>1:21,35</v>
      </c>
      <c r="E11" s="27" t="str">
        <f t="shared" si="0"/>
        <v>1:09,23</v>
      </c>
      <c r="F11" s="27" t="str">
        <f t="shared" si="0"/>
        <v>2:53,81</v>
      </c>
      <c r="G11" s="32" t="str">
        <f t="shared" si="0"/>
        <v>2:35,68</v>
      </c>
      <c r="H11" s="27" t="str">
        <f t="shared" si="0"/>
        <v>0:34,74</v>
      </c>
      <c r="I11" s="27" t="str">
        <f t="shared" si="0"/>
        <v>0:55,30</v>
      </c>
      <c r="J11" s="27" t="str">
        <f t="shared" si="0"/>
        <v>1:13,37</v>
      </c>
      <c r="K11" s="27" t="str">
        <f t="shared" si="0"/>
        <v>1:00,90</v>
      </c>
      <c r="L11" s="27" t="str">
        <f t="shared" si="0"/>
        <v>2:37,09</v>
      </c>
      <c r="M11" s="27" t="str">
        <f t="shared" si="0"/>
        <v>2:22,72</v>
      </c>
      <c r="N11" s="25"/>
    </row>
    <row r="14" spans="1:14" x14ac:dyDescent="0.25">
      <c r="A14" s="61" t="s">
        <v>14</v>
      </c>
      <c r="B14" s="61"/>
      <c r="C14" s="61"/>
      <c r="D14" s="61"/>
      <c r="E14" s="61"/>
      <c r="F14" s="61"/>
      <c r="H14" s="63" t="s">
        <v>35</v>
      </c>
      <c r="I14" s="63"/>
      <c r="J14" s="63"/>
      <c r="L14" s="63" t="s">
        <v>36</v>
      </c>
      <c r="M14"/>
    </row>
    <row r="15" spans="1:14" x14ac:dyDescent="0.25">
      <c r="A15" s="61"/>
      <c r="B15" s="61"/>
      <c r="C15" s="61"/>
      <c r="D15" s="61"/>
      <c r="E15" s="61"/>
      <c r="F15" s="61"/>
      <c r="H15" s="63"/>
      <c r="I15" s="63"/>
      <c r="J15" s="63"/>
      <c r="L15" s="63"/>
      <c r="M15"/>
    </row>
    <row r="16" spans="1:14" x14ac:dyDescent="0.25">
      <c r="A16" s="2" t="s">
        <v>15</v>
      </c>
      <c r="B16" s="2" t="s">
        <v>17</v>
      </c>
      <c r="C16" s="2" t="s">
        <v>16</v>
      </c>
      <c r="D16" s="2" t="s">
        <v>18</v>
      </c>
      <c r="E16" s="2" t="s">
        <v>20</v>
      </c>
      <c r="F16" s="2" t="s">
        <v>25</v>
      </c>
      <c r="H16" s="2" t="s">
        <v>37</v>
      </c>
      <c r="I16" s="2" t="s">
        <v>32</v>
      </c>
      <c r="J16" s="2" t="s">
        <v>25</v>
      </c>
      <c r="L16" s="2" t="s">
        <v>37</v>
      </c>
      <c r="M16"/>
    </row>
    <row r="17" spans="1:13" x14ac:dyDescent="0.25">
      <c r="A17" s="8" t="s">
        <v>28</v>
      </c>
      <c r="B17" s="8">
        <v>15</v>
      </c>
      <c r="C17" s="8">
        <v>18</v>
      </c>
      <c r="D17" s="8">
        <v>3</v>
      </c>
      <c r="E17" s="8" t="s">
        <v>21</v>
      </c>
      <c r="F17" s="8" t="s">
        <v>26</v>
      </c>
      <c r="H17" s="36" t="s">
        <v>88</v>
      </c>
      <c r="I17" s="8" t="s">
        <v>31</v>
      </c>
      <c r="J17" s="8" t="s">
        <v>27</v>
      </c>
      <c r="L17" s="37" t="s">
        <v>33</v>
      </c>
      <c r="M17"/>
    </row>
    <row r="18" spans="1:13" x14ac:dyDescent="0.25">
      <c r="A18" s="10" t="s">
        <v>28</v>
      </c>
      <c r="B18" s="10">
        <v>13</v>
      </c>
      <c r="C18" s="10">
        <v>14</v>
      </c>
      <c r="D18" s="10">
        <v>1</v>
      </c>
      <c r="E18" s="10" t="s">
        <v>21</v>
      </c>
      <c r="F18" s="10" t="s">
        <v>26</v>
      </c>
      <c r="H18" s="37" t="s">
        <v>89</v>
      </c>
      <c r="I18" s="37" t="s">
        <v>31</v>
      </c>
      <c r="J18" s="37" t="s">
        <v>27</v>
      </c>
      <c r="L18" s="40"/>
      <c r="M18"/>
    </row>
    <row r="19" spans="1:13" x14ac:dyDescent="0.25">
      <c r="A19" s="8" t="s">
        <v>29</v>
      </c>
      <c r="B19" s="8">
        <v>12</v>
      </c>
      <c r="C19" s="8">
        <v>18</v>
      </c>
      <c r="D19" s="8">
        <v>16</v>
      </c>
      <c r="E19" s="8" t="s">
        <v>23</v>
      </c>
      <c r="F19" s="8" t="s">
        <v>26</v>
      </c>
      <c r="H19" s="36" t="s">
        <v>90</v>
      </c>
      <c r="I19" s="36" t="s">
        <v>31</v>
      </c>
      <c r="J19" s="36" t="s">
        <v>27</v>
      </c>
      <c r="L19" s="38"/>
      <c r="M19"/>
    </row>
    <row r="20" spans="1:13" x14ac:dyDescent="0.25">
      <c r="A20" s="10" t="s">
        <v>30</v>
      </c>
      <c r="B20" s="10">
        <v>12</v>
      </c>
      <c r="C20" s="10">
        <v>18</v>
      </c>
      <c r="D20" s="10">
        <v>10</v>
      </c>
      <c r="E20" s="10" t="s">
        <v>21</v>
      </c>
      <c r="F20" s="10" t="s">
        <v>26</v>
      </c>
      <c r="H20" s="37" t="s">
        <v>91</v>
      </c>
      <c r="I20" s="37" t="s">
        <v>34</v>
      </c>
      <c r="J20" s="37"/>
      <c r="L20" s="40"/>
      <c r="M20"/>
    </row>
    <row r="21" spans="1:13" x14ac:dyDescent="0.25">
      <c r="A21" s="8" t="s">
        <v>29</v>
      </c>
      <c r="B21" s="8">
        <v>12</v>
      </c>
      <c r="C21" s="8">
        <v>100</v>
      </c>
      <c r="D21" s="8">
        <v>8</v>
      </c>
      <c r="E21" s="8" t="s">
        <v>23</v>
      </c>
      <c r="F21" s="8" t="s">
        <v>27</v>
      </c>
      <c r="H21" s="36" t="s">
        <v>92</v>
      </c>
      <c r="I21" s="36" t="s">
        <v>31</v>
      </c>
      <c r="J21" s="36" t="s">
        <v>26</v>
      </c>
      <c r="L21" s="38"/>
      <c r="M21"/>
    </row>
    <row r="22" spans="1:13" x14ac:dyDescent="0.25">
      <c r="A22" s="10" t="s">
        <v>28</v>
      </c>
      <c r="B22" s="10">
        <v>17</v>
      </c>
      <c r="C22" s="10">
        <v>18</v>
      </c>
      <c r="D22" s="10">
        <v>1</v>
      </c>
      <c r="E22" s="10" t="s">
        <v>21</v>
      </c>
      <c r="F22" s="10" t="s">
        <v>27</v>
      </c>
      <c r="H22" s="42" t="s">
        <v>93</v>
      </c>
      <c r="I22" s="42" t="s">
        <v>31</v>
      </c>
      <c r="J22" s="10" t="s">
        <v>26</v>
      </c>
      <c r="L22" s="41"/>
      <c r="M22"/>
    </row>
    <row r="23" spans="1:13" x14ac:dyDescent="0.25">
      <c r="A23" s="8" t="s">
        <v>28</v>
      </c>
      <c r="B23" s="8">
        <v>19</v>
      </c>
      <c r="C23" s="8">
        <v>100</v>
      </c>
      <c r="D23" s="8">
        <v>4</v>
      </c>
      <c r="E23" s="8" t="s">
        <v>21</v>
      </c>
      <c r="F23" s="8" t="s">
        <v>27</v>
      </c>
      <c r="H23" s="43" t="s">
        <v>95</v>
      </c>
      <c r="I23" s="43" t="s">
        <v>38</v>
      </c>
      <c r="J23" s="43" t="s">
        <v>26</v>
      </c>
      <c r="L23" s="39"/>
      <c r="M23"/>
    </row>
    <row r="24" spans="1:13" x14ac:dyDescent="0.25">
      <c r="H24" s="42"/>
      <c r="I24" s="42"/>
      <c r="J24" s="42"/>
      <c r="L24" s="41"/>
      <c r="M24"/>
    </row>
    <row r="25" spans="1:13" x14ac:dyDescent="0.25">
      <c r="H25" s="35"/>
      <c r="I25" s="35"/>
      <c r="L25" s="39"/>
      <c r="M25"/>
    </row>
    <row r="26" spans="1:13" x14ac:dyDescent="0.25">
      <c r="L26" s="41"/>
      <c r="M26"/>
    </row>
    <row r="27" spans="1:13" x14ac:dyDescent="0.25">
      <c r="L27" s="39"/>
      <c r="M27"/>
    </row>
    <row r="28" spans="1:13" x14ac:dyDescent="0.25">
      <c r="L28" s="41"/>
      <c r="M28"/>
    </row>
    <row r="29" spans="1:13" x14ac:dyDescent="0.25">
      <c r="L29" s="39"/>
      <c r="M29"/>
    </row>
    <row r="30" spans="1:13" x14ac:dyDescent="0.25">
      <c r="L30" s="41"/>
      <c r="M30"/>
    </row>
    <row r="31" spans="1:13" x14ac:dyDescent="0.25">
      <c r="L31" s="39"/>
      <c r="M31"/>
    </row>
    <row r="32" spans="1:13" x14ac:dyDescent="0.25">
      <c r="L32" s="41"/>
      <c r="M32"/>
    </row>
    <row r="33" spans="8:13" x14ac:dyDescent="0.25">
      <c r="L33" s="39"/>
      <c r="M33"/>
    </row>
    <row r="34" spans="8:13" x14ac:dyDescent="0.25">
      <c r="L34" s="41"/>
      <c r="M34"/>
    </row>
    <row r="35" spans="8:13" x14ac:dyDescent="0.25">
      <c r="M35"/>
    </row>
    <row r="36" spans="8:13" x14ac:dyDescent="0.25">
      <c r="L36" s="41"/>
      <c r="M36"/>
    </row>
    <row r="37" spans="8:13" x14ac:dyDescent="0.25">
      <c r="M37"/>
    </row>
    <row r="38" spans="8:13" x14ac:dyDescent="0.25">
      <c r="H38"/>
      <c r="I38"/>
      <c r="J38"/>
      <c r="K38"/>
      <c r="L38"/>
      <c r="M38"/>
    </row>
    <row r="39" spans="8:13" x14ac:dyDescent="0.25">
      <c r="H39"/>
      <c r="I39"/>
      <c r="J39"/>
      <c r="K39"/>
      <c r="L39"/>
      <c r="M39"/>
    </row>
  </sheetData>
  <mergeCells count="4">
    <mergeCell ref="A7:N8"/>
    <mergeCell ref="A14:F15"/>
    <mergeCell ref="H14:J15"/>
    <mergeCell ref="L14:L15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DR</vt:lpstr>
      <vt:lpstr>WR-Youth</vt:lpstr>
      <vt:lpstr>WR-Open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2025-09-24T10:27:12Z</dcterms:created>
  <dcterms:modified xsi:type="dcterms:W3CDTF">2025-12-04T00:31:07Z</dcterms:modified>
</cp:coreProperties>
</file>