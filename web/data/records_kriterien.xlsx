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8FFC4FD5-4BF6-4F0F-8306-07D3A74B08D6}" xr6:coauthVersionLast="47" xr6:coauthVersionMax="47" xr10:uidLastSave="{00000000-0000-0000-0000-000000000000}"/>
  <bookViews>
    <workbookView xWindow="-98" yWindow="-98" windowWidth="21795" windowHeight="12975" tabRatio="687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<sst xmlns="http://schemas.openxmlformats.org/spreadsheetml/2006/main" count="814" uniqueCount="276">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</sst>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36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30" headerRowBorderDxfId="229" tableBorderDxfId="228">
  <autoFilter ref="A4:AW31" xr:uid="{2C5E83EE-6B6F-478A-9C90-A846A1A76536}"/>
  <tableColumns count="49">
    <tableColumn id="1" xr3:uid="{7C0C4105-A61A-4B8D-9129-EDC4F18765AF}" name="WR-Open" dataDxfId="227">
      <calculatedColumnFormula>A4+1</calculatedColumnFormula>
    </tableColumn>
    <tableColumn id="2" xr3:uid="{516F5612-F85F-413F-9012-E235F415E34B}" name="50m Retten - offen - W" dataDxfId="226"/>
    <tableColumn id="3" xr3:uid="{BC9ACAC9-0D45-42FD-B596-D19FBE3A4D83}" name="100m Retten - offen - W" dataDxfId="225"/>
    <tableColumn id="4" xr3:uid="{CB6DBE59-EB65-43F0-93E7-0BDC3F82832B}" name="100m Kombi - offen - W" dataDxfId="224"/>
    <tableColumn id="5" xr3:uid="{AA603C60-6831-4C14-A8CD-0AA050DA7551}" name="100m Lifesaver - offen - W" dataDxfId="223"/>
    <tableColumn id="6" xr3:uid="{7920F147-7717-4582-940A-2610F7D310CA}" name="200m Superlifesaver - offen - W" dataDxfId="222"/>
    <tableColumn id="7" xr3:uid="{04E21F1D-AC8D-4A1B-9B43-59B8F7901673}" name="200m Hindernis - offen - W" dataDxfId="221"/>
    <tableColumn id="8" xr3:uid="{40E8A083-653A-48A8-9B37-0A2D850B7829}" name="50m Retten - offen - M" dataDxfId="220"/>
    <tableColumn id="9" xr3:uid="{863824A9-134F-4189-BB14-225AE224FC44}" name="100m Retten - offen - M" dataDxfId="219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18"/>
    <tableColumn id="14" xr3:uid="{FA907992-7FCE-4CAD-8CF2-F5BEBC9B3756}" name="50m Retten - 17/18 - W" dataDxfId="217"/>
    <tableColumn id="15" xr3:uid="{76B63DC0-CB67-48F4-9B5A-D22902F59334}" name="100m Retten - 17/18 - W" dataDxfId="216"/>
    <tableColumn id="16" xr3:uid="{614A2419-51B1-44C0-8469-ADBFB078B81A}" name="100m Kombi -17/18 - W" dataDxfId="215"/>
    <tableColumn id="17" xr3:uid="{2EC953EE-367D-4524-A25E-8DE3B8168E34}" name="100m Lifesaver - 17/18 - W" dataDxfId="214"/>
    <tableColumn id="18" xr3:uid="{25711867-9BD7-4197-9094-A21392411249}" name="200m Superlifesaver - 17/18 - W" dataDxfId="213"/>
    <tableColumn id="19" xr3:uid="{262DB142-CFB1-45C3-9332-7273CACD1B62}" name="200m Hindernis - 17/18 - W" dataDxfId="212"/>
    <tableColumn id="20" xr3:uid="{938BA45A-8244-4637-8A14-DF49CD91A945}" name="50m Retten - 17/18 - M" dataDxfId="211"/>
    <tableColumn id="21" xr3:uid="{737E28D8-900F-4A98-95FE-EE7B0AFDEE90}" name="100m Retten - 17/18 - M" dataDxfId="210"/>
    <tableColumn id="22" xr3:uid="{330BD3A8-061C-45E2-ADDB-40C2F346772F}" name="100m Kombi - 17/18 - M" dataDxfId="209"/>
    <tableColumn id="23" xr3:uid="{0CADDE90-A167-4E1D-8D33-8624E5E1A4E2}" name="100m Lifesaver - 17/18 - M" dataDxfId="208"/>
    <tableColumn id="24" xr3:uid="{FCF9F42C-1291-4985-9D37-B9DE2DAA5DCB}" name="200m Superlifesaver - 17/18 - M" dataDxfId="207"/>
    <tableColumn id="25" xr3:uid="{4E5397B2-F924-4F48-AE69-AF6D650AF88D}" name="200m Hindernis - 17/18 - M" dataDxfId="206"/>
    <tableColumn id="26" xr3:uid="{0A78315A-BFDC-43EE-A66F-48B301F66508}" name="50m Retten - 15/16 - W" dataDxfId="205"/>
    <tableColumn id="27" xr3:uid="{D3FCF8BD-6C76-450D-80C0-CC0519A79731}" name="100m Retten - 15/16 - W" dataDxfId="204"/>
    <tableColumn id="28" xr3:uid="{6BE7937E-D62D-47CD-95DE-1730304B0DF3}" name="100m Kombi - 15/16 - W" dataDxfId="203"/>
    <tableColumn id="29" xr3:uid="{098BA5BE-5AF6-4187-89B6-534498F24C51}" name="100m Lifesaver -  15/16 - W" dataDxfId="202"/>
    <tableColumn id="30" xr3:uid="{2A6822CF-143C-4BF7-A440-5777527BE512}" name="200m Superlifesaver -  15/16 - W" dataDxfId="201"/>
    <tableColumn id="31" xr3:uid="{541C7145-CDEA-4E4E-9E7A-A4F05BA6C3E5}" name="200m Hindernis -  15/16 - W" dataDxfId="200"/>
    <tableColumn id="32" xr3:uid="{342C4488-8C61-42E6-87A9-C75BD8EB7452}" name="50m Retten - 15/16 - M" dataDxfId="199"/>
    <tableColumn id="33" xr3:uid="{857B1D46-7D20-47F7-AB9B-732D50346E32}" name="100m Retten - 15/16 - M" dataDxfId="198"/>
    <tableColumn id="34" xr3:uid="{4C8A2EB4-804B-45F1-A768-9A6958957F8B}" name="100m Kombi -15/16 - M" dataDxfId="197"/>
    <tableColumn id="35" xr3:uid="{26C75B4F-21EC-4EB0-A9A9-54BC80140672}" name="100m Lifesaver - 15/16 - M" dataDxfId="196"/>
    <tableColumn id="36" xr3:uid="{DBBB2A23-1A06-429A-A5D1-A547EF5EC16F}" name="200m Superlifesaver - 15/16 - M" dataDxfId="195"/>
    <tableColumn id="37" xr3:uid="{84061231-CAE5-427A-87F5-6DDBA99F77D2}" name="200m Hindernis - 15/16 - M" dataDxfId="194"/>
    <tableColumn id="38" xr3:uid="{878CCA80-A742-4B3C-90C9-E93BB814201B}" name="50m Retten - 13/14 - W" dataDxfId="193"/>
    <tableColumn id="39" xr3:uid="{A1F57102-61CF-4784-8DE2-0B8F32D5D699}" name="50m Retten mit Flossen - 13/14 - W" dataDxfId="192"/>
    <tableColumn id="40" xr3:uid="{0F6BAF78-3D79-42A9-9FED-E6D0E335A920}" name="100m Hindernis - 13/14 - W" dataDxfId="191"/>
    <tableColumn id="41" xr3:uid="{EB748A68-E10D-4D76-B315-8FDB3AC33C8D}" name="50m Retten - 13/14 - M" dataDxfId="190"/>
    <tableColumn id="42" xr3:uid="{C7B04167-6430-40F0-9A0F-D0D0BE2F9C77}" name="50m Retten mit Flossen - 13/14 - M" dataDxfId="189"/>
    <tableColumn id="43" xr3:uid="{48704BB7-A853-445A-8CDC-8D8F86C2B66A}" name="100m Hindernis - 13/14 - M" dataDxfId="188"/>
    <tableColumn id="44" xr3:uid="{9605FE9A-F41C-4A5F-A59C-B7A9D45C460F}" name="50m Flossen - 12 - W" dataDxfId="187"/>
    <tableColumn id="45" xr3:uid="{4C9DBF61-35B1-4BC2-8272-526E0AFAAFFB}" name="50m komb. Schwimmen - 12 - W" dataDxfId="186"/>
    <tableColumn id="46" xr3:uid="{CF433C95-C272-48F9-98CD-7E3C8DBB6F2C}" name="50m Hindernis - 12 - W" dataDxfId="185"/>
    <tableColumn id="47" xr3:uid="{FADB7411-DB43-4B14-B9E8-D74CA1BA18B8}" name="50m Flossen - 12 - M" dataDxfId="184"/>
    <tableColumn id="48" xr3:uid="{02936F84-1D82-48AC-8D7C-6D2954D68A06}" name="50m komb. Schwimmen - 12 - M" dataDxfId="183"/>
    <tableColumn id="49" xr3:uid="{7FD9BD11-0597-4E07-8DA5-DB53384197F5}" name="50m Hindernis - 12 - M" dataDxfId="18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81" dataDxfId="179" headerRowBorderDxfId="180" tableBorderDxfId="178">
  <autoFilter ref="A4:M32" xr:uid="{4234D44E-A2BE-4790-B589-1A8CC19B714E}"/>
  <tableColumns count="13">
    <tableColumn id="1" xr3:uid="{848E691A-41B0-42DD-B122-FB6DF43CB3EF}" name="WR-Youth" dataDxfId="177"/>
    <tableColumn id="2" xr3:uid="{2FE43F18-485B-46A9-8946-FBC5FDAE5A8E}" name="50m Retten" dataDxfId="176"/>
    <tableColumn id="3" xr3:uid="{CA5C3ABF-02E6-442B-868B-95B293B231D3}" name="100m Retten" dataDxfId="175"/>
    <tableColumn id="4" xr3:uid="{7A6BBA52-2145-464D-8C04-B2CCFC1A90DC}" name="100m Kombi" dataDxfId="174"/>
    <tableColumn id="5" xr3:uid="{21F420C9-E788-49EE-88F6-E37963ED31CF}" name="100m Lifesaver" dataDxfId="173"/>
    <tableColumn id="6" xr3:uid="{CB87B7CD-8A9C-4775-A4D7-4D267F43FD1A}" name="200m Superlifesaver" dataDxfId="172"/>
    <tableColumn id="7" xr3:uid="{2DC7F290-B564-4851-85AE-D211DA701B32}" name="200m Hindernis" dataDxfId="171"/>
    <tableColumn id="8" xr3:uid="{8112783D-8796-4D6A-8414-AC675D745697}" name="50m Retten2" dataDxfId="170"/>
    <tableColumn id="9" xr3:uid="{4E818CD4-8725-495D-9D1D-1AFCED9181F5}" name="100m Retten2" dataDxfId="169"/>
    <tableColumn id="10" xr3:uid="{28C05A91-E302-40A9-B50A-ECF997F129FC}" name="100m Kombi2" dataDxfId="168"/>
    <tableColumn id="11" xr3:uid="{D56FB9F2-45BF-4EC9-A84C-8A5FB59F2F05}" name="100m Lifesaver2" dataDxfId="167"/>
    <tableColumn id="12" xr3:uid="{540169C0-2A40-4794-A872-F7DF8A887BF2}" name="200m Superlifesaver2" dataDxfId="166"/>
    <tableColumn id="13" xr3:uid="{D104CB67-B55A-4C81-87E5-0AC758DD22A4}" name="200m Hindernis2" dataDxfId="16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64" headerRowBorderDxfId="163" tableBorderDxfId="162">
  <autoFilter ref="A4:M32" xr:uid="{E2D2F97B-7645-4066-8AB3-F35CF6E035EB}"/>
  <tableColumns count="13">
    <tableColumn id="1" xr3:uid="{AE73402B-B27E-4B29-8DCF-30B7FC1855EF}" name="WR-Open" dataDxfId="161">
      <calculatedColumnFormula>A4+1</calculatedColumnFormula>
    </tableColumn>
    <tableColumn id="2" xr3:uid="{EA3EAC1F-184E-4A28-B3E3-08DE12F138EF}" name="50m Retten" dataDxfId="160"/>
    <tableColumn id="3" xr3:uid="{E0305A3F-6087-4F8C-8B64-153E1ACAA32E}" name="100m Retten" dataDxfId="159"/>
    <tableColumn id="4" xr3:uid="{F0B7AC37-315E-49AA-855C-7955D2B43A76}" name="100m Kombi" dataDxfId="158"/>
    <tableColumn id="5" xr3:uid="{B5E690AB-DB7D-4864-8916-89D2A68C4128}" name="100m Lifesaver" dataDxfId="157"/>
    <tableColumn id="6" xr3:uid="{D89BAF4D-36AE-4C73-9320-9C5736F02F8A}" name="200m Superlifesaver" dataDxfId="156"/>
    <tableColumn id="7" xr3:uid="{58AE7517-1A90-459F-A7D2-B95265D217E7}" name="200m Hindernis" dataDxfId="155"/>
    <tableColumn id="8" xr3:uid="{13A189FB-E897-4A1F-A001-525F61E9CFFF}" name="50m Retten2" dataDxfId="154"/>
    <tableColumn id="9" xr3:uid="{36418AC5-46B8-400F-BD2E-D329CF4F92CD}" name="100m Retten2" dataDxfId="153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52" dataDxfId="151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50"/>
    <tableColumn id="2" xr3:uid="{2F302F6C-F8AF-4FDE-AB08-6F30F9671015}" name="Geschlecht" dataDxfId="149"/>
    <tableColumn id="3" xr3:uid="{4D91FBF9-386D-43DD-90D0-B49823FDB629}" name="Mindest alter" dataDxfId="148"/>
    <tableColumn id="4" xr3:uid="{4126AAC6-AF2F-446C-B4EA-D86ACFD9FAC2}" name="Maximales Alter" dataDxfId="147"/>
    <tableColumn id="5" xr3:uid="{8A10890A-A299-4B09-AC72-0E9AE9238AF3}" name="Qualizeitraum anfang" dataDxfId="146"/>
    <tableColumn id="6" xr3:uid="{FBCD1C13-FC82-429B-8DE1-0C5A455FDAB8}" name="Qualizeitraum Ende" dataDxfId="145"/>
    <tableColumn id="7" xr3:uid="{1DCCAC9B-BC46-468E-A3CE-57576C2FF11D}" name="Letzter Wettkampf am" dataDxfId="144"/>
    <tableColumn id="8" xr3:uid="{9A6E47EE-ABD8-4A1E-87D3-9D286E4C124F}" name="Wertung" dataDxfId="143"/>
    <tableColumn id="9" xr3:uid="{09E848D2-ED17-49C7-9775-CBF17D20DFC0}" name="Landesverband" dataDxfId="142"/>
    <tableColumn id="10" xr3:uid="{70ABB713-23F6-4FCF-920E-3CB0CD451446}" name="OMS" dataDxfId="141"/>
    <tableColumn id="11" xr3:uid="{9C108A1C-E6AB-4C13-9C1D-0FA8944A39A3}" name="Pool-Länge" dataDxfId="140"/>
    <tableColumn id="12" xr3:uid="{087948DD-430D-48F1-906D-4F4EF4B46053}" name="Regelwerk" dataDxfId="139"/>
    <tableColumn id="13" xr3:uid="{BF42D9C0-F77D-4971-A67E-32B0246C72C3}" name="Referenz" dataDxfId="138"/>
    <tableColumn id="19" xr3:uid="{AFFB84E8-B398-4E99-805B-9A247071A040}" name="Referenz Jahr" dataDxfId="137"/>
    <tableColumn id="20" xr3:uid="{0A59A474-DFBB-4437-8EFF-70284AFD9934}" name="Mindest Punktzahl" dataDxfId="136"/>
    <tableColumn id="21" xr3:uid="{198BD231-EEF3-43C9-AD9B-39B4B7E9B337}" name="Mindest Disziplinen" dataDxfId="135"/>
    <tableColumn id="14" xr3:uid="{443CD4F6-A2B2-480B-BB35-DCEEBC531727}" name="3-Kampf Regel" dataDxfId="134"/>
    <tableColumn id="15" xr3:uid="{70116160-7666-42B1-92AC-FAC2620E6A60}" name="Anzahl Nominierte" dataDxfId="133"/>
    <tableColumn id="16" xr3:uid="{0EFD0A46-D12B-4AB0-907C-08E5D9F282E0}" name="Anzahl Nachrücker" dataDxfId="132"/>
    <tableColumn id="17" xr3:uid="{AA5430A0-8ED8-40E8-B7F8-DA25E4E8790F}" name="Seiten Anzahl" dataDxfId="131"/>
    <tableColumn id="18" xr3:uid="{16F699D9-2741-43F3-AD5F-826A568EFEAC}" name="Absagen" dataDxfId="1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29" dataDxfId="128">
  <autoFilter ref="A1:U7" xr:uid="{CDBF6724-48A1-41AB-94B5-CC35C54BB15C}"/>
  <tableColumns count="21">
    <tableColumn id="1" xr3:uid="{E1FB3D0C-B874-4874-BACC-6872CF171957}" name="Tabellen Name" dataDxfId="127"/>
    <tableColumn id="2" xr3:uid="{FFDD2777-2097-450C-B020-F133CF643855}" name="Geschlecht" dataDxfId="126"/>
    <tableColumn id="3" xr3:uid="{8CF52BE2-8020-48BD-A36D-63F13A1878DE}" name="Mindest alter" dataDxfId="125"/>
    <tableColumn id="4" xr3:uid="{FD3A030F-CD97-4B6F-8E8C-BC2E67D79F1D}" name="Maximales Alter" dataDxfId="124"/>
    <tableColumn id="5" xr3:uid="{3E22B645-D77C-4509-B031-9914FCB91599}" name="Qualizeitraum anfang" dataDxfId="123"/>
    <tableColumn id="6" xr3:uid="{AE299324-3C1C-4063-ADF9-54555A161734}" name="Qualizeitraum Ende" dataDxfId="122"/>
    <tableColumn id="7" xr3:uid="{DCC178B3-11FC-4C53-BBC6-C2FDA2C89857}" name="Letzter Wettkampf am" dataDxfId="121"/>
    <tableColumn id="8" xr3:uid="{2811DB01-60A5-4BE4-B6F9-A806398A602A}" name="Wertung" dataDxfId="120"/>
    <tableColumn id="9" xr3:uid="{0C16DAFE-847D-4E9E-9604-3A7D9FE924D0}" name="Landesverband" dataDxfId="119"/>
    <tableColumn id="10" xr3:uid="{7A8A4101-A553-4BD5-9116-9AA5876B9401}" name="OMS" dataDxfId="118"/>
    <tableColumn id="11" xr3:uid="{9807C9BD-6499-45F6-ACE0-4D13D64EF675}" name="Pool-Länge" dataDxfId="117"/>
    <tableColumn id="12" xr3:uid="{13D336DD-650F-4F2C-836F-361CA1528F6D}" name="Regelwerk" dataDxfId="116"/>
    <tableColumn id="13" xr3:uid="{66660E2D-ADF2-4FB5-8A13-004F826EE908}" name="Referenz" dataDxfId="115"/>
    <tableColumn id="19" xr3:uid="{D72EDF8B-ECC3-4FF7-ABE6-B60BCE4A5E26}" name="Referenz Jahr" dataDxfId="114"/>
    <tableColumn id="20" xr3:uid="{7B18E667-70F7-4BC1-AB1B-21C019F2AA89}" name="Mindest Punktzahl" dataDxfId="113"/>
    <tableColumn id="21" xr3:uid="{FC185946-681B-42A6-AB1A-FC1EABB668C5}" name="Mindest Disziplinen" dataDxfId="112"/>
    <tableColumn id="14" xr3:uid="{6A2676FD-2EC7-4C41-A35E-A1597A38F932}" name="3-Kampf Regel" dataDxfId="111"/>
    <tableColumn id="15" xr3:uid="{718E0917-4F83-4A2B-832F-EBB16D5E21BF}" name="Anzahl Nominierte" dataDxfId="110"/>
    <tableColumn id="16" xr3:uid="{5C66A461-D647-4E00-A81C-FD7AD44D7CC2}" name="Anzahl Nachrücker" dataDxfId="109"/>
    <tableColumn id="17" xr3:uid="{D434BDEC-293B-4B4E-A5E9-479438960A03}" name="Seiten Anzahl" dataDxfId="108"/>
    <tableColumn id="18" xr3:uid="{80908229-9247-473F-81C0-9C9D4C12FF06}" name="Absagen" dataDxfId="10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06" dataDxfId="105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4"/>
    <tableColumn id="2" xr3:uid="{6346FF3B-B334-4CD8-8B23-F2347E29C536}" name="Geschlecht" dataDxfId="103"/>
    <tableColumn id="3" xr3:uid="{E793B48A-BC8A-439F-8AAF-6FD08104A619}" name="Mindest Alter" dataDxfId="102"/>
    <tableColumn id="4" xr3:uid="{01A62C29-2F75-4107-A431-F69230BCCD0C}" name="Maximales Alter" dataDxfId="101"/>
    <tableColumn id="5" xr3:uid="{B7E4DE90-7856-4A0C-9063-61414D7F227C}" name="Qualizeitraum anfang" dataDxfId="100"/>
    <tableColumn id="6" xr3:uid="{B00F7CD1-82CB-42B9-A396-89F79EF419CA}" name="Qualizeitraum Ende" dataDxfId="99"/>
    <tableColumn id="7" xr3:uid="{9E50DDE5-12E3-4BCB-801C-FBABCE309F0E}" name="Letzter Wettkampf am" dataDxfId="98"/>
    <tableColumn id="8" xr3:uid="{57E68247-0FF2-48D8-8ACD-AB057E576A21}" name="Landesverband" dataDxfId="97"/>
    <tableColumn id="9" xr3:uid="{EBAA439D-F69A-4C2A-8193-9AE08F1E57B8}" name="OMS" dataDxfId="96"/>
    <tableColumn id="10" xr3:uid="{BBD11E7F-3DDF-428A-B005-4A40E6FA78DC}" name="Pool-Länge" dataDxfId="95"/>
    <tableColumn id="11" xr3:uid="{6AE38DCA-A084-4F3D-A6A4-4E76E3E2CBC6}" name="Regelwerk" dataDxfId="94"/>
    <tableColumn id="12" xr3:uid="{7F7470AD-5502-4CEE-BB4C-44BA308E61D7}" name="Seiten Anzahl" dataDxfId="93"/>
    <tableColumn id="13" xr3:uid="{F416CBFA-4C9D-45CD-9BA7-E4BC57A08BC2}" name="PZ1 - 50m Retten" dataDxfId="92"/>
    <tableColumn id="14" xr3:uid="{7117DBCA-0DA7-462C-84FE-0DC7E33B124C}" name="PZ1 - 100m Retten" dataDxfId="91"/>
    <tableColumn id="15" xr3:uid="{E8630E91-DC30-4822-9E53-6D65487C3670}" name="PZ1 - 100m Kombi" dataDxfId="90"/>
    <tableColumn id="16" xr3:uid="{4B3AA225-E042-430F-8259-D176887B4528}" name="PZ1 - 100m Lifesaver" dataDxfId="89"/>
    <tableColumn id="17" xr3:uid="{798674BD-98CE-4531-BDFF-6AB06253AD7C}" name="PZ1 - 200m Super-Lifesaver" dataDxfId="88"/>
    <tableColumn id="18" xr3:uid="{8809BB71-D58B-4E8B-A442-D0EB9A65A25D}" name="PZ1 - 200m Hindernis" dataDxfId="87"/>
    <tableColumn id="19" xr3:uid="{93DCF463-806B-4117-B4E3-1FFAE976B37C}" name="PZ2 - 50m Retten" dataDxfId="86"/>
    <tableColumn id="20" xr3:uid="{A514C961-559E-462F-B143-BA30974C0129}" name="PZ2 - 100m Retten" dataDxfId="85"/>
    <tableColumn id="21" xr3:uid="{F1CF6143-45FE-498D-93D6-36F26D2F3C0B}" name="PZ2 - 100m Kombi" dataDxfId="84"/>
    <tableColumn id="22" xr3:uid="{E90962FC-C214-467F-841F-40DF60E41456}" name="PZ2 - 100m Lifesaver" dataDxfId="83"/>
    <tableColumn id="23" xr3:uid="{7FBC6334-C4C8-4B38-9F59-30ED95A44379}" name="PZ2 - 200m Super-Lifesaver" dataDxfId="82"/>
    <tableColumn id="24" xr3:uid="{231BFF86-8F3A-4BA1-B25E-28175D9EDFA9}" name="PZ2 - 200m Hindernis" dataDxfId="8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0" dataDxfId="79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78"/>
    <tableColumn id="2" xr3:uid="{733C1722-A9C9-4830-A9E2-FE62E96BCD98}" name="Geschlecht" dataDxfId="77"/>
    <tableColumn id="3" xr3:uid="{80C0BF46-0E43-4947-BF86-B808C324772A}" name="Mindest Alter" dataDxfId="76"/>
    <tableColumn id="4" xr3:uid="{DBA2A923-EEB7-43F9-A1A3-E78624448FB9}" name="Maximales Alter" dataDxfId="75"/>
    <tableColumn id="5" xr3:uid="{3FDEE18A-328D-45AE-907D-69A916A93345}" name="Qualizeitraum anfang" dataDxfId="74"/>
    <tableColumn id="6" xr3:uid="{BE002D7F-575F-4B60-9251-C71D93F59045}" name="Qualizeitraum Ende" dataDxfId="73"/>
    <tableColumn id="7" xr3:uid="{208ABD57-DE4B-41D6-B9FC-93F2D8966E8D}" name="Letzter Wettkampf am" dataDxfId="72"/>
    <tableColumn id="8" xr3:uid="{30C9697C-6550-4996-ADDB-7FEE5325B794}" name="Landesverband" dataDxfId="71"/>
    <tableColumn id="9" xr3:uid="{ED2DAB77-EF46-4D8B-B8E4-90412E32E277}" name="OMS" dataDxfId="70"/>
    <tableColumn id="10" xr3:uid="{AD534940-A91B-4A6E-9606-E3F3E517D401}" name="Pool-Länge" dataDxfId="69"/>
    <tableColumn id="11" xr3:uid="{11F9D5D5-72FE-42CA-8624-01D513B4140F}" name="Regelwerk" dataDxfId="68"/>
    <tableColumn id="12" xr3:uid="{3907872B-5438-4FBF-A045-3EF9EAACFC47}" name="Seiten Anzahl" dataDxfId="67"/>
    <tableColumn id="13" xr3:uid="{FC821324-3638-40C0-BA1E-069B44E23C7A}" name="PZ1 - 50m Retten" dataDxfId="66"/>
    <tableColumn id="14" xr3:uid="{70529619-443E-40D3-88C1-3E0F00BB2A50}" name="PZ1 - 100m Retten" dataDxfId="65"/>
    <tableColumn id="15" xr3:uid="{EFA92FD2-C23F-42B3-83DC-5036513F19AF}" name="PZ1 - 100m Kombi" dataDxfId="64"/>
    <tableColumn id="16" xr3:uid="{03309E52-8CF3-4E90-9EE6-A818901C3B32}" name="PZ1 - 100m Lifesaver" dataDxfId="63"/>
    <tableColumn id="17" xr3:uid="{00B22013-AA11-4C17-9250-22060AE4B0A8}" name="PZ1 - 200m Super-Lifesaver" dataDxfId="62"/>
    <tableColumn id="18" xr3:uid="{7E3508A9-0422-4561-A23E-53E613259B24}" name="PZ1 - 200m Hindernis" dataDxfId="61"/>
    <tableColumn id="19" xr3:uid="{5CEA435F-F34B-4D8D-88D0-F5EBFF18B713}" name="PZ2 - 50m Retten" dataDxfId="60"/>
    <tableColumn id="20" xr3:uid="{8585BE62-F7C4-4D5D-B287-052B43B08610}" name="PZ2 - 100m Retten" dataDxfId="59"/>
    <tableColumn id="21" xr3:uid="{D981758B-ADAD-4E36-B787-0B0FDA808CA2}" name="PZ2 - 100m Kombi" dataDxfId="58"/>
    <tableColumn id="22" xr3:uid="{1D4970A8-D22F-4962-934C-AEA295ED687A}" name="PZ2 - 100m Lifesaver" dataDxfId="57"/>
    <tableColumn id="23" xr3:uid="{BE394430-C58F-4690-9615-44475E5AF9F8}" name="PZ2 - 200m Super-Lifesaver" dataDxfId="56"/>
    <tableColumn id="24" xr3:uid="{A7036B1A-99CE-4F7C-AAB8-12E8B2696202}" name="PZ2 - 200m Hindernis" dataDxfId="5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4" dataDxfId="53">
  <autoFilter ref="A1:AF37" xr:uid="{FED162EE-531E-453F-8C25-562B59ECE709}"/>
  <tableColumns count="32">
    <tableColumn id="1" xr3:uid="{F985A4F0-6B8C-47C6-816F-1A31A4973EB2}" name="Tabellen Name" dataDxfId="52"/>
    <tableColumn id="2" xr3:uid="{5E5AD859-71A2-4E8E-B434-431A89C05C57}" name="Geschlecht" dataDxfId="51"/>
    <tableColumn id="3" xr3:uid="{85BB892C-E151-404B-8974-FC5199E0909C}" name="Mindest Alter" dataDxfId="50"/>
    <tableColumn id="4" xr3:uid="{790F6CF9-E475-4082-AE03-D30EDE22FB61}" name="Maximales Alter" dataDxfId="49"/>
    <tableColumn id="5" xr3:uid="{FD4B0E6E-9B64-4731-A50F-D3CE3A4ED3FC}" name="Qualizeitraum anfang" dataDxfId="48"/>
    <tableColumn id="6" xr3:uid="{5E84CAD2-C403-49B9-BB06-D56EC5784C8C}" name="Qualizeitraum Ende" dataDxfId="47"/>
    <tableColumn id="7" xr3:uid="{6323F8E2-5DA4-4E5B-9C35-1E8C219ADECF}" name="Letzter Wettkampf am" dataDxfId="46"/>
    <tableColumn id="8" xr3:uid="{D2845930-152E-432F-92A0-E7F7A3EE1FF0}" name="Landesverband" dataDxfId="45"/>
    <tableColumn id="9" xr3:uid="{87046373-5CCD-41EC-B34C-C753E71FD26C}" name="OMS" dataDxfId="44"/>
    <tableColumn id="10" xr3:uid="{A685FE01-F23C-4533-B399-857F5A1F6C37}" name="Pool-Länge" dataDxfId="43"/>
    <tableColumn id="11" xr3:uid="{11E0A508-0C9D-4CB6-952E-7FAC5D05BDCD}" name="Regelwerk" dataDxfId="42"/>
    <tableColumn id="12" xr3:uid="{F220BD5F-C3B5-4935-996A-BFCDF9F392D9}" name="Seiten Anzahl" dataDxfId="41"/>
    <tableColumn id="25" xr3:uid="{7CDE58FE-A5B8-4329-9F48-3913AEBA21FC}" name="mind. erreichte Normen" dataDxfId="40"/>
    <tableColumn id="13" xr3:uid="{A0A5E62D-9354-426D-9A08-13E43F36F55B}" name="PZ - 50m Retten" dataDxfId="39"/>
    <tableColumn id="14" xr3:uid="{5D70F54C-57E9-45E2-BC99-0DBB0422383E}" name="PZ - 100m Retten" dataDxfId="38"/>
    <tableColumn id="15" xr3:uid="{1C0CF5DB-156E-4813-A8BA-9EA29A40ABF3}" name="PZ - 100m Kombi" dataDxfId="37"/>
    <tableColumn id="16" xr3:uid="{691CD4E1-13D9-4455-A2D1-14C9BC41A0EA}" name="PZ - 100m Lifesaver" dataDxfId="36"/>
    <tableColumn id="17" xr3:uid="{CE1BA235-770B-4FA4-B327-187675DDA6B8}" name="PZ - 200m Super-Lifesaver" dataDxfId="35"/>
    <tableColumn id="18" xr3:uid="{A326EF87-5FF5-4042-85D3-7806FEED4CFA}" name="PZ - 200m Hindernis" dataDxfId="34"/>
    <tableColumn id="19" xr3:uid="{3F3DF994-C8AE-408C-BCA1-99A143BA81D4}" name="LMS" dataDxfId="33"/>
    <tableColumn id="20" xr3:uid="{7461FBF0-E903-4B09-9C11-C9C1047FA39D}" name="DMM" dataDxfId="32"/>
    <tableColumn id="21" xr3:uid="{675AEE5F-BEC3-499A-A337-72DD69B663E7}" name="DEM" dataDxfId="31"/>
    <tableColumn id="24" xr3:uid="{17E128CD-0800-40BC-B850-0CE3966127B2}" name="JRP" dataDxfId="30"/>
    <tableColumn id="22" xr3:uid="{A92C8C64-1269-48FF-8F43-8EF273E7864F}" name="DMO" dataDxfId="29"/>
    <tableColumn id="30" xr3:uid="{84286FAC-A077-44AC-889C-09543C869BF4}" name="DMO Ocean" dataDxfId="28"/>
    <tableColumn id="23" xr3:uid="{40EF7D68-4E22-4866-ADAA-28DC8A82A09C}" name="Trophy" dataDxfId="27"/>
    <tableColumn id="31" xr3:uid="{33F8EB16-27F6-453C-81FD-376213F45978}" name="Ocean Perf" dataDxfId="26"/>
    <tableColumn id="32" xr3:uid="{5B81C846-FAFA-4E74-8678-47219E5942AF}" name="Filcow" dataDxfId="25"/>
    <tableColumn id="26" xr3:uid="{C7421A01-D221-4C7A-9F0B-8BD025E0F1CF}" name="WM" dataDxfId="24"/>
    <tableColumn id="27" xr3:uid="{4050AB9D-D7D4-4B88-8218-9206C91AD9A0}" name="EM" dataDxfId="23"/>
    <tableColumn id="28" xr3:uid="{6FC272EA-276B-4249-818D-C220B87D52A6}" name="JWM" dataDxfId="22"/>
    <tableColumn id="29" xr3:uid="{51F99A1A-8D2C-444F-9E7C-AA537C8FFA08}" name="JEM" dataDxfId="2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35"/>
    <tableColumn id="2" xr3:uid="{38211212-0A92-428C-895C-E4CA68F52818}" name="datum bis"/>
    <tableColumn id="3" xr3:uid="{66E541C6-0A5E-4B2D-9B89-5E52F449A4A6}" name="uhrzeit von" dataDxfId="234"/>
    <tableColumn id="4" xr3:uid="{D93C06A2-29AD-4073-8E3C-A685B4474CC8}" name="uhrzeit bis" dataDxfId="233"/>
    <tableColumn id="5" xr3:uid="{C5C3979C-B528-44E8-A5A6-36F020A6034F}" name="titel" dataDxfId="232"/>
    <tableColumn id="6" xr3:uid="{9DC09E1D-44FD-40ED-9EBE-86A8E61C38B2}" name="meta" dataDxfId="23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/>
      <c r="S2" s="25"/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/>
      <c r="S3" s="25"/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T11" sqref="T11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216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216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216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217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216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216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216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abSelected="1" topLeftCell="F1" zoomScale="83" workbookViewId="0">
      <selection activeCell="K2" sqref="K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275</v>
      </c>
      <c r="B2" s="25" t="s">
        <v>130</v>
      </c>
      <c r="C2" s="25">
        <v>15</v>
      </c>
      <c r="D2" s="25">
        <v>18</v>
      </c>
      <c r="E2" s="27">
        <v>45839</v>
      </c>
      <c r="F2" s="27">
        <v>46193</v>
      </c>
      <c r="G2" s="27">
        <v>46023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274</v>
      </c>
      <c r="B3" s="25" t="s">
        <v>148</v>
      </c>
      <c r="C3" s="25">
        <v>15</v>
      </c>
      <c r="D3" s="25">
        <v>18</v>
      </c>
      <c r="E3" s="27">
        <v>45839</v>
      </c>
      <c r="F3" s="27">
        <v>46193</v>
      </c>
      <c r="G3" s="27">
        <v>46023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32812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32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245</v>
      </c>
      <c r="N1" s="25" t="s">
        <v>246</v>
      </c>
      <c r="O1" s="25" t="s">
        <v>247</v>
      </c>
      <c r="P1" s="25" t="s">
        <v>248</v>
      </c>
      <c r="Q1" s="25" t="s">
        <v>249</v>
      </c>
      <c r="R1" s="25" t="s">
        <v>250</v>
      </c>
      <c r="S1" s="25" t="s">
        <v>251</v>
      </c>
      <c r="T1" s="25" t="s">
        <v>252</v>
      </c>
      <c r="U1" s="25" t="s">
        <v>253</v>
      </c>
      <c r="V1" s="25" t="s">
        <v>254</v>
      </c>
      <c r="W1" s="25" t="s">
        <v>256</v>
      </c>
      <c r="X1" s="25" t="s">
        <v>261</v>
      </c>
      <c r="Y1" s="25" t="s">
        <v>262</v>
      </c>
      <c r="Z1" s="25" t="s">
        <v>255</v>
      </c>
      <c r="AA1" s="25" t="s">
        <v>263</v>
      </c>
      <c r="AB1" s="25" t="s">
        <v>264</v>
      </c>
      <c r="AC1" s="25" t="s">
        <v>257</v>
      </c>
      <c r="AD1" s="25" t="s">
        <v>258</v>
      </c>
      <c r="AE1" s="25" t="s">
        <v>259</v>
      </c>
      <c r="AF1" s="25" t="s">
        <v>260</v>
      </c>
    </row>
    <row r="2" spans="1:32" x14ac:dyDescent="0.45">
      <c r="A2" s="25" t="s">
        <v>239</v>
      </c>
      <c r="B2" s="25" t="s">
        <v>130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45">
      <c r="A3" s="25" t="s">
        <v>239</v>
      </c>
      <c r="B3" s="25" t="s">
        <v>130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45">
      <c r="A4" s="25" t="s">
        <v>239</v>
      </c>
      <c r="B4" s="25" t="s">
        <v>130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45">
      <c r="A5" s="25" t="s">
        <v>231</v>
      </c>
      <c r="B5" s="25" t="s">
        <v>148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45">
      <c r="A6" s="25" t="s">
        <v>231</v>
      </c>
      <c r="B6" s="25" t="s">
        <v>148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45">
      <c r="A7" s="25" t="s">
        <v>231</v>
      </c>
      <c r="B7" s="25" t="s">
        <v>148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45">
      <c r="A8" s="25" t="s">
        <v>238</v>
      </c>
      <c r="B8" s="25" t="s">
        <v>130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45">
      <c r="A9" s="25" t="s">
        <v>238</v>
      </c>
      <c r="B9" s="25" t="s">
        <v>130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45">
      <c r="A10" s="25" t="s">
        <v>238</v>
      </c>
      <c r="B10" s="25" t="s">
        <v>130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45">
      <c r="A11" s="25" t="s">
        <v>237</v>
      </c>
      <c r="B11" s="25" t="s">
        <v>148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45">
      <c r="A12" s="25" t="s">
        <v>237</v>
      </c>
      <c r="B12" s="25" t="s">
        <v>148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45">
      <c r="A13" s="25" t="s">
        <v>237</v>
      </c>
      <c r="B13" s="25" t="s">
        <v>148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45">
      <c r="A14" s="25" t="s">
        <v>220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270</v>
      </c>
      <c r="Y14" s="106" t="s">
        <v>269</v>
      </c>
      <c r="Z14" s="106" t="s">
        <v>272</v>
      </c>
      <c r="AA14" s="106"/>
      <c r="AB14" s="106"/>
      <c r="AC14" s="106"/>
      <c r="AD14" s="106"/>
      <c r="AE14" s="106" t="s">
        <v>273</v>
      </c>
      <c r="AF14" s="106" t="s">
        <v>273</v>
      </c>
    </row>
    <row r="15" spans="1:32" x14ac:dyDescent="0.45">
      <c r="A15" s="25" t="s">
        <v>220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268</v>
      </c>
      <c r="V15" s="106"/>
      <c r="W15" s="106"/>
      <c r="X15" s="106" t="s">
        <v>270</v>
      </c>
      <c r="Y15" s="106" t="s">
        <v>269</v>
      </c>
      <c r="Z15" s="106" t="s">
        <v>272</v>
      </c>
      <c r="AA15" s="106"/>
      <c r="AB15" s="106"/>
      <c r="AC15" s="106"/>
      <c r="AD15" s="106"/>
      <c r="AE15" s="106" t="s">
        <v>273</v>
      </c>
      <c r="AF15" s="106" t="s">
        <v>273</v>
      </c>
    </row>
    <row r="16" spans="1:32" x14ac:dyDescent="0.45">
      <c r="A16" s="25" t="s">
        <v>220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268</v>
      </c>
      <c r="V16" s="106"/>
      <c r="W16" s="106"/>
      <c r="X16" s="106" t="s">
        <v>270</v>
      </c>
      <c r="Y16" s="106" t="s">
        <v>269</v>
      </c>
      <c r="Z16" s="106" t="s">
        <v>272</v>
      </c>
      <c r="AA16" s="106"/>
      <c r="AB16" s="106"/>
      <c r="AC16" s="106"/>
      <c r="AD16" s="106"/>
      <c r="AE16" s="106" t="s">
        <v>273</v>
      </c>
      <c r="AF16" s="106" t="s">
        <v>273</v>
      </c>
    </row>
    <row r="17" spans="1:32" x14ac:dyDescent="0.45">
      <c r="A17" s="25" t="s">
        <v>218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270</v>
      </c>
      <c r="Y17" s="106" t="s">
        <v>269</v>
      </c>
      <c r="Z17" s="106" t="s">
        <v>272</v>
      </c>
      <c r="AA17" s="106"/>
      <c r="AB17" s="106"/>
      <c r="AC17" s="106"/>
      <c r="AD17" s="106"/>
      <c r="AE17" s="106" t="s">
        <v>273</v>
      </c>
      <c r="AF17" s="106" t="s">
        <v>273</v>
      </c>
    </row>
    <row r="18" spans="1:32" x14ac:dyDescent="0.45">
      <c r="A18" s="25" t="s">
        <v>218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268</v>
      </c>
      <c r="V18" s="106"/>
      <c r="W18" s="106"/>
      <c r="X18" s="106" t="s">
        <v>270</v>
      </c>
      <c r="Y18" s="106" t="s">
        <v>269</v>
      </c>
      <c r="Z18" s="106" t="s">
        <v>272</v>
      </c>
      <c r="AA18" s="106"/>
      <c r="AB18" s="106"/>
      <c r="AC18" s="106"/>
      <c r="AD18" s="106"/>
      <c r="AE18" s="106" t="s">
        <v>273</v>
      </c>
      <c r="AF18" s="106" t="s">
        <v>273</v>
      </c>
    </row>
    <row r="19" spans="1:32" x14ac:dyDescent="0.45">
      <c r="A19" s="25" t="s">
        <v>218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268</v>
      </c>
      <c r="V19" s="106"/>
      <c r="W19" s="106"/>
      <c r="X19" s="106" t="s">
        <v>270</v>
      </c>
      <c r="Y19" s="106" t="s">
        <v>269</v>
      </c>
      <c r="Z19" s="106" t="s">
        <v>272</v>
      </c>
      <c r="AA19" s="106"/>
      <c r="AB19" s="106"/>
      <c r="AC19" s="106"/>
      <c r="AD19" s="106"/>
      <c r="AE19" s="106" t="s">
        <v>273</v>
      </c>
      <c r="AF19" s="106" t="s">
        <v>273</v>
      </c>
    </row>
    <row r="20" spans="1:32" x14ac:dyDescent="0.45">
      <c r="A20" s="25" t="s">
        <v>241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270</v>
      </c>
      <c r="Y20" s="106" t="s">
        <v>269</v>
      </c>
      <c r="Z20" s="106"/>
      <c r="AA20" s="106" t="s">
        <v>271</v>
      </c>
      <c r="AB20" s="106" t="s">
        <v>268</v>
      </c>
      <c r="AC20" s="106"/>
      <c r="AD20" s="106" t="s">
        <v>265</v>
      </c>
      <c r="AE20" s="106"/>
      <c r="AF20" s="106"/>
    </row>
    <row r="21" spans="1:32" x14ac:dyDescent="0.45">
      <c r="A21" s="25" t="s">
        <v>241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270</v>
      </c>
      <c r="Y21" s="106" t="s">
        <v>269</v>
      </c>
      <c r="Z21" s="106"/>
      <c r="AA21" s="106" t="s">
        <v>271</v>
      </c>
      <c r="AB21" s="106" t="s">
        <v>268</v>
      </c>
      <c r="AC21" s="106"/>
      <c r="AD21" s="106" t="s">
        <v>265</v>
      </c>
      <c r="AE21" s="106"/>
      <c r="AF21" s="106"/>
    </row>
    <row r="22" spans="1:32" x14ac:dyDescent="0.45">
      <c r="A22" s="25" t="s">
        <v>241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268</v>
      </c>
      <c r="V22" s="106"/>
      <c r="W22" s="106"/>
      <c r="X22" s="106" t="s">
        <v>268</v>
      </c>
      <c r="Y22" s="106" t="s">
        <v>267</v>
      </c>
      <c r="Z22" s="106"/>
      <c r="AA22" s="106" t="s">
        <v>271</v>
      </c>
      <c r="AB22" s="106" t="s">
        <v>272</v>
      </c>
      <c r="AC22" s="106"/>
      <c r="AD22" s="106"/>
      <c r="AE22" s="106" t="s">
        <v>272</v>
      </c>
      <c r="AF22" s="106" t="s">
        <v>272</v>
      </c>
    </row>
    <row r="23" spans="1:32" x14ac:dyDescent="0.45">
      <c r="A23" s="25" t="s">
        <v>241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268</v>
      </c>
      <c r="V23" s="106"/>
      <c r="W23" s="106"/>
      <c r="X23" s="106" t="s">
        <v>268</v>
      </c>
      <c r="Y23" s="106" t="s">
        <v>267</v>
      </c>
      <c r="Z23" s="106"/>
      <c r="AA23" s="106" t="s">
        <v>271</v>
      </c>
      <c r="AB23" s="106" t="s">
        <v>272</v>
      </c>
      <c r="AC23" s="106"/>
      <c r="AD23" s="106"/>
      <c r="AE23" s="106" t="s">
        <v>272</v>
      </c>
      <c r="AF23" s="106" t="s">
        <v>272</v>
      </c>
    </row>
    <row r="24" spans="1:32" x14ac:dyDescent="0.45">
      <c r="A24" s="25" t="s">
        <v>241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268</v>
      </c>
      <c r="Y24" s="106" t="s">
        <v>267</v>
      </c>
      <c r="Z24" s="106"/>
      <c r="AA24" s="106" t="s">
        <v>271</v>
      </c>
      <c r="AB24" s="106" t="s">
        <v>272</v>
      </c>
      <c r="AC24" s="106"/>
      <c r="AD24" s="106"/>
      <c r="AE24" s="106" t="s">
        <v>272</v>
      </c>
      <c r="AF24" s="106" t="s">
        <v>272</v>
      </c>
    </row>
    <row r="25" spans="1:32" x14ac:dyDescent="0.45">
      <c r="A25" s="25" t="s">
        <v>242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270</v>
      </c>
      <c r="Y25" s="106" t="s">
        <v>269</v>
      </c>
      <c r="Z25" s="106"/>
      <c r="AA25" s="106" t="s">
        <v>271</v>
      </c>
      <c r="AB25" s="106" t="s">
        <v>268</v>
      </c>
      <c r="AC25" s="106"/>
      <c r="AD25" s="106" t="s">
        <v>265</v>
      </c>
      <c r="AE25" s="106"/>
      <c r="AF25" s="106"/>
    </row>
    <row r="26" spans="1:32" x14ac:dyDescent="0.45">
      <c r="A26" s="25" t="s">
        <v>242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270</v>
      </c>
      <c r="Y26" s="106" t="s">
        <v>269</v>
      </c>
      <c r="Z26" s="106"/>
      <c r="AA26" s="106" t="s">
        <v>271</v>
      </c>
      <c r="AB26" s="106" t="s">
        <v>268</v>
      </c>
      <c r="AC26" s="106"/>
      <c r="AD26" s="106" t="s">
        <v>265</v>
      </c>
      <c r="AE26" s="106"/>
      <c r="AF26" s="106"/>
    </row>
    <row r="27" spans="1:32" x14ac:dyDescent="0.45">
      <c r="A27" s="25" t="s">
        <v>242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268</v>
      </c>
      <c r="V27" s="106"/>
      <c r="W27" s="106"/>
      <c r="X27" s="106" t="s">
        <v>268</v>
      </c>
      <c r="Y27" s="106" t="s">
        <v>267</v>
      </c>
      <c r="Z27" s="106"/>
      <c r="AA27" s="106" t="s">
        <v>271</v>
      </c>
      <c r="AB27" s="106" t="s">
        <v>272</v>
      </c>
      <c r="AC27" s="106"/>
      <c r="AD27" s="106"/>
      <c r="AE27" s="106" t="s">
        <v>272</v>
      </c>
      <c r="AF27" s="106" t="s">
        <v>272</v>
      </c>
    </row>
    <row r="28" spans="1:32" x14ac:dyDescent="0.45">
      <c r="A28" s="25" t="s">
        <v>242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268</v>
      </c>
      <c r="V28" s="106"/>
      <c r="W28" s="106"/>
      <c r="X28" s="106" t="s">
        <v>268</v>
      </c>
      <c r="Y28" s="106" t="s">
        <v>267</v>
      </c>
      <c r="Z28" s="106"/>
      <c r="AA28" s="106" t="s">
        <v>271</v>
      </c>
      <c r="AB28" s="106" t="s">
        <v>272</v>
      </c>
      <c r="AC28" s="106"/>
      <c r="AD28" s="106"/>
      <c r="AE28" s="106" t="s">
        <v>272</v>
      </c>
      <c r="AF28" s="106" t="s">
        <v>272</v>
      </c>
    </row>
    <row r="29" spans="1:32" x14ac:dyDescent="0.45">
      <c r="A29" s="25" t="s">
        <v>242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268</v>
      </c>
      <c r="Y29" s="106" t="s">
        <v>267</v>
      </c>
      <c r="Z29" s="106"/>
      <c r="AA29" s="106" t="s">
        <v>271</v>
      </c>
      <c r="AB29" s="106" t="s">
        <v>272</v>
      </c>
      <c r="AC29" s="106"/>
      <c r="AD29" s="106"/>
      <c r="AE29" s="106" t="s">
        <v>272</v>
      </c>
      <c r="AF29" s="106" t="s">
        <v>272</v>
      </c>
    </row>
    <row r="30" spans="1:32" x14ac:dyDescent="0.45">
      <c r="A30" s="25" t="s">
        <v>243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268</v>
      </c>
      <c r="Y30" s="106" t="s">
        <v>267</v>
      </c>
      <c r="Z30" s="106"/>
      <c r="AA30" s="106" t="s">
        <v>267</v>
      </c>
      <c r="AB30" s="106"/>
      <c r="AC30" s="106" t="s">
        <v>265</v>
      </c>
      <c r="AD30" s="106" t="s">
        <v>266</v>
      </c>
      <c r="AE30" s="106"/>
      <c r="AF30" s="106"/>
    </row>
    <row r="31" spans="1:32" x14ac:dyDescent="0.45">
      <c r="A31" s="25" t="s">
        <v>243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268</v>
      </c>
      <c r="Y31" s="106" t="s">
        <v>267</v>
      </c>
      <c r="Z31" s="106"/>
      <c r="AA31" s="106" t="s">
        <v>267</v>
      </c>
      <c r="AB31" s="106"/>
      <c r="AC31" s="106" t="s">
        <v>265</v>
      </c>
      <c r="AD31" s="106" t="s">
        <v>266</v>
      </c>
      <c r="AE31" s="106"/>
      <c r="AF31" s="106"/>
    </row>
    <row r="32" spans="1:32" x14ac:dyDescent="0.45">
      <c r="A32" s="25" t="s">
        <v>243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268</v>
      </c>
      <c r="Y32" s="106" t="s">
        <v>267</v>
      </c>
      <c r="Z32" s="106"/>
      <c r="AA32" s="106" t="s">
        <v>267</v>
      </c>
      <c r="AB32" s="106"/>
      <c r="AC32" s="106" t="s">
        <v>265</v>
      </c>
      <c r="AD32" s="106" t="s">
        <v>266</v>
      </c>
      <c r="AE32" s="106"/>
      <c r="AF32" s="106"/>
    </row>
    <row r="33" spans="1:32" x14ac:dyDescent="0.45">
      <c r="A33" s="25" t="s">
        <v>243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268</v>
      </c>
      <c r="Y33" s="106" t="s">
        <v>267</v>
      </c>
      <c r="Z33" s="106"/>
      <c r="AA33" s="106" t="s">
        <v>267</v>
      </c>
      <c r="AB33" s="106"/>
      <c r="AC33" s="106" t="s">
        <v>265</v>
      </c>
      <c r="AD33" s="106" t="s">
        <v>266</v>
      </c>
      <c r="AE33" s="106"/>
      <c r="AF33" s="106"/>
    </row>
    <row r="34" spans="1:32" x14ac:dyDescent="0.45">
      <c r="A34" s="25" t="s">
        <v>244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268</v>
      </c>
      <c r="Y34" s="106" t="s">
        <v>267</v>
      </c>
      <c r="Z34" s="106"/>
      <c r="AA34" s="106" t="s">
        <v>267</v>
      </c>
      <c r="AB34" s="106"/>
      <c r="AC34" s="106" t="s">
        <v>265</v>
      </c>
      <c r="AD34" s="106" t="s">
        <v>266</v>
      </c>
      <c r="AE34" s="106"/>
      <c r="AF34" s="106"/>
    </row>
    <row r="35" spans="1:32" x14ac:dyDescent="0.45">
      <c r="A35" s="25" t="s">
        <v>244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268</v>
      </c>
      <c r="Y35" s="106" t="s">
        <v>267</v>
      </c>
      <c r="Z35" s="106"/>
      <c r="AA35" s="106" t="s">
        <v>267</v>
      </c>
      <c r="AB35" s="106"/>
      <c r="AC35" s="106" t="s">
        <v>265</v>
      </c>
      <c r="AD35" s="106" t="s">
        <v>266</v>
      </c>
      <c r="AE35" s="106"/>
      <c r="AF35" s="106"/>
    </row>
    <row r="36" spans="1:32" x14ac:dyDescent="0.45">
      <c r="A36" s="25" t="s">
        <v>244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268</v>
      </c>
      <c r="Y36" s="106" t="s">
        <v>267</v>
      </c>
      <c r="Z36" s="106"/>
      <c r="AA36" s="106" t="s">
        <v>267</v>
      </c>
      <c r="AB36" s="106"/>
      <c r="AC36" s="106" t="s">
        <v>265</v>
      </c>
      <c r="AD36" s="106" t="s">
        <v>266</v>
      </c>
      <c r="AE36" s="106"/>
      <c r="AF36" s="106"/>
    </row>
    <row r="37" spans="1:32" x14ac:dyDescent="0.45">
      <c r="A37" s="25" t="s">
        <v>244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268</v>
      </c>
      <c r="Y37" s="106" t="s">
        <v>267</v>
      </c>
      <c r="Z37" s="106"/>
      <c r="AA37" s="106" t="s">
        <v>267</v>
      </c>
      <c r="AB37" s="106"/>
      <c r="AC37" s="106" t="s">
        <v>265</v>
      </c>
      <c r="AD37" s="106" t="s">
        <v>266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26">
        <v>2025</v>
      </c>
      <c r="B1" s="45" t="str">
        <f ca="1">CONCATENATE("in: ",YEAR(TODAY())-1," für: ", YEAR(TODAY()))</f>
        <v>in: 2025 für: 2026</v>
      </c>
      <c r="C1" s="107" t="s">
        <v>218</v>
      </c>
      <c r="D1" s="107"/>
      <c r="E1" s="108"/>
      <c r="F1" s="111" t="s">
        <v>219</v>
      </c>
      <c r="G1" s="112"/>
      <c r="H1" s="112"/>
      <c r="I1" s="112"/>
      <c r="J1" s="113"/>
      <c r="K1" s="117" t="s">
        <v>223</v>
      </c>
      <c r="L1" s="118"/>
      <c r="M1" s="118"/>
      <c r="N1" s="119"/>
      <c r="O1" s="109" t="s">
        <v>220</v>
      </c>
      <c r="P1" s="109"/>
      <c r="Q1" s="110"/>
      <c r="R1" s="123" t="s">
        <v>221</v>
      </c>
      <c r="S1" s="124"/>
      <c r="T1" s="124"/>
      <c r="U1" s="124"/>
      <c r="V1" s="125"/>
      <c r="W1" s="120" t="s">
        <v>224</v>
      </c>
      <c r="X1" s="121"/>
      <c r="Y1" s="121"/>
      <c r="Z1" s="122"/>
      <c r="AA1"/>
      <c r="AB1" s="45" t="str">
        <f ca="1">CONCATENATE("in: ",YEAR(TODAY())-1," für: ", YEAR(TODAY()))</f>
        <v>in: 2025 für: 2026</v>
      </c>
      <c r="AC1" s="127" t="s">
        <v>225</v>
      </c>
      <c r="AD1" s="127"/>
      <c r="AE1" s="128"/>
      <c r="AF1" s="129" t="s">
        <v>226</v>
      </c>
      <c r="AG1" s="130"/>
      <c r="AH1" s="130"/>
      <c r="AI1" s="130"/>
      <c r="AJ1" s="131"/>
      <c r="AK1" s="132" t="s">
        <v>227</v>
      </c>
      <c r="AL1" s="133"/>
      <c r="AM1" s="133"/>
      <c r="AN1" s="134"/>
      <c r="AO1" s="135" t="s">
        <v>228</v>
      </c>
      <c r="AP1" s="136"/>
      <c r="AQ1" s="137"/>
      <c r="AR1" s="138" t="s">
        <v>229</v>
      </c>
      <c r="AS1" s="139"/>
      <c r="AT1" s="139"/>
      <c r="AU1" s="139"/>
      <c r="AV1" s="140"/>
      <c r="AW1" s="114" t="s">
        <v>230</v>
      </c>
      <c r="AX1" s="115"/>
      <c r="AY1" s="115"/>
      <c r="AZ1" s="116"/>
      <c r="BB1" s="45" t="str">
        <f ca="1">CONCATENATE("in: ",YEAR(TODAY())-1," für: ", YEAR(TODAY()))</f>
        <v>in: 2025 für: 2026</v>
      </c>
      <c r="BC1" s="107" t="s">
        <v>231</v>
      </c>
      <c r="BD1" s="107"/>
      <c r="BE1" s="108"/>
      <c r="BF1" s="111" t="s">
        <v>232</v>
      </c>
      <c r="BG1" s="112"/>
      <c r="BH1" s="112"/>
      <c r="BI1" s="112"/>
      <c r="BJ1" s="113"/>
      <c r="BK1" s="117" t="s">
        <v>233</v>
      </c>
      <c r="BL1" s="118"/>
      <c r="BM1" s="118"/>
      <c r="BN1" s="119"/>
      <c r="BO1" s="109" t="s">
        <v>239</v>
      </c>
      <c r="BP1" s="109"/>
      <c r="BQ1" s="110"/>
      <c r="BR1" s="123" t="s">
        <v>240</v>
      </c>
      <c r="BS1" s="124"/>
      <c r="BT1" s="124"/>
      <c r="BU1" s="124"/>
      <c r="BV1" s="125"/>
      <c r="BW1" s="120" t="s">
        <v>234</v>
      </c>
      <c r="BX1" s="121"/>
      <c r="BY1" s="121"/>
      <c r="BZ1" s="122"/>
    </row>
    <row r="2" spans="1:78" s="94" customFormat="1" ht="21.4" thickBot="1" x14ac:dyDescent="0.55000000000000004">
      <c r="A2" s="126"/>
      <c r="B2" s="46" t="s">
        <v>222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222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222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26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26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26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26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26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26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26">
        <v>2026</v>
      </c>
      <c r="B10" s="45" t="str">
        <f ca="1">CONCATENATE("in: ",YEAR(TODAY())," für: ", YEAR(TODAY())+1)</f>
        <v>in: 2026 für: 2027</v>
      </c>
      <c r="C10" s="107" t="s">
        <v>218</v>
      </c>
      <c r="D10" s="107"/>
      <c r="E10" s="108"/>
      <c r="F10" s="111" t="s">
        <v>219</v>
      </c>
      <c r="G10" s="112"/>
      <c r="H10" s="112"/>
      <c r="I10" s="112"/>
      <c r="J10" s="113"/>
      <c r="K10" s="117" t="s">
        <v>223</v>
      </c>
      <c r="L10" s="118"/>
      <c r="M10" s="118"/>
      <c r="N10" s="119"/>
      <c r="O10" s="109" t="s">
        <v>220</v>
      </c>
      <c r="P10" s="109"/>
      <c r="Q10" s="110"/>
      <c r="R10" s="123" t="s">
        <v>221</v>
      </c>
      <c r="S10" s="124"/>
      <c r="T10" s="124"/>
      <c r="U10" s="124"/>
      <c r="V10" s="125"/>
      <c r="W10" s="120" t="s">
        <v>224</v>
      </c>
      <c r="X10" s="121"/>
      <c r="Y10" s="121"/>
      <c r="Z10" s="122"/>
      <c r="AB10" s="45" t="str">
        <f ca="1">CONCATENATE("in: ",YEAR(TODAY())," für: ", YEAR(TODAY())+1)</f>
        <v>in: 2026 für: 2027</v>
      </c>
      <c r="AC10" s="127" t="s">
        <v>225</v>
      </c>
      <c r="AD10" s="127"/>
      <c r="AE10" s="128"/>
      <c r="AF10" s="129" t="s">
        <v>226</v>
      </c>
      <c r="AG10" s="130"/>
      <c r="AH10" s="130"/>
      <c r="AI10" s="130"/>
      <c r="AJ10" s="131"/>
      <c r="AK10" s="132" t="s">
        <v>227</v>
      </c>
      <c r="AL10" s="133"/>
      <c r="AM10" s="133"/>
      <c r="AN10" s="134"/>
      <c r="AO10" s="135" t="s">
        <v>228</v>
      </c>
      <c r="AP10" s="136"/>
      <c r="AQ10" s="137"/>
      <c r="AR10" s="138" t="s">
        <v>229</v>
      </c>
      <c r="AS10" s="139"/>
      <c r="AT10" s="139"/>
      <c r="AU10" s="139"/>
      <c r="AV10" s="140"/>
      <c r="AW10" s="114" t="s">
        <v>230</v>
      </c>
      <c r="AX10" s="115"/>
      <c r="AY10" s="115"/>
      <c r="AZ10" s="116"/>
      <c r="BB10" s="45" t="str">
        <f ca="1">CONCATENATE("in: ",YEAR(TODAY())," für: ", YEAR(TODAY())+1)</f>
        <v>in: 2026 für: 2027</v>
      </c>
      <c r="BC10" s="107" t="s">
        <v>231</v>
      </c>
      <c r="BD10" s="107"/>
      <c r="BE10" s="108"/>
      <c r="BF10" s="111" t="s">
        <v>232</v>
      </c>
      <c r="BG10" s="112"/>
      <c r="BH10" s="112"/>
      <c r="BI10" s="112"/>
      <c r="BJ10" s="113"/>
      <c r="BK10" s="117" t="s">
        <v>233</v>
      </c>
      <c r="BL10" s="118"/>
      <c r="BM10" s="118"/>
      <c r="BN10" s="119"/>
      <c r="BO10" s="109" t="s">
        <v>239</v>
      </c>
      <c r="BP10" s="109"/>
      <c r="BQ10" s="110"/>
      <c r="BR10" s="123" t="s">
        <v>240</v>
      </c>
      <c r="BS10" s="124"/>
      <c r="BT10" s="124"/>
      <c r="BU10" s="124"/>
      <c r="BV10" s="125"/>
      <c r="BW10" s="120" t="s">
        <v>234</v>
      </c>
      <c r="BX10" s="121"/>
      <c r="BY10" s="121"/>
      <c r="BZ10" s="122"/>
    </row>
    <row r="11" spans="1:78" ht="21.4" thickBot="1" x14ac:dyDescent="0.5">
      <c r="A11" s="126"/>
      <c r="B11" s="46" t="s">
        <v>222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222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222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26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26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26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26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26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26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5" sqref="F15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199</v>
      </c>
      <c r="G1" t="s">
        <v>195</v>
      </c>
      <c r="H1" t="s">
        <v>194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196</v>
      </c>
      <c r="F2" s="38" t="s">
        <v>200</v>
      </c>
      <c r="G2" t="s">
        <v>197</v>
      </c>
      <c r="H2" t="s">
        <v>198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201</v>
      </c>
      <c r="F3" s="38" t="s">
        <v>202</v>
      </c>
      <c r="G3" t="s">
        <v>197</v>
      </c>
      <c r="H3" t="s">
        <v>235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201</v>
      </c>
      <c r="F4" s="38" t="s">
        <v>203</v>
      </c>
      <c r="G4" t="s">
        <v>204</v>
      </c>
      <c r="H4" t="s">
        <v>235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196</v>
      </c>
      <c r="F5" s="38" t="s">
        <v>205</v>
      </c>
      <c r="G5" t="s">
        <v>197</v>
      </c>
      <c r="H5" t="s">
        <v>198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206</v>
      </c>
      <c r="F6" s="38" t="s">
        <v>207</v>
      </c>
      <c r="G6" t="s">
        <v>208</v>
      </c>
      <c r="H6" t="s">
        <v>235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209</v>
      </c>
      <c r="F7" s="38" t="s">
        <v>236</v>
      </c>
      <c r="G7" t="s">
        <v>210</v>
      </c>
      <c r="H7" t="s">
        <v>211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212</v>
      </c>
      <c r="F8" s="38" t="s">
        <v>213</v>
      </c>
      <c r="G8" t="s">
        <v>214</v>
      </c>
      <c r="H8" t="s">
        <v>215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2026-03-28T02:20:14Z</dcterms:modified>
</cp:coreProperties>
</file>