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E1ED1D1F-974A-41E3-AD49-97CE790DA6F9}" xr6:coauthVersionLast="47" xr6:coauthVersionMax="47" xr10:uidLastSave="{00000000-0000-0000-0000-000000000000}"/>
  <bookViews>
    <workbookView xWindow="-98" yWindow="-98" windowWidth="21795" windowHeight="12975" tabRatio="687" activeTab="4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Natio" sheetId="17" r:id="rId6"/>
    <sheet name="DEM" sheetId="12" r:id="rId7"/>
    <sheet name="JRP" sheetId="13" r:id="rId8"/>
    <sheet name="LK" sheetId="16" r:id="rId9"/>
    <sheet name="NK-LK Transf." sheetId="14" r:id="rId10"/>
    <sheet name="LK Kalender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<sst xmlns="http://schemas.openxmlformats.org/spreadsheetml/2006/main" count="911" uniqueCount="282">
  <si>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</si>
  <si>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</si>
  <si>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</si>
  <si>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</si>
  <si>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</si>
  <si>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</si>
  <si>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</si>
  <si>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</si>
  <si>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</si>
  <si>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</si>
  <si>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</si>
  <si>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</si>
  <si>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</si>
  <si>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</si>
  <si>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</si>
  <si>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</si>
  <si>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</si>
  <si>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</si>
  <si>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</si>
  <si>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</si>
  <si>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</si>
  <si>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</si>
  <si>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</si>
  <si>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</si>
  <si>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</si>
  <si>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</si>
  <si>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</si>
  <si>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</si>
  <si>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</si>
  <si>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</si>
  <si>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</si>
  <si>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</si>
  <si>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</si>
  <si>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</si>
  <si>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</si>
  <si>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</si>
  <si>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</si>
  <si>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</si>
  <si>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</si>
  <si>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</si>
  <si>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</si>
  <si>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</si>
  <si>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</si>
  <si>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</si>
  <si>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</si>
  <si>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</si>
  <si>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</si>
  <si>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</si>
  <si>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</si>
  <si>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</si>
  <si>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</si>
  <si>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</si>
  <si>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</si>
  <si>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</si>
  <si>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</si>
  <si>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</si>
  <si>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</si>
  <si>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</si>
  <si>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</si>
  <si>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</si>
  <si>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</si>
  <si>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</si>
  <si>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</si>
  <si>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</si>
  <si>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</si>
  <si>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</si>
  <si>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</si>
  <si>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</si>
  <si>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</si>
  <si>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</si>
  <si>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</si>
  <si>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</si>
  <si>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</si>
  <si>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</si>
  <si>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</si>
  <si>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</si>
  <si>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</si>
  <si>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</si>
  <si>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</si>
  <si>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</si>
  <si>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</si>
  <si>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</si>
  <si>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</si>
  <si>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</si>
  <si>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</si>
  <si>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</si>
  <si>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</si>
  <si>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</si>
  <si>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</si>
  <si>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</si>
  <si>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</si>
  <si>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</si>
  <si>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</si>
  <si>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</si>
  <si>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</si>
  <si>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</si>
  <si>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</si>
  <si>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</si>
  <si>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</si>
  <si>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</si>
  <si>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</si>
  <si>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</si>
  <si>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</si>
  <si>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</si>
  <si>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</si>
  <si>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</si>
  <si>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</si>
  <si>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</si>
  <si>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</si>
  <si>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</si>
  <si>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</si>
  <si>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</si>
  <si>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</si>
  <si>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</si>
  <si>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</si>
  <si>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</si>
  <si>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</si>
  <si>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</si>
  <si>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</si>
  <si>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</si>
  <si>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</si>
  <si>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</si>
  <si>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</si>
  <si>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</si>
  <si>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</si>
  <si>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</si>
  <si>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</si>
  <si>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</si>
  <si>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</si>
  <si>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</si>
  <si>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</si>
  <si>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</si>
  <si>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</si>
  <si>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</si>
  <si>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</si>
  <si>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</si>
  <si>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</si>
  <si>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</si>
  <si>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</si>
  <si>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</si>
  <si>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</si>
  <si>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</si>
  <si>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</si>
  <si>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</si>
  <si>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</si>
  <si>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</si>
  <si>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</si>
  <si>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</si>
  <si>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</si>
  <si>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</si>
  <si>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</si>
  <si>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</si>
  <si>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</si>
  <si>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</si>
  <si>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</si>
  <si>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</si>
  <si>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</si>
  <si>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</si>
  <si>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</si>
  <si>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</si>
  <si>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</si>
  <si>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</si>
  <si>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</si>
  <si>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</si>
  <si>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</si>
  <si>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</si>
  <si>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</si>
  <si>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</si>
  <si>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</si>
  <si>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</si>
  <si>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</si>
  <si>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</si>
  <si>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</si>
  <si>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</si>
  <si>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</si>
  <si>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</si>
  <si>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</si>
  <si>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</si>
  <si>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</si>
  <si>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</si>
  <si>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</si>
  <si>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</si>
  <si>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</si>
  <si>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</si>
  <si>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</si>
  <si>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</si>
  <si>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</si>
  <si>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</si>
  <si>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</si>
  <si>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</si>
  <si>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</si>
  <si>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</si>
  <si>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</si>
  <si>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</si>
  <si>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</si>
  <si>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</si>
  <si>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meta</t>
  </si>
  <si>
    <t>50m Bahn, Treffpunkt 9:15 im Foyer</t>
  </si>
  <si>
    <t>Kadertraining LK2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</si>
  <si>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</si>
  <si>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</si>
  <si>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</si>
  <si>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</si>
  <si>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</si>
  <si>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</si>
  <si>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</si>
  <si>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</si>
  <si>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</si>
  <si>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</si>
  <si>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</si>
  <si>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</si>
  <si>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</si>
  <si>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</si>
  <si>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</si>
  <si>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</si>
  <si>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</si>
  <si>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</si>
  <si>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</si>
  <si>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</si>
  <si>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</si>
  <si>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</si>
  <si>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</si>
  <si>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</si>
  <si>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</si>
  <si>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</si>
  <si>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</si>
  <si>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</si>
  <si>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</si>
  <si>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</si>
  <si>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</si>
  <si>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</si>
  <si>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</si>
  <si>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</si>
  <si>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</si>
  <si>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</si>
  <si>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</si>
  <si>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</si>
  <si>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</si>
  <si>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</si>
  <si>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</si>
  <si>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</si>
  <si>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</si>
  <si>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</si>
  <si>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</si>
  <si>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</si>
  <si>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</si>
  <si>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</si>
  <si>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</si>
  <si>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</si>
  <si>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</si>
  <si>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</si>
  <si>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</si>
  <si>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</si>
  <si>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</si>
  <si>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</si>
  <si>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</si>
  <si>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</si>
  <si>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</si>
  <si>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</si>
  <si>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</si>
  <si>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</si>
  <si>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</si>
  <si>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</si>
  <si>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</si>
  <si>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</si>
  <si>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</si>
  <si>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</si>
  <si>
    <t>Richtzeiten Männlich</t>
  </si>
  <si>
    <t>Richtzeiten Weiblich</t>
  </si>
  <si>
    <t>Weiblich - Junioren Weltmeisterschaft 2026</t>
  </si>
  <si>
    <t>Männlich - Weltmeisterschaft 2026</t>
  </si>
  <si>
    <t>Weiblich - Weltmeisterschaft 2026</t>
  </si>
  <si>
    <t>Männlich - Junioren Weltmeisterschaft 2026</t>
  </si>
  <si>
    <t>20.7.Jahr</t>
  </si>
  <si>
    <t>Kevin LASSERRE</t>
  </si>
  <si>
    <t>Championnat de France - 2026</t>
  </si>
  <si>
    <t>LK2 / bzw. Junioren</t>
  </si>
  <si>
    <t>LK1 / bzw. AK Offen</t>
  </si>
  <si>
    <t>LK3 / bzw. U15</t>
  </si>
  <si>
    <t>50m Bahn, Treffpunkt 12:15 im Foyer, Beach-Flags, Anti Doping, Puppenaufnahme</t>
  </si>
  <si>
    <t>50m Bahn, Vorbereitung Bodensee Pokal, (weitere Infromationen folgen)</t>
  </si>
  <si>
    <t>50m Bahn, (weitere Infromationen folgen)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</si>
</sst>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1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59">
    <dxf>
      <alignment horizontal="center" vertical="bottom" textRotation="0" wrapText="0" indent="0" justifyLastLine="0" shrinkToFit="0" readingOrder="0"/>
    </dxf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53" headerRowBorderDxfId="252" tableBorderDxfId="251">
  <autoFilter ref="A4:AW31" xr:uid="{2C5E83EE-6B6F-478A-9C90-A846A1A76536}"/>
  <tableColumns count="49">
    <tableColumn id="1" xr3:uid="{7C0C4105-A61A-4B8D-9129-EDC4F18765AF}" name="WR-Open" dataDxfId="250">
      <calculatedColumnFormula>A4+1</calculatedColumnFormula>
    </tableColumn>
    <tableColumn id="2" xr3:uid="{516F5612-F85F-413F-9012-E235F415E34B}" name="50m Retten - offen - W" dataDxfId="249"/>
    <tableColumn id="3" xr3:uid="{BC9ACAC9-0D45-42FD-B596-D19FBE3A4D83}" name="100m Retten - offen - W" dataDxfId="248"/>
    <tableColumn id="4" xr3:uid="{CB6DBE59-EB65-43F0-93E7-0BDC3F82832B}" name="100m Kombi - offen - W" dataDxfId="247"/>
    <tableColumn id="5" xr3:uid="{AA603C60-6831-4C14-A8CD-0AA050DA7551}" name="100m Lifesaver - offen - W" dataDxfId="246"/>
    <tableColumn id="6" xr3:uid="{7920F147-7717-4582-940A-2610F7D310CA}" name="200m Superlifesaver - offen - W" dataDxfId="245"/>
    <tableColumn id="7" xr3:uid="{04E21F1D-AC8D-4A1B-9B43-59B8F7901673}" name="200m Hindernis - offen - W" dataDxfId="244"/>
    <tableColumn id="8" xr3:uid="{40E8A083-653A-48A8-9B37-0A2D850B7829}" name="50m Retten - offen - M" dataDxfId="243"/>
    <tableColumn id="9" xr3:uid="{863824A9-134F-4189-BB14-225AE224FC44}" name="100m Retten - offen - M" dataDxfId="24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41"/>
    <tableColumn id="14" xr3:uid="{FA907992-7FCE-4CAD-8CF2-F5BEBC9B3756}" name="50m Retten - 17/18 - W" dataDxfId="240"/>
    <tableColumn id="15" xr3:uid="{76B63DC0-CB67-48F4-9B5A-D22902F59334}" name="100m Retten - 17/18 - W" dataDxfId="239"/>
    <tableColumn id="16" xr3:uid="{614A2419-51B1-44C0-8469-ADBFB078B81A}" name="100m Kombi -17/18 - W" dataDxfId="238"/>
    <tableColumn id="17" xr3:uid="{2EC953EE-367D-4524-A25E-8DE3B8168E34}" name="100m Lifesaver - 17/18 - W" dataDxfId="237"/>
    <tableColumn id="18" xr3:uid="{25711867-9BD7-4197-9094-A21392411249}" name="200m Superlifesaver - 17/18 - W" dataDxfId="236"/>
    <tableColumn id="19" xr3:uid="{262DB142-CFB1-45C3-9332-7273CACD1B62}" name="200m Hindernis - 17/18 - W" dataDxfId="235"/>
    <tableColumn id="20" xr3:uid="{938BA45A-8244-4637-8A14-DF49CD91A945}" name="50m Retten - 17/18 - M" dataDxfId="234"/>
    <tableColumn id="21" xr3:uid="{737E28D8-900F-4A98-95FE-EE7B0AFDEE90}" name="100m Retten - 17/18 - M" dataDxfId="233"/>
    <tableColumn id="22" xr3:uid="{330BD3A8-061C-45E2-ADDB-40C2F346772F}" name="100m Kombi - 17/18 - M" dataDxfId="232"/>
    <tableColumn id="23" xr3:uid="{0CADDE90-A167-4E1D-8D33-8624E5E1A4E2}" name="100m Lifesaver - 17/18 - M" dataDxfId="231"/>
    <tableColumn id="24" xr3:uid="{FCF9F42C-1291-4985-9D37-B9DE2DAA5DCB}" name="200m Superlifesaver - 17/18 - M" dataDxfId="230"/>
    <tableColumn id="25" xr3:uid="{4E5397B2-F924-4F48-AE69-AF6D650AF88D}" name="200m Hindernis - 17/18 - M" dataDxfId="229"/>
    <tableColumn id="26" xr3:uid="{0A78315A-BFDC-43EE-A66F-48B301F66508}" name="50m Retten - 15/16 - W" dataDxfId="228"/>
    <tableColumn id="27" xr3:uid="{D3FCF8BD-6C76-450D-80C0-CC0519A79731}" name="100m Retten - 15/16 - W" dataDxfId="227"/>
    <tableColumn id="28" xr3:uid="{6BE7937E-D62D-47CD-95DE-1730304B0DF3}" name="100m Kombi - 15/16 - W" dataDxfId="226"/>
    <tableColumn id="29" xr3:uid="{098BA5BE-5AF6-4187-89B6-534498F24C51}" name="100m Lifesaver -  15/16 - W" dataDxfId="225"/>
    <tableColumn id="30" xr3:uid="{2A6822CF-143C-4BF7-A440-5777527BE512}" name="200m Superlifesaver -  15/16 - W" dataDxfId="224"/>
    <tableColumn id="31" xr3:uid="{541C7145-CDEA-4E4E-9E7A-A4F05BA6C3E5}" name="200m Hindernis -  15/16 - W" dataDxfId="223"/>
    <tableColumn id="32" xr3:uid="{342C4488-8C61-42E6-87A9-C75BD8EB7452}" name="50m Retten - 15/16 - M" dataDxfId="222"/>
    <tableColumn id="33" xr3:uid="{857B1D46-7D20-47F7-AB9B-732D50346E32}" name="100m Retten - 15/16 - M" dataDxfId="221"/>
    <tableColumn id="34" xr3:uid="{4C8A2EB4-804B-45F1-A768-9A6958957F8B}" name="100m Kombi -15/16 - M" dataDxfId="220"/>
    <tableColumn id="35" xr3:uid="{26C75B4F-21EC-4EB0-A9A9-54BC80140672}" name="100m Lifesaver - 15/16 - M" dataDxfId="219"/>
    <tableColumn id="36" xr3:uid="{DBBB2A23-1A06-429A-A5D1-A547EF5EC16F}" name="200m Superlifesaver - 15/16 - M" dataDxfId="218"/>
    <tableColumn id="37" xr3:uid="{84061231-CAE5-427A-87F5-6DDBA99F77D2}" name="200m Hindernis - 15/16 - M" dataDxfId="217"/>
    <tableColumn id="38" xr3:uid="{878CCA80-A742-4B3C-90C9-E93BB814201B}" name="50m Retten - 13/14 - W" dataDxfId="216"/>
    <tableColumn id="39" xr3:uid="{A1F57102-61CF-4784-8DE2-0B8F32D5D699}" name="50m Retten mit Flossen - 13/14 - W" dataDxfId="215"/>
    <tableColumn id="40" xr3:uid="{0F6BAF78-3D79-42A9-9FED-E6D0E335A920}" name="100m Hindernis - 13/14 - W" dataDxfId="214"/>
    <tableColumn id="41" xr3:uid="{EB748A68-E10D-4D76-B315-8FDB3AC33C8D}" name="50m Retten - 13/14 - M" dataDxfId="213"/>
    <tableColumn id="42" xr3:uid="{C7B04167-6430-40F0-9A0F-D0D0BE2F9C77}" name="50m Retten mit Flossen - 13/14 - M" dataDxfId="212"/>
    <tableColumn id="43" xr3:uid="{48704BB7-A853-445A-8CDC-8D8F86C2B66A}" name="100m Hindernis - 13/14 - M" dataDxfId="211"/>
    <tableColumn id="44" xr3:uid="{9605FE9A-F41C-4A5F-A59C-B7A9D45C460F}" name="50m Flossen - 12 - W" dataDxfId="210"/>
    <tableColumn id="45" xr3:uid="{4C9DBF61-35B1-4BC2-8272-526E0AFAAFFB}" name="50m komb. Schwimmen - 12 - W" dataDxfId="209"/>
    <tableColumn id="46" xr3:uid="{CF433C95-C272-48F9-98CD-7E3C8DBB6F2C}" name="50m Hindernis - 12 - W" dataDxfId="208"/>
    <tableColumn id="47" xr3:uid="{FADB7411-DB43-4B14-B9E8-D74CA1BA18B8}" name="50m Flossen - 12 - M" dataDxfId="207"/>
    <tableColumn id="48" xr3:uid="{02936F84-1D82-48AC-8D7C-6D2954D68A06}" name="50m komb. Schwimmen - 12 - M" dataDxfId="206"/>
    <tableColumn id="49" xr3:uid="{7FD9BD11-0597-4E07-8DA5-DB53384197F5}" name="50m Hindernis - 12 - M" dataDxfId="2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204" dataDxfId="202" headerRowBorderDxfId="203" tableBorderDxfId="201">
  <autoFilter ref="A4:M32" xr:uid="{4234D44E-A2BE-4790-B589-1A8CC19B714E}"/>
  <tableColumns count="13">
    <tableColumn id="1" xr3:uid="{848E691A-41B0-42DD-B122-FB6DF43CB3EF}" name="WR-Youth" dataDxfId="200"/>
    <tableColumn id="2" xr3:uid="{2FE43F18-485B-46A9-8946-FBC5FDAE5A8E}" name="50m Retten" dataDxfId="199"/>
    <tableColumn id="3" xr3:uid="{CA5C3ABF-02E6-442B-868B-95B293B231D3}" name="100m Retten" dataDxfId="198"/>
    <tableColumn id="4" xr3:uid="{7A6BBA52-2145-464D-8C04-B2CCFC1A90DC}" name="100m Kombi" dataDxfId="197"/>
    <tableColumn id="5" xr3:uid="{21F420C9-E788-49EE-88F6-E37963ED31CF}" name="100m Lifesaver" dataDxfId="196"/>
    <tableColumn id="6" xr3:uid="{CB87B7CD-8A9C-4775-A4D7-4D267F43FD1A}" name="200m Superlifesaver" dataDxfId="195"/>
    <tableColumn id="7" xr3:uid="{2DC7F290-B564-4851-85AE-D211DA701B32}" name="200m Hindernis" dataDxfId="194"/>
    <tableColumn id="8" xr3:uid="{8112783D-8796-4D6A-8414-AC675D745697}" name="50m Retten2" dataDxfId="193"/>
    <tableColumn id="9" xr3:uid="{4E818CD4-8725-495D-9D1D-1AFCED9181F5}" name="100m Retten2" dataDxfId="192"/>
    <tableColumn id="10" xr3:uid="{28C05A91-E302-40A9-B50A-ECF997F129FC}" name="100m Kombi2" dataDxfId="191"/>
    <tableColumn id="11" xr3:uid="{D56FB9F2-45BF-4EC9-A84C-8A5FB59F2F05}" name="100m Lifesaver2" dataDxfId="190"/>
    <tableColumn id="12" xr3:uid="{540169C0-2A40-4794-A872-F7DF8A887BF2}" name="200m Superlifesaver2" dataDxfId="189"/>
    <tableColumn id="13" xr3:uid="{D104CB67-B55A-4C81-87E5-0AC758DD22A4}" name="200m Hindernis2" dataDxfId="18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87" headerRowBorderDxfId="186" tableBorderDxfId="185">
  <autoFilter ref="A4:M32" xr:uid="{E2D2F97B-7645-4066-8AB3-F35CF6E035EB}"/>
  <tableColumns count="13">
    <tableColumn id="1" xr3:uid="{AE73402B-B27E-4B29-8DCF-30B7FC1855EF}" name="WR-Open" dataDxfId="184">
      <calculatedColumnFormula>A4+1</calculatedColumnFormula>
    </tableColumn>
    <tableColumn id="2" xr3:uid="{EA3EAC1F-184E-4A28-B3E3-08DE12F138EF}" name="50m Retten" dataDxfId="183"/>
    <tableColumn id="3" xr3:uid="{E0305A3F-6087-4F8C-8B64-153E1ACAA32E}" name="100m Retten" dataDxfId="182"/>
    <tableColumn id="4" xr3:uid="{F0B7AC37-315E-49AA-855C-7955D2B43A76}" name="100m Kombi" dataDxfId="181"/>
    <tableColumn id="5" xr3:uid="{B5E690AB-DB7D-4864-8916-89D2A68C4128}" name="100m Lifesaver" dataDxfId="180"/>
    <tableColumn id="6" xr3:uid="{D89BAF4D-36AE-4C73-9320-9C5736F02F8A}" name="200m Superlifesaver" dataDxfId="179"/>
    <tableColumn id="7" xr3:uid="{58AE7517-1A90-459F-A7D2-B95265D217E7}" name="200m Hindernis" dataDxfId="178"/>
    <tableColumn id="8" xr3:uid="{13A189FB-E897-4A1F-A001-525F61E9CFFF}" name="50m Retten2" dataDxfId="177"/>
    <tableColumn id="9" xr3:uid="{36418AC5-46B8-400F-BD2E-D329CF4F92CD}" name="100m Retten2" dataDxfId="17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75" dataDxfId="17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73"/>
    <tableColumn id="2" xr3:uid="{2F302F6C-F8AF-4FDE-AB08-6F30F9671015}" name="Geschlecht" dataDxfId="172"/>
    <tableColumn id="3" xr3:uid="{4D91FBF9-386D-43DD-90D0-B49823FDB629}" name="Mindest alter" dataDxfId="171"/>
    <tableColumn id="4" xr3:uid="{4126AAC6-AF2F-446C-B4EA-D86ACFD9FAC2}" name="Maximales Alter" dataDxfId="170"/>
    <tableColumn id="5" xr3:uid="{8A10890A-A299-4B09-AC72-0E9AE9238AF3}" name="Qualizeitraum anfang" dataDxfId="169"/>
    <tableColumn id="6" xr3:uid="{FBCD1C13-FC82-429B-8DE1-0C5A455FDAB8}" name="Qualizeitraum Ende" dataDxfId="168"/>
    <tableColumn id="7" xr3:uid="{1DCCAC9B-BC46-468E-A3CE-57576C2FF11D}" name="Letzter Wettkampf am" dataDxfId="167"/>
    <tableColumn id="8" xr3:uid="{9A6E47EE-ABD8-4A1E-87D3-9D286E4C124F}" name="Wertung" dataDxfId="166"/>
    <tableColumn id="9" xr3:uid="{09E848D2-ED17-49C7-9775-CBF17D20DFC0}" name="Landesverband" dataDxfId="165"/>
    <tableColumn id="10" xr3:uid="{70ABB713-23F6-4FCF-920E-3CB0CD451446}" name="OMS" dataDxfId="164"/>
    <tableColumn id="11" xr3:uid="{9C108A1C-E6AB-4C13-9C1D-0FA8944A39A3}" name="Pool-Länge" dataDxfId="163"/>
    <tableColumn id="12" xr3:uid="{087948DD-430D-48F1-906D-4F4EF4B46053}" name="Regelwerk" dataDxfId="162"/>
    <tableColumn id="13" xr3:uid="{BF42D9C0-F77D-4971-A67E-32B0246C72C3}" name="Referenz" dataDxfId="161"/>
    <tableColumn id="19" xr3:uid="{AFFB84E8-B398-4E99-805B-9A247071A040}" name="Referenz Jahr" dataDxfId="160"/>
    <tableColumn id="20" xr3:uid="{0A59A474-DFBB-4437-8EFF-70284AFD9934}" name="Mindest Punktzahl" dataDxfId="159"/>
    <tableColumn id="21" xr3:uid="{198BD231-EEF3-43C9-AD9B-39B4B7E9B337}" name="Mindest Disziplinen" dataDxfId="158"/>
    <tableColumn id="14" xr3:uid="{443CD4F6-A2B2-480B-BB35-DCEEBC531727}" name="3-Kampf Regel" dataDxfId="157"/>
    <tableColumn id="15" xr3:uid="{70116160-7666-42B1-92AC-FAC2620E6A60}" name="Anzahl Nominierte" dataDxfId="156"/>
    <tableColumn id="16" xr3:uid="{0EFD0A46-D12B-4AB0-907C-08E5D9F282E0}" name="Anzahl Nachrücker" dataDxfId="155"/>
    <tableColumn id="17" xr3:uid="{AA5430A0-8ED8-40E8-B7F8-DA25E4E8790F}" name="Seiten Anzahl" dataDxfId="154"/>
    <tableColumn id="18" xr3:uid="{16F699D9-2741-43F3-AD5F-826A568EFEAC}" name="Absagen" dataDxfId="15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52" dataDxfId="151">
  <autoFilter ref="A1:U7" xr:uid="{CDBF6724-48A1-41AB-94B5-CC35C54BB15C}"/>
  <tableColumns count="21">
    <tableColumn id="1" xr3:uid="{E1FB3D0C-B874-4874-BACC-6872CF171957}" name="Tabellen Name" dataDxfId="150"/>
    <tableColumn id="2" xr3:uid="{FFDD2777-2097-450C-B020-F133CF643855}" name="Geschlecht" dataDxfId="149"/>
    <tableColumn id="3" xr3:uid="{8CF52BE2-8020-48BD-A36D-63F13A1878DE}" name="Mindest alter" dataDxfId="148"/>
    <tableColumn id="4" xr3:uid="{FD3A030F-CD97-4B6F-8E8C-BC2E67D79F1D}" name="Maximales Alter" dataDxfId="147"/>
    <tableColumn id="5" xr3:uid="{3E22B645-D77C-4509-B031-9914FCB91599}" name="Qualizeitraum anfang" dataDxfId="0"/>
    <tableColumn id="6" xr3:uid="{AE299324-3C1C-4063-ADF9-54555A161734}" name="Qualizeitraum Ende" dataDxfId="146"/>
    <tableColumn id="7" xr3:uid="{DCC178B3-11FC-4C53-BBC6-C2FDA2C89857}" name="Letzter Wettkampf am" dataDxfId="145"/>
    <tableColumn id="8" xr3:uid="{2811DB01-60A5-4BE4-B6F9-A806398A602A}" name="Wertung" dataDxfId="144"/>
    <tableColumn id="9" xr3:uid="{0C16DAFE-847D-4E9E-9604-3A7D9FE924D0}" name="Landesverband" dataDxfId="143"/>
    <tableColumn id="10" xr3:uid="{7A8A4101-A553-4BD5-9116-9AA5876B9401}" name="OMS" dataDxfId="142"/>
    <tableColumn id="11" xr3:uid="{9807C9BD-6499-45F6-ACE0-4D13D64EF675}" name="Pool-Länge" dataDxfId="141"/>
    <tableColumn id="12" xr3:uid="{13D336DD-650F-4F2C-836F-361CA1528F6D}" name="Regelwerk" dataDxfId="140"/>
    <tableColumn id="13" xr3:uid="{66660E2D-ADF2-4FB5-8A13-004F826EE908}" name="Referenz" dataDxfId="139"/>
    <tableColumn id="19" xr3:uid="{D72EDF8B-ECC3-4FF7-ABE6-B60BCE4A5E26}" name="Referenz Jahr" dataDxfId="138"/>
    <tableColumn id="20" xr3:uid="{7B18E667-70F7-4BC1-AB1B-21C019F2AA89}" name="Mindest Punktzahl" dataDxfId="137"/>
    <tableColumn id="21" xr3:uid="{FC185946-681B-42A6-AB1A-FC1EABB668C5}" name="Mindest Disziplinen" dataDxfId="136"/>
    <tableColumn id="14" xr3:uid="{6A2676FD-2EC7-4C41-A35E-A1597A38F932}" name="3-Kampf Regel" dataDxfId="135"/>
    <tableColumn id="15" xr3:uid="{718E0917-4F83-4A2B-832F-EBB16D5E21BF}" name="Anzahl Nominierte" dataDxfId="134"/>
    <tableColumn id="16" xr3:uid="{5C66A461-D647-4E00-A81C-FD7AD44D7CC2}" name="Anzahl Nachrücker" dataDxfId="133"/>
    <tableColumn id="17" xr3:uid="{D434BDEC-293B-4B4E-A5E9-479438960A03}" name="Seiten Anzahl" dataDxfId="132"/>
    <tableColumn id="18" xr3:uid="{80908229-9247-473F-81C0-9C9D4C12FF06}" name="Absagen" dataDxfId="13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FD34D3-012E-42D2-B8D4-32612CAE2B03}" name="Natio_konfig" displayName="Natio_konfig" ref="A1:U5" totalsRowShown="0" headerRowDxfId="130" dataDxfId="129">
  <autoFilter ref="A1:U5" xr:uid="{9BFD34D3-012E-42D2-B8D4-32612CAE2B03}"/>
  <tableColumns count="21">
    <tableColumn id="1" xr3:uid="{5F38FA64-1E26-48F3-B0FF-0E5583AED772}" name="Tabellen Name" dataDxfId="128"/>
    <tableColumn id="2" xr3:uid="{5F8CE91B-BB92-40A2-8EC5-CAA4A0736BC7}" name="Geschlecht" dataDxfId="127"/>
    <tableColumn id="3" xr3:uid="{BABC4117-3513-4A51-88FC-ACCDE4FEA695}" name="Mindest alter" dataDxfId="126"/>
    <tableColumn id="4" xr3:uid="{CCAD214E-6485-4A99-9B76-61FD1F836615}" name="Maximales Alter" dataDxfId="125"/>
    <tableColumn id="5" xr3:uid="{D40FDC2D-1060-4B9A-9D8D-DE371966BAAB}" name="Qualizeitraum anfang" dataDxfId="124"/>
    <tableColumn id="6" xr3:uid="{2FB5B18D-9671-410E-820E-4F8AAAB94AE5}" name="Qualizeitraum Ende" dataDxfId="123"/>
    <tableColumn id="7" xr3:uid="{78B05291-7E65-403E-9E77-08F9F175C88E}" name="Letzter Wettkampf am" dataDxfId="122"/>
    <tableColumn id="8" xr3:uid="{E0DF794B-64F4-4803-A055-5B5D5AC5C173}" name="Wertung" dataDxfId="121"/>
    <tableColumn id="9" xr3:uid="{7DC0795F-A548-4A09-8FFF-04A3E561E613}" name="Landesverband" dataDxfId="120"/>
    <tableColumn id="10" xr3:uid="{FBA31A17-CE11-420F-9487-0A4D973C90F9}" name="OMS" dataDxfId="119"/>
    <tableColumn id="11" xr3:uid="{60B8D281-E504-4B42-81B8-9B14A1A926A0}" name="Pool-Länge" dataDxfId="118"/>
    <tableColumn id="12" xr3:uid="{E4E00861-E0C2-470C-ACC3-AEB71183E69E}" name="Regelwerk" dataDxfId="117"/>
    <tableColumn id="13" xr3:uid="{67DAD4F5-E83D-48A3-9BA2-9B3F5710FEC3}" name="Referenz" dataDxfId="116"/>
    <tableColumn id="19" xr3:uid="{DCD9D3BE-5C04-4575-92EC-F8E911242805}" name="Referenz Jahr" dataDxfId="115"/>
    <tableColumn id="20" xr3:uid="{3B307C90-C4F5-4890-BF5F-3499E6C4E068}" name="Mindest Punktzahl" dataDxfId="114"/>
    <tableColumn id="21" xr3:uid="{759A1906-0454-4CC4-8BED-31ABBD324EC9}" name="Mindest Disziplinen" dataDxfId="113"/>
    <tableColumn id="14" xr3:uid="{41BD1BD0-16DC-4E03-AF06-BE8444616C3A}" name="3-Kampf Regel" dataDxfId="112"/>
    <tableColumn id="15" xr3:uid="{FCA10EFA-53B1-4722-9BA3-416DC54A7205}" name="Anzahl Nominierte" dataDxfId="111"/>
    <tableColumn id="16" xr3:uid="{A17696BB-052A-4E5D-916A-75001AA350CB}" name="Anzahl Nachrücker" dataDxfId="110"/>
    <tableColumn id="17" xr3:uid="{7DC8C503-FEE5-46A4-B2AB-C5627D45C70D}" name="Seiten Anzahl" dataDxfId="109"/>
    <tableColumn id="18" xr3:uid="{5F4E44AE-8D26-45E0-A15C-6CA7D8FA4819}" name="Absagen" dataDxfId="10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107" dataDxfId="106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105"/>
    <tableColumn id="2" xr3:uid="{6346FF3B-B334-4CD8-8B23-F2347E29C536}" name="Geschlecht" dataDxfId="104"/>
    <tableColumn id="3" xr3:uid="{E793B48A-BC8A-439F-8AAF-6FD08104A619}" name="Mindest Alter" dataDxfId="103"/>
    <tableColumn id="4" xr3:uid="{01A62C29-2F75-4107-A431-F69230BCCD0C}" name="Maximales Alter" dataDxfId="102"/>
    <tableColumn id="5" xr3:uid="{B7E4DE90-7856-4A0C-9063-61414D7F227C}" name="Qualizeitraum anfang" dataDxfId="101"/>
    <tableColumn id="6" xr3:uid="{B00F7CD1-82CB-42B9-A396-89F79EF419CA}" name="Qualizeitraum Ende" dataDxfId="100"/>
    <tableColumn id="7" xr3:uid="{9E50DDE5-12E3-4BCB-801C-FBABCE309F0E}" name="Letzter Wettkampf am" dataDxfId="99"/>
    <tableColumn id="8" xr3:uid="{57E68247-0FF2-48D8-8ACD-AB057E576A21}" name="Landesverband" dataDxfId="98"/>
    <tableColumn id="9" xr3:uid="{EBAA439D-F69A-4C2A-8193-9AE08F1E57B8}" name="OMS" dataDxfId="97"/>
    <tableColumn id="10" xr3:uid="{BBD11E7F-3DDF-428A-B005-4A40E6FA78DC}" name="Pool-Länge" dataDxfId="96"/>
    <tableColumn id="11" xr3:uid="{6AE38DCA-A084-4F3D-A6A4-4E76E3E2CBC6}" name="Regelwerk" dataDxfId="95"/>
    <tableColumn id="12" xr3:uid="{7F7470AD-5502-4CEE-BB4C-44BA308E61D7}" name="Seiten Anzahl" dataDxfId="94"/>
    <tableColumn id="13" xr3:uid="{F416CBFA-4C9D-45CD-9BA7-E4BC57A08BC2}" name="PZ1 - 50m Retten" dataDxfId="93"/>
    <tableColumn id="14" xr3:uid="{7117DBCA-0DA7-462C-84FE-0DC7E33B124C}" name="PZ1 - 100m Retten" dataDxfId="92"/>
    <tableColumn id="15" xr3:uid="{E8630E91-DC30-4822-9E53-6D65487C3670}" name="PZ1 - 100m Kombi" dataDxfId="91"/>
    <tableColumn id="16" xr3:uid="{4B3AA225-E042-430F-8259-D176887B4528}" name="PZ1 - 100m Lifesaver" dataDxfId="90"/>
    <tableColumn id="17" xr3:uid="{798674BD-98CE-4531-BDFF-6AB06253AD7C}" name="PZ1 - 200m Super-Lifesaver" dataDxfId="89"/>
    <tableColumn id="18" xr3:uid="{8809BB71-D58B-4E8B-A442-D0EB9A65A25D}" name="PZ1 - 200m Hindernis" dataDxfId="88"/>
    <tableColumn id="19" xr3:uid="{93DCF463-806B-4117-B4E3-1FFAE976B37C}" name="PZ2 - 50m Retten" dataDxfId="87"/>
    <tableColumn id="20" xr3:uid="{A514C961-559E-462F-B143-BA30974C0129}" name="PZ2 - 100m Retten" dataDxfId="86"/>
    <tableColumn id="21" xr3:uid="{F1CF6143-45FE-498D-93D6-36F26D2F3C0B}" name="PZ2 - 100m Kombi" dataDxfId="85"/>
    <tableColumn id="22" xr3:uid="{E90962FC-C214-467F-841F-40DF60E41456}" name="PZ2 - 100m Lifesaver" dataDxfId="84"/>
    <tableColumn id="23" xr3:uid="{7FBC6334-C4C8-4B38-9F59-30ED95A44379}" name="PZ2 - 200m Super-Lifesaver" dataDxfId="83"/>
    <tableColumn id="24" xr3:uid="{231BFF86-8F3A-4BA1-B25E-28175D9EDFA9}" name="PZ2 - 200m Hindernis" dataDxfId="8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81" dataDxfId="80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79"/>
    <tableColumn id="2" xr3:uid="{733C1722-A9C9-4830-A9E2-FE62E96BCD98}" name="Geschlecht" dataDxfId="78"/>
    <tableColumn id="3" xr3:uid="{80C0BF46-0E43-4947-BF86-B808C324772A}" name="Mindest Alter" dataDxfId="77"/>
    <tableColumn id="4" xr3:uid="{DBA2A923-EEB7-43F9-A1A3-E78624448FB9}" name="Maximales Alter" dataDxfId="76"/>
    <tableColumn id="5" xr3:uid="{3FDEE18A-328D-45AE-907D-69A916A93345}" name="Qualizeitraum anfang" dataDxfId="75"/>
    <tableColumn id="6" xr3:uid="{BE002D7F-575F-4B60-9251-C71D93F59045}" name="Qualizeitraum Ende" dataDxfId="74"/>
    <tableColumn id="7" xr3:uid="{208ABD57-DE4B-41D6-B9FC-93F2D8966E8D}" name="Letzter Wettkampf am" dataDxfId="73"/>
    <tableColumn id="8" xr3:uid="{30C9697C-6550-4996-ADDB-7FEE5325B794}" name="Landesverband" dataDxfId="72"/>
    <tableColumn id="9" xr3:uid="{ED2DAB77-EF46-4D8B-B8E4-90412E32E277}" name="OMS" dataDxfId="71"/>
    <tableColumn id="10" xr3:uid="{AD534940-A91B-4A6E-9606-E3F3E517D401}" name="Pool-Länge" dataDxfId="70"/>
    <tableColumn id="11" xr3:uid="{11F9D5D5-72FE-42CA-8624-01D513B4140F}" name="Regelwerk" dataDxfId="69"/>
    <tableColumn id="12" xr3:uid="{3907872B-5438-4FBF-A045-3EF9EAACFC47}" name="Seiten Anzahl" dataDxfId="68"/>
    <tableColumn id="13" xr3:uid="{FC821324-3638-40C0-BA1E-069B44E23C7A}" name="PZ1 - 50m Retten" dataDxfId="67"/>
    <tableColumn id="14" xr3:uid="{70529619-443E-40D3-88C1-3E0F00BB2A50}" name="PZ1 - 100m Retten" dataDxfId="66"/>
    <tableColumn id="15" xr3:uid="{EFA92FD2-C23F-42B3-83DC-5036513F19AF}" name="PZ1 - 100m Kombi" dataDxfId="65"/>
    <tableColumn id="16" xr3:uid="{03309E52-8CF3-4E90-9EE6-A818901C3B32}" name="PZ1 - 100m Lifesaver" dataDxfId="64"/>
    <tableColumn id="17" xr3:uid="{00B22013-AA11-4C17-9250-22060AE4B0A8}" name="PZ1 - 200m Super-Lifesaver" dataDxfId="63"/>
    <tableColumn id="18" xr3:uid="{7E3508A9-0422-4561-A23E-53E613259B24}" name="PZ1 - 200m Hindernis" dataDxfId="62"/>
    <tableColumn id="19" xr3:uid="{5CEA435F-F34B-4D8D-88D0-F5EBFF18B713}" name="PZ2 - 50m Retten" dataDxfId="61"/>
    <tableColumn id="20" xr3:uid="{8585BE62-F7C4-4D5D-B287-052B43B08610}" name="PZ2 - 100m Retten" dataDxfId="60"/>
    <tableColumn id="21" xr3:uid="{D981758B-ADAD-4E36-B787-0B0FDA808CA2}" name="PZ2 - 100m Kombi" dataDxfId="59"/>
    <tableColumn id="22" xr3:uid="{1D4970A8-D22F-4962-934C-AEA295ED687A}" name="PZ2 - 100m Lifesaver" dataDxfId="58"/>
    <tableColumn id="23" xr3:uid="{BE394430-C58F-4690-9615-44475E5AF9F8}" name="PZ2 - 200m Super-Lifesaver" dataDxfId="57"/>
    <tableColumn id="24" xr3:uid="{A7036B1A-99CE-4F7C-AAB8-12E8B2696202}" name="PZ2 - 200m Hindernis" dataDxfId="5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55" dataDxfId="54">
  <autoFilter ref="A1:AF37" xr:uid="{FED162EE-531E-453F-8C25-562B59ECE709}"/>
  <tableColumns count="32">
    <tableColumn id="1" xr3:uid="{F985A4F0-6B8C-47C6-816F-1A31A4973EB2}" name="Tabellen Name" dataDxfId="53"/>
    <tableColumn id="2" xr3:uid="{5E5AD859-71A2-4E8E-B434-431A89C05C57}" name="Geschlecht" dataDxfId="52"/>
    <tableColumn id="3" xr3:uid="{85BB892C-E151-404B-8974-FC5199E0909C}" name="Mindest Alter" dataDxfId="51"/>
    <tableColumn id="4" xr3:uid="{790F6CF9-E475-4082-AE03-D30EDE22FB61}" name="Maximales Alter" dataDxfId="50"/>
    <tableColumn id="5" xr3:uid="{FD4B0E6E-9B64-4731-A50F-D3CE3A4ED3FC}" name="Qualizeitraum anfang" dataDxfId="49"/>
    <tableColumn id="6" xr3:uid="{5E84CAD2-C403-49B9-BB06-D56EC5784C8C}" name="Qualizeitraum Ende" dataDxfId="48"/>
    <tableColumn id="7" xr3:uid="{6323F8E2-5DA4-4E5B-9C35-1E8C219ADECF}" name="Letzter Wettkampf am" dataDxfId="47"/>
    <tableColumn id="8" xr3:uid="{D2845930-152E-432F-92A0-E7F7A3EE1FF0}" name="Landesverband" dataDxfId="46"/>
    <tableColumn id="9" xr3:uid="{87046373-5CCD-41EC-B34C-C753E71FD26C}" name="OMS" dataDxfId="45"/>
    <tableColumn id="10" xr3:uid="{A685FE01-F23C-4533-B399-857F5A1F6C37}" name="Pool-Länge" dataDxfId="44"/>
    <tableColumn id="11" xr3:uid="{11E0A508-0C9D-4CB6-952E-7FAC5D05BDCD}" name="Regelwerk" dataDxfId="43"/>
    <tableColumn id="12" xr3:uid="{F220BD5F-C3B5-4935-996A-BFCDF9F392D9}" name="Seiten Anzahl" dataDxfId="42"/>
    <tableColumn id="25" xr3:uid="{7CDE58FE-A5B8-4329-9F48-3913AEBA21FC}" name="mind. erreichte Normen" dataDxfId="41"/>
    <tableColumn id="13" xr3:uid="{A0A5E62D-9354-426D-9A08-13E43F36F55B}" name="PZ - 50m Retten" dataDxfId="40"/>
    <tableColumn id="14" xr3:uid="{5D70F54C-57E9-45E2-BC99-0DBB0422383E}" name="PZ - 100m Retten" dataDxfId="39"/>
    <tableColumn id="15" xr3:uid="{1C0CF5DB-156E-4813-A8BA-9EA29A40ABF3}" name="PZ - 100m Kombi" dataDxfId="38"/>
    <tableColumn id="16" xr3:uid="{691CD4E1-13D9-4455-A2D1-14C9BC41A0EA}" name="PZ - 100m Lifesaver" dataDxfId="37"/>
    <tableColumn id="17" xr3:uid="{CE1BA235-770B-4FA4-B327-187675DDA6B8}" name="PZ - 200m Super-Lifesaver" dataDxfId="36"/>
    <tableColumn id="18" xr3:uid="{A326EF87-5FF5-4042-85D3-7806FEED4CFA}" name="PZ - 200m Hindernis" dataDxfId="35"/>
    <tableColumn id="19" xr3:uid="{3F3DF994-C8AE-408C-BCA1-99A143BA81D4}" name="LMS" dataDxfId="34"/>
    <tableColumn id="20" xr3:uid="{7461FBF0-E903-4B09-9C11-C9C1047FA39D}" name="DMM" dataDxfId="33"/>
    <tableColumn id="21" xr3:uid="{675AEE5F-BEC3-499A-A337-72DD69B663E7}" name="DEM" dataDxfId="32"/>
    <tableColumn id="24" xr3:uid="{17E128CD-0800-40BC-B850-0CE3966127B2}" name="JRP" dataDxfId="31"/>
    <tableColumn id="22" xr3:uid="{A92C8C64-1269-48FF-8F43-8EF273E7864F}" name="DMO" dataDxfId="30"/>
    <tableColumn id="30" xr3:uid="{84286FAC-A077-44AC-889C-09543C869BF4}" name="DMO Ocean" dataDxfId="29"/>
    <tableColumn id="23" xr3:uid="{40EF7D68-4E22-4866-ADAA-28DC8A82A09C}" name="Trophy" dataDxfId="28"/>
    <tableColumn id="31" xr3:uid="{33F8EB16-27F6-453C-81FD-376213F45978}" name="Ocean Perf" dataDxfId="27"/>
    <tableColumn id="32" xr3:uid="{5B81C846-FAFA-4E74-8678-47219E5942AF}" name="Filcow" dataDxfId="26"/>
    <tableColumn id="26" xr3:uid="{C7421A01-D221-4C7A-9F0B-8BD025E0F1CF}" name="WM" dataDxfId="25"/>
    <tableColumn id="27" xr3:uid="{4050AB9D-D7D4-4B88-8218-9206C91AD9A0}" name="EM" dataDxfId="24"/>
    <tableColumn id="28" xr3:uid="{6FC272EA-276B-4249-818D-C220B87D52A6}" name="JWM" dataDxfId="23"/>
    <tableColumn id="29" xr3:uid="{51F99A1A-8D2C-444F-9E7C-AA537C8FFA08}" name="JEM" dataDxfId="2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6" totalsRowShown="0">
  <autoFilter ref="A1:H16" xr:uid="{888CE7BE-8313-44C0-AE38-83992EABD44D}"/>
  <tableColumns count="8">
    <tableColumn id="1" xr3:uid="{B26B9E90-F378-41EF-B35E-CE240017E4BE}" name="datum von" dataDxfId="258"/>
    <tableColumn id="2" xr3:uid="{38211212-0A92-428C-895C-E4CA68F52818}" name="datum bis"/>
    <tableColumn id="3" xr3:uid="{66E541C6-0A5E-4B2D-9B89-5E52F449A4A6}" name="uhrzeit von" dataDxfId="257"/>
    <tableColumn id="4" xr3:uid="{D93C06A2-29AD-4073-8E3C-A685B4474CC8}" name="uhrzeit bis" dataDxfId="256"/>
    <tableColumn id="5" xr3:uid="{C5C3979C-B528-44E8-A5A6-36F020A6034F}" name="titel" dataDxfId="255"/>
    <tableColumn id="6" xr3:uid="{9DC09E1D-44FD-40ED-9EBE-86A8E61C38B2}" name="meta" dataDxfId="254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8" t="s">
        <v>13</v>
      </c>
      <c r="B1" s="9" t="s">
        <v>50</v>
      </c>
      <c r="C1" s="9"/>
      <c r="D1" s="9" t="s">
        <v>50</v>
      </c>
      <c r="E1" s="9"/>
      <c r="F1" s="9"/>
      <c r="G1" s="9"/>
      <c r="H1" s="10" t="s">
        <v>66</v>
      </c>
      <c r="I1" s="10" t="s">
        <v>67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92</v>
      </c>
      <c r="U1" s="10"/>
      <c r="V1" s="10"/>
      <c r="W1" s="10"/>
      <c r="X1" s="10" t="s">
        <v>92</v>
      </c>
      <c r="Y1" s="10" t="s">
        <v>92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122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4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68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96</v>
      </c>
      <c r="U2" s="11"/>
      <c r="V2" s="11"/>
      <c r="W2" s="11"/>
      <c r="X2" s="11" t="s">
        <v>95</v>
      </c>
      <c r="Y2" s="11" t="s">
        <v>93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45">
      <c r="A3" s="8" t="s">
        <v>65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94</v>
      </c>
      <c r="U3" s="11"/>
      <c r="V3" s="11"/>
      <c r="W3" s="11"/>
      <c r="X3" s="11" t="s">
        <v>94</v>
      </c>
      <c r="Y3" s="11" t="s">
        <v>94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123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5">
      <c r="A4" s="15" t="s">
        <v>6</v>
      </c>
      <c r="B4" s="16" t="s">
        <v>69</v>
      </c>
      <c r="C4" s="16" t="s">
        <v>70</v>
      </c>
      <c r="D4" s="16" t="s">
        <v>71</v>
      </c>
      <c r="E4" s="16" t="s">
        <v>72</v>
      </c>
      <c r="F4" s="16" t="s">
        <v>73</v>
      </c>
      <c r="G4" s="17" t="s">
        <v>74</v>
      </c>
      <c r="H4" s="18" t="s">
        <v>75</v>
      </c>
      <c r="I4" s="18" t="s">
        <v>76</v>
      </c>
      <c r="J4" s="18" t="s">
        <v>77</v>
      </c>
      <c r="K4" s="18" t="s">
        <v>78</v>
      </c>
      <c r="L4" s="18" t="s">
        <v>79</v>
      </c>
      <c r="M4" s="20" t="s">
        <v>80</v>
      </c>
      <c r="N4" s="23" t="s">
        <v>81</v>
      </c>
      <c r="O4" s="23" t="s">
        <v>82</v>
      </c>
      <c r="P4" s="23" t="s">
        <v>83</v>
      </c>
      <c r="Q4" s="23" t="s">
        <v>84</v>
      </c>
      <c r="R4" s="23" t="s">
        <v>85</v>
      </c>
      <c r="S4" s="23" t="s">
        <v>86</v>
      </c>
      <c r="T4" s="18" t="s">
        <v>124</v>
      </c>
      <c r="U4" s="18" t="s">
        <v>87</v>
      </c>
      <c r="V4" s="18" t="s">
        <v>88</v>
      </c>
      <c r="W4" s="18" t="s">
        <v>89</v>
      </c>
      <c r="X4" s="18" t="s">
        <v>90</v>
      </c>
      <c r="Y4" s="20" t="s">
        <v>91</v>
      </c>
      <c r="Z4" s="23" t="s">
        <v>98</v>
      </c>
      <c r="AA4" s="23" t="s">
        <v>110</v>
      </c>
      <c r="AB4" s="23" t="s">
        <v>99</v>
      </c>
      <c r="AC4" s="23" t="s">
        <v>100</v>
      </c>
      <c r="AD4" s="23" t="s">
        <v>101</v>
      </c>
      <c r="AE4" s="23" t="s">
        <v>102</v>
      </c>
      <c r="AF4" s="18" t="s">
        <v>104</v>
      </c>
      <c r="AG4" s="18" t="s">
        <v>103</v>
      </c>
      <c r="AH4" s="18" t="s">
        <v>105</v>
      </c>
      <c r="AI4" s="18" t="s">
        <v>106</v>
      </c>
      <c r="AJ4" s="18" t="s">
        <v>107</v>
      </c>
      <c r="AK4" s="20" t="s">
        <v>108</v>
      </c>
      <c r="AL4" s="23" t="s">
        <v>109</v>
      </c>
      <c r="AM4" s="23" t="s">
        <v>112</v>
      </c>
      <c r="AN4" s="24" t="s">
        <v>113</v>
      </c>
      <c r="AO4" s="18" t="s">
        <v>111</v>
      </c>
      <c r="AP4" s="18" t="s">
        <v>114</v>
      </c>
      <c r="AQ4" s="20" t="s">
        <v>115</v>
      </c>
      <c r="AR4" s="23" t="s">
        <v>116</v>
      </c>
      <c r="AS4" s="23" t="s">
        <v>117</v>
      </c>
      <c r="AT4" s="23" t="s">
        <v>120</v>
      </c>
      <c r="AU4" s="18" t="s">
        <v>118</v>
      </c>
      <c r="AV4" s="18" t="s">
        <v>119</v>
      </c>
      <c r="AW4" s="18" t="s">
        <v>121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1" priority="15">
      <formula>B5&lt;&gt;B4</formula>
    </cfRule>
  </conditionalFormatting>
  <conditionalFormatting sqref="H5:M31">
    <cfRule type="expression" dxfId="20" priority="14">
      <formula>H5&lt;&gt;H4</formula>
    </cfRule>
  </conditionalFormatting>
  <conditionalFormatting sqref="N5:S31">
    <cfRule type="expression" dxfId="19" priority="13">
      <formula>N5&lt;&gt;N4</formula>
    </cfRule>
  </conditionalFormatting>
  <conditionalFormatting sqref="T5:Y31">
    <cfRule type="expression" dxfId="18" priority="12">
      <formula>T5&lt;&gt;T4</formula>
    </cfRule>
  </conditionalFormatting>
  <conditionalFormatting sqref="Z5:AE31">
    <cfRule type="expression" dxfId="17" priority="9">
      <formula>Z5&lt;&gt;Z4</formula>
    </cfRule>
  </conditionalFormatting>
  <conditionalFormatting sqref="AF5:AK31">
    <cfRule type="expression" dxfId="16" priority="8">
      <formula>AF5&lt;&gt;AF4</formula>
    </cfRule>
  </conditionalFormatting>
  <conditionalFormatting sqref="AL5:AN31">
    <cfRule type="expression" dxfId="15" priority="6">
      <formula>AL5&lt;&gt;AL4</formula>
    </cfRule>
  </conditionalFormatting>
  <conditionalFormatting sqref="AO5:AQ31">
    <cfRule type="expression" dxfId="14" priority="5">
      <formula>AO5&lt;&gt;AO4</formula>
    </cfRule>
  </conditionalFormatting>
  <conditionalFormatting sqref="AR5:AT31">
    <cfRule type="expression" dxfId="13" priority="2">
      <formula>AR5&lt;&gt;AR4</formula>
    </cfRule>
  </conditionalFormatting>
  <conditionalFormatting sqref="AU5:AW31">
    <cfRule type="expression" dxfId="12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9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45">
      <c r="A2" s="8" t="s">
        <v>14</v>
      </c>
      <c r="B2" s="11" t="s">
        <v>40</v>
      </c>
      <c r="C2" s="11" t="s">
        <v>41</v>
      </c>
      <c r="D2" s="11" t="s">
        <v>39</v>
      </c>
      <c r="E2" s="11" t="s">
        <v>42</v>
      </c>
      <c r="F2" s="11" t="s">
        <v>43</v>
      </c>
      <c r="G2" s="11" t="s">
        <v>44</v>
      </c>
      <c r="H2" s="11" t="s">
        <v>45</v>
      </c>
      <c r="I2" s="11" t="s">
        <v>46</v>
      </c>
      <c r="J2" s="11" t="s">
        <v>47</v>
      </c>
      <c r="K2" s="11" t="s">
        <v>48</v>
      </c>
      <c r="L2" s="11" t="s">
        <v>44</v>
      </c>
      <c r="M2" s="11" t="s">
        <v>49</v>
      </c>
    </row>
    <row r="3" spans="1:13" ht="16.5" customHeight="1" x14ac:dyDescent="0.4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4.65" thickBot="1" x14ac:dyDescent="0.5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60</v>
      </c>
      <c r="J4" s="14" t="s">
        <v>61</v>
      </c>
      <c r="K4" s="14" t="s">
        <v>62</v>
      </c>
      <c r="L4" s="14" t="s">
        <v>63</v>
      </c>
      <c r="M4" s="14" t="s">
        <v>64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1" priority="20">
      <formula>B6&lt;&gt;B4</formula>
    </cfRule>
  </conditionalFormatting>
  <conditionalFormatting sqref="B7:G32">
    <cfRule type="expression" dxfId="10" priority="1">
      <formula>B7&lt;&gt;B6</formula>
    </cfRule>
  </conditionalFormatting>
  <conditionalFormatting sqref="H6:M6">
    <cfRule type="expression" dxfId="9" priority="22">
      <formula>H6&lt;&gt;H4</formula>
    </cfRule>
  </conditionalFormatting>
  <conditionalFormatting sqref="H7:M32">
    <cfRule type="expression" dxfId="8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L32" sqref="L32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50</v>
      </c>
      <c r="C1" s="9" t="s">
        <v>52</v>
      </c>
      <c r="D1" s="9" t="s">
        <v>50</v>
      </c>
      <c r="E1" s="9" t="s">
        <v>54</v>
      </c>
      <c r="F1" s="9" t="s">
        <v>55</v>
      </c>
      <c r="G1" s="9" t="s">
        <v>57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274</v>
      </c>
      <c r="M1" s="10" t="s">
        <v>35</v>
      </c>
    </row>
    <row r="2" spans="1:13" ht="16.5" customHeight="1" x14ac:dyDescent="0.45">
      <c r="A2" s="8" t="s">
        <v>14</v>
      </c>
      <c r="B2" s="11" t="s">
        <v>11</v>
      </c>
      <c r="C2" s="11" t="s">
        <v>53</v>
      </c>
      <c r="D2" s="11" t="s">
        <v>36</v>
      </c>
      <c r="E2" s="11" t="s">
        <v>40</v>
      </c>
      <c r="F2" s="11" t="s">
        <v>56</v>
      </c>
      <c r="G2" s="11" t="s">
        <v>58</v>
      </c>
      <c r="H2" s="11" t="s">
        <v>39</v>
      </c>
      <c r="I2" s="11" t="s">
        <v>33</v>
      </c>
      <c r="J2" s="11" t="s">
        <v>97</v>
      </c>
      <c r="K2" s="11" t="s">
        <v>39</v>
      </c>
      <c r="L2" s="11" t="s">
        <v>275</v>
      </c>
      <c r="M2" s="11" t="s">
        <v>39</v>
      </c>
    </row>
    <row r="3" spans="1:13" ht="16.5" customHeight="1" x14ac:dyDescent="0.45">
      <c r="A3" s="8" t="s">
        <v>15</v>
      </c>
      <c r="B3" s="11" t="s">
        <v>51</v>
      </c>
      <c r="C3" s="11" t="s">
        <v>19</v>
      </c>
      <c r="D3" s="11" t="s">
        <v>51</v>
      </c>
      <c r="E3" s="11" t="s">
        <v>17</v>
      </c>
      <c r="F3" s="11" t="s">
        <v>34</v>
      </c>
      <c r="G3" s="11" t="s">
        <v>59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34</v>
      </c>
      <c r="M3" s="11" t="s">
        <v>37</v>
      </c>
    </row>
    <row r="4" spans="1:13" ht="14.65" thickBot="1" x14ac:dyDescent="0.5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60</v>
      </c>
      <c r="J4" s="14" t="s">
        <v>61</v>
      </c>
      <c r="K4" s="14" t="s">
        <v>62</v>
      </c>
      <c r="L4" s="14" t="s">
        <v>63</v>
      </c>
      <c r="M4" s="14" t="s">
        <v>64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1.4221064814814814E-3</v>
      </c>
      <c r="M32" s="3">
        <v>1.2931712962962962E-3</v>
      </c>
    </row>
  </sheetData>
  <conditionalFormatting sqref="B6:G6">
    <cfRule type="expression" dxfId="7" priority="19">
      <formula>B6&lt;&gt;B4</formula>
    </cfRule>
  </conditionalFormatting>
  <conditionalFormatting sqref="B7:G32">
    <cfRule type="expression" dxfId="6" priority="2">
      <formula>B7&lt;&gt;B6</formula>
    </cfRule>
  </conditionalFormatting>
  <conditionalFormatting sqref="H6:M6">
    <cfRule type="expression" dxfId="5" priority="20">
      <formula>H6&lt;&gt;H4</formula>
    </cfRule>
  </conditionalFormatting>
  <conditionalFormatting sqref="H7:M32">
    <cfRule type="expression" dxfId="4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45">
      <c r="A2" s="25" t="s">
        <v>161</v>
      </c>
      <c r="B2" s="25" t="s">
        <v>128</v>
      </c>
      <c r="C2" s="25">
        <v>15</v>
      </c>
      <c r="D2" s="25">
        <v>50</v>
      </c>
      <c r="E2" s="25" t="s">
        <v>181</v>
      </c>
      <c r="F2" s="25" t="s">
        <v>182</v>
      </c>
      <c r="G2" s="25" t="s">
        <v>160</v>
      </c>
      <c r="H2" s="25" t="s">
        <v>141</v>
      </c>
      <c r="I2" s="25" t="s">
        <v>142</v>
      </c>
      <c r="J2" s="25" t="s">
        <v>143</v>
      </c>
      <c r="K2" s="25"/>
      <c r="L2" s="25"/>
      <c r="M2" s="25" t="s">
        <v>6</v>
      </c>
      <c r="N2" s="25" t="s">
        <v>180</v>
      </c>
      <c r="O2" s="25">
        <v>0</v>
      </c>
      <c r="P2" s="25">
        <v>3</v>
      </c>
      <c r="Q2" s="25" t="s">
        <v>144</v>
      </c>
      <c r="R2" s="25"/>
      <c r="S2" s="25"/>
      <c r="T2" s="25">
        <v>10</v>
      </c>
      <c r="U2" s="25" t="s">
        <v>148</v>
      </c>
    </row>
    <row r="3" spans="1:21" x14ac:dyDescent="0.45">
      <c r="A3" s="25" t="s">
        <v>162</v>
      </c>
      <c r="B3" s="25" t="s">
        <v>146</v>
      </c>
      <c r="C3" s="25">
        <v>15</v>
      </c>
      <c r="D3" s="25">
        <v>50</v>
      </c>
      <c r="E3" s="25" t="s">
        <v>181</v>
      </c>
      <c r="F3" s="25" t="s">
        <v>182</v>
      </c>
      <c r="G3" s="25" t="s">
        <v>160</v>
      </c>
      <c r="H3" s="25" t="s">
        <v>141</v>
      </c>
      <c r="I3" s="25" t="s">
        <v>142</v>
      </c>
      <c r="J3" s="25" t="s">
        <v>143</v>
      </c>
      <c r="K3" s="25"/>
      <c r="L3" s="25"/>
      <c r="M3" s="25" t="s">
        <v>6</v>
      </c>
      <c r="N3" s="25" t="s">
        <v>180</v>
      </c>
      <c r="O3" s="25">
        <v>0</v>
      </c>
      <c r="P3" s="25">
        <v>3</v>
      </c>
      <c r="Q3" s="25" t="s">
        <v>144</v>
      </c>
      <c r="R3" s="25"/>
      <c r="S3" s="25"/>
      <c r="T3" s="25">
        <v>10</v>
      </c>
      <c r="U3" s="25" t="s">
        <v>147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abSelected="1" workbookViewId="0">
      <selection activeCell="F6" sqref="F6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45">
      <c r="A2" s="25" t="s">
        <v>153</v>
      </c>
      <c r="B2" s="25" t="s">
        <v>128</v>
      </c>
      <c r="C2" s="25">
        <v>19</v>
      </c>
      <c r="D2" s="25">
        <v>50</v>
      </c>
      <c r="E2" s="25" t="s">
        <v>160</v>
      </c>
      <c r="F2" s="25" t="s">
        <v>159</v>
      </c>
      <c r="G2" s="25" t="s">
        <v>160</v>
      </c>
      <c r="H2" s="25" t="s">
        <v>141</v>
      </c>
      <c r="I2" s="25" t="s">
        <v>142</v>
      </c>
      <c r="J2" s="25" t="s">
        <v>143</v>
      </c>
      <c r="K2" s="25"/>
      <c r="L2" s="25"/>
      <c r="M2" s="25" t="s">
        <v>6</v>
      </c>
      <c r="N2" s="25" t="s">
        <v>150</v>
      </c>
      <c r="O2" s="25">
        <v>0</v>
      </c>
      <c r="P2" s="25">
        <v>3</v>
      </c>
      <c r="Q2" s="25" t="s">
        <v>143</v>
      </c>
      <c r="R2" s="25">
        <v>0</v>
      </c>
      <c r="S2" s="25">
        <v>0</v>
      </c>
      <c r="T2" s="25">
        <v>10</v>
      </c>
      <c r="U2" s="25" t="s">
        <v>148</v>
      </c>
    </row>
    <row r="3" spans="1:21" x14ac:dyDescent="0.45">
      <c r="A3" s="25" t="s">
        <v>154</v>
      </c>
      <c r="B3" s="25" t="s">
        <v>146</v>
      </c>
      <c r="C3" s="25">
        <v>19</v>
      </c>
      <c r="D3" s="25">
        <v>50</v>
      </c>
      <c r="E3" s="25" t="s">
        <v>160</v>
      </c>
      <c r="F3" s="25" t="s">
        <v>159</v>
      </c>
      <c r="G3" s="25" t="s">
        <v>160</v>
      </c>
      <c r="H3" s="25" t="s">
        <v>141</v>
      </c>
      <c r="I3" s="25" t="s">
        <v>142</v>
      </c>
      <c r="J3" s="25" t="s">
        <v>143</v>
      </c>
      <c r="K3" s="25"/>
      <c r="L3" s="25"/>
      <c r="M3" s="25" t="s">
        <v>6</v>
      </c>
      <c r="N3" s="25" t="s">
        <v>150</v>
      </c>
      <c r="O3" s="25">
        <v>0</v>
      </c>
      <c r="P3" s="25">
        <v>3</v>
      </c>
      <c r="Q3" s="25" t="s">
        <v>143</v>
      </c>
      <c r="R3" s="25">
        <v>0</v>
      </c>
      <c r="S3" s="25">
        <v>0</v>
      </c>
      <c r="T3" s="25">
        <v>10</v>
      </c>
      <c r="U3" s="25" t="s">
        <v>147</v>
      </c>
    </row>
    <row r="4" spans="1:21" x14ac:dyDescent="0.45">
      <c r="A4" s="25" t="s">
        <v>155</v>
      </c>
      <c r="B4" s="25" t="s">
        <v>128</v>
      </c>
      <c r="C4" s="25">
        <v>17</v>
      </c>
      <c r="D4" s="25">
        <v>18</v>
      </c>
      <c r="E4" s="25" t="s">
        <v>160</v>
      </c>
      <c r="F4" s="25" t="s">
        <v>159</v>
      </c>
      <c r="G4" s="25" t="s">
        <v>160</v>
      </c>
      <c r="H4" s="25" t="s">
        <v>141</v>
      </c>
      <c r="I4" s="25" t="s">
        <v>142</v>
      </c>
      <c r="J4" s="25" t="s">
        <v>143</v>
      </c>
      <c r="K4" s="25"/>
      <c r="L4" s="25"/>
      <c r="M4" s="25" t="s">
        <v>6</v>
      </c>
      <c r="N4" s="25" t="s">
        <v>150</v>
      </c>
      <c r="O4" s="25">
        <v>0</v>
      </c>
      <c r="P4" s="25">
        <v>3</v>
      </c>
      <c r="Q4" s="25" t="s">
        <v>143</v>
      </c>
      <c r="R4" s="25">
        <v>0</v>
      </c>
      <c r="S4" s="25">
        <v>0</v>
      </c>
      <c r="T4" s="25">
        <v>10</v>
      </c>
      <c r="U4" s="25" t="s">
        <v>211</v>
      </c>
    </row>
    <row r="5" spans="1:21" x14ac:dyDescent="0.45">
      <c r="A5" s="25" t="s">
        <v>156</v>
      </c>
      <c r="B5" s="25" t="s">
        <v>146</v>
      </c>
      <c r="C5" s="25">
        <v>17</v>
      </c>
      <c r="D5" s="25">
        <v>18</v>
      </c>
      <c r="E5" s="25" t="s">
        <v>160</v>
      </c>
      <c r="F5" s="25" t="s">
        <v>159</v>
      </c>
      <c r="G5" s="25" t="s">
        <v>160</v>
      </c>
      <c r="H5" s="25" t="s">
        <v>141</v>
      </c>
      <c r="I5" s="25" t="s">
        <v>142</v>
      </c>
      <c r="J5" s="25" t="s">
        <v>143</v>
      </c>
      <c r="K5" s="25"/>
      <c r="L5" s="25"/>
      <c r="M5" s="25" t="s">
        <v>6</v>
      </c>
      <c r="N5" s="25" t="s">
        <v>150</v>
      </c>
      <c r="O5" s="25">
        <v>0</v>
      </c>
      <c r="P5" s="25">
        <v>3</v>
      </c>
      <c r="Q5" s="25" t="s">
        <v>143</v>
      </c>
      <c r="R5" s="25">
        <v>0</v>
      </c>
      <c r="S5" s="25">
        <v>0</v>
      </c>
      <c r="T5" s="25">
        <v>10</v>
      </c>
      <c r="U5" s="25"/>
    </row>
    <row r="6" spans="1:21" x14ac:dyDescent="0.45">
      <c r="A6" s="25" t="s">
        <v>157</v>
      </c>
      <c r="B6" s="25" t="s">
        <v>128</v>
      </c>
      <c r="C6" s="25">
        <v>15</v>
      </c>
      <c r="D6" s="25">
        <v>16</v>
      </c>
      <c r="E6" s="25" t="s">
        <v>160</v>
      </c>
      <c r="F6" s="25" t="s">
        <v>159</v>
      </c>
      <c r="G6" s="25" t="s">
        <v>160</v>
      </c>
      <c r="H6" s="25" t="s">
        <v>141</v>
      </c>
      <c r="I6" s="25" t="s">
        <v>142</v>
      </c>
      <c r="J6" s="25" t="s">
        <v>143</v>
      </c>
      <c r="K6" s="25"/>
      <c r="L6" s="25"/>
      <c r="M6" s="25" t="s">
        <v>6</v>
      </c>
      <c r="N6" s="25" t="s">
        <v>150</v>
      </c>
      <c r="O6" s="25">
        <v>0</v>
      </c>
      <c r="P6" s="25">
        <v>3</v>
      </c>
      <c r="Q6" s="25" t="s">
        <v>143</v>
      </c>
      <c r="R6" s="25">
        <v>0</v>
      </c>
      <c r="S6" s="25">
        <v>0</v>
      </c>
      <c r="T6" s="25">
        <v>10</v>
      </c>
      <c r="U6" s="25"/>
    </row>
    <row r="7" spans="1:21" x14ac:dyDescent="0.45">
      <c r="A7" s="25" t="s">
        <v>158</v>
      </c>
      <c r="B7" s="25" t="s">
        <v>146</v>
      </c>
      <c r="C7" s="25">
        <v>15</v>
      </c>
      <c r="D7" s="25">
        <v>16</v>
      </c>
      <c r="E7" s="25" t="s">
        <v>160</v>
      </c>
      <c r="F7" s="25" t="s">
        <v>159</v>
      </c>
      <c r="G7" s="25" t="s">
        <v>160</v>
      </c>
      <c r="H7" s="25" t="s">
        <v>141</v>
      </c>
      <c r="I7" s="25" t="s">
        <v>142</v>
      </c>
      <c r="J7" s="25" t="s">
        <v>143</v>
      </c>
      <c r="K7" s="25"/>
      <c r="L7" s="25"/>
      <c r="M7" s="25" t="s">
        <v>6</v>
      </c>
      <c r="N7" s="25" t="s">
        <v>150</v>
      </c>
      <c r="O7" s="25">
        <v>0</v>
      </c>
      <c r="P7" s="25">
        <v>3</v>
      </c>
      <c r="Q7" s="25" t="s">
        <v>143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7F1A-B6FF-4E12-80FF-21013F638D82}">
  <sheetPr>
    <tabColor theme="5"/>
  </sheetPr>
  <dimension ref="A1:U5"/>
  <sheetViews>
    <sheetView workbookViewId="0">
      <selection activeCell="E5" sqref="E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45">
      <c r="A2" s="25" t="s">
        <v>271</v>
      </c>
      <c r="B2" s="25" t="s">
        <v>128</v>
      </c>
      <c r="C2" s="25">
        <v>19</v>
      </c>
      <c r="D2" s="25">
        <v>50</v>
      </c>
      <c r="E2" s="25" t="s">
        <v>160</v>
      </c>
      <c r="F2" s="25" t="s">
        <v>273</v>
      </c>
      <c r="G2" s="25" t="s">
        <v>160</v>
      </c>
      <c r="H2" s="25" t="s">
        <v>141</v>
      </c>
      <c r="I2" s="25" t="s">
        <v>142</v>
      </c>
      <c r="J2" s="25" t="s">
        <v>143</v>
      </c>
      <c r="K2" s="25">
        <v>50</v>
      </c>
      <c r="L2" s="25"/>
      <c r="M2" s="25" t="s">
        <v>6</v>
      </c>
      <c r="N2" s="25" t="s">
        <v>150</v>
      </c>
      <c r="O2" s="25">
        <v>0</v>
      </c>
      <c r="P2" s="25">
        <v>3</v>
      </c>
      <c r="Q2" s="25" t="s">
        <v>143</v>
      </c>
      <c r="R2" s="25">
        <v>0</v>
      </c>
      <c r="S2" s="25">
        <v>0</v>
      </c>
      <c r="T2" s="25">
        <v>10</v>
      </c>
      <c r="U2" s="25"/>
    </row>
    <row r="3" spans="1:21" x14ac:dyDescent="0.45">
      <c r="A3" s="25" t="s">
        <v>270</v>
      </c>
      <c r="B3" s="25" t="s">
        <v>146</v>
      </c>
      <c r="C3" s="25">
        <v>19</v>
      </c>
      <c r="D3" s="25">
        <v>50</v>
      </c>
      <c r="E3" s="25" t="s">
        <v>160</v>
      </c>
      <c r="F3" s="25" t="s">
        <v>273</v>
      </c>
      <c r="G3" s="25" t="s">
        <v>160</v>
      </c>
      <c r="H3" s="25" t="s">
        <v>141</v>
      </c>
      <c r="I3" s="25" t="s">
        <v>142</v>
      </c>
      <c r="J3" s="25" t="s">
        <v>143</v>
      </c>
      <c r="K3" s="25">
        <v>50</v>
      </c>
      <c r="L3" s="25"/>
      <c r="M3" s="25" t="s">
        <v>6</v>
      </c>
      <c r="N3" s="25" t="s">
        <v>150</v>
      </c>
      <c r="O3" s="25">
        <v>0</v>
      </c>
      <c r="P3" s="25">
        <v>3</v>
      </c>
      <c r="Q3" s="25" t="s">
        <v>143</v>
      </c>
      <c r="R3" s="25">
        <v>0</v>
      </c>
      <c r="S3" s="25">
        <v>0</v>
      </c>
      <c r="T3" s="25">
        <v>10</v>
      </c>
      <c r="U3" s="25"/>
    </row>
    <row r="4" spans="1:21" x14ac:dyDescent="0.45">
      <c r="A4" s="25" t="s">
        <v>269</v>
      </c>
      <c r="B4" s="25" t="s">
        <v>128</v>
      </c>
      <c r="C4" s="25">
        <v>15</v>
      </c>
      <c r="D4" s="25">
        <v>18</v>
      </c>
      <c r="E4" s="25" t="s">
        <v>160</v>
      </c>
      <c r="F4" s="25" t="s">
        <v>273</v>
      </c>
      <c r="G4" s="25" t="s">
        <v>160</v>
      </c>
      <c r="H4" s="25" t="s">
        <v>141</v>
      </c>
      <c r="I4" s="25" t="s">
        <v>142</v>
      </c>
      <c r="J4" s="25" t="s">
        <v>143</v>
      </c>
      <c r="K4" s="25">
        <v>50</v>
      </c>
      <c r="L4" s="25"/>
      <c r="M4" s="25" t="s">
        <v>7</v>
      </c>
      <c r="N4" s="25" t="s">
        <v>150</v>
      </c>
      <c r="O4" s="25">
        <v>0</v>
      </c>
      <c r="P4" s="25">
        <v>3</v>
      </c>
      <c r="Q4" s="25" t="s">
        <v>143</v>
      </c>
      <c r="R4" s="25">
        <v>0</v>
      </c>
      <c r="S4" s="25">
        <v>0</v>
      </c>
      <c r="T4" s="25">
        <v>10</v>
      </c>
      <c r="U4" s="25"/>
    </row>
    <row r="5" spans="1:21" x14ac:dyDescent="0.45">
      <c r="A5" s="25" t="s">
        <v>272</v>
      </c>
      <c r="B5" s="25" t="s">
        <v>146</v>
      </c>
      <c r="C5" s="25">
        <v>15</v>
      </c>
      <c r="D5" s="25">
        <v>18</v>
      </c>
      <c r="E5" s="25" t="s">
        <v>160</v>
      </c>
      <c r="F5" s="25" t="s">
        <v>273</v>
      </c>
      <c r="G5" s="25" t="s">
        <v>160</v>
      </c>
      <c r="H5" s="25" t="s">
        <v>141</v>
      </c>
      <c r="I5" s="25" t="s">
        <v>142</v>
      </c>
      <c r="J5" s="25" t="s">
        <v>143</v>
      </c>
      <c r="K5" s="25">
        <v>50</v>
      </c>
      <c r="L5" s="25"/>
      <c r="M5" s="25" t="s">
        <v>7</v>
      </c>
      <c r="N5" s="25" t="s">
        <v>150</v>
      </c>
      <c r="O5" s="25">
        <v>0</v>
      </c>
      <c r="P5" s="25">
        <v>3</v>
      </c>
      <c r="Q5" s="25" t="s">
        <v>143</v>
      </c>
      <c r="R5" s="25">
        <v>0</v>
      </c>
      <c r="S5" s="25">
        <v>0</v>
      </c>
      <c r="T5" s="25">
        <v>10</v>
      </c>
      <c r="U5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164</v>
      </c>
      <c r="N1" s="25" t="s">
        <v>165</v>
      </c>
      <c r="O1" s="25" t="s">
        <v>166</v>
      </c>
      <c r="P1" s="25" t="s">
        <v>169</v>
      </c>
      <c r="Q1" s="25" t="s">
        <v>168</v>
      </c>
      <c r="R1" s="25" t="s">
        <v>167</v>
      </c>
      <c r="S1" s="25" t="s">
        <v>170</v>
      </c>
      <c r="T1" s="25" t="s">
        <v>171</v>
      </c>
      <c r="U1" s="25" t="s">
        <v>172</v>
      </c>
      <c r="V1" s="25" t="s">
        <v>173</v>
      </c>
      <c r="W1" s="25" t="s">
        <v>174</v>
      </c>
      <c r="X1" s="25" t="s">
        <v>175</v>
      </c>
    </row>
    <row r="2" spans="1:24" x14ac:dyDescent="0.45">
      <c r="A2" s="25" t="s">
        <v>176</v>
      </c>
      <c r="B2" s="25" t="s">
        <v>128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142</v>
      </c>
      <c r="I2" s="25" t="s">
        <v>144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45">
      <c r="A3" s="25" t="s">
        <v>177</v>
      </c>
      <c r="B3" s="25" t="s">
        <v>146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142</v>
      </c>
      <c r="I3" s="25" t="s">
        <v>144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45">
      <c r="A4" s="25" t="s">
        <v>178</v>
      </c>
      <c r="B4" s="25" t="s">
        <v>128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142</v>
      </c>
      <c r="I4" s="25" t="s">
        <v>144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45">
      <c r="A5" s="25" t="s">
        <v>179</v>
      </c>
      <c r="B5" s="25" t="s">
        <v>146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142</v>
      </c>
      <c r="I5" s="25" t="s">
        <v>144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45">
      <c r="A6" s="25" t="s">
        <v>153</v>
      </c>
      <c r="B6" s="25" t="s">
        <v>128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142</v>
      </c>
      <c r="I6" s="25" t="s">
        <v>144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45">
      <c r="A7" s="25" t="s">
        <v>154</v>
      </c>
      <c r="B7" s="25" t="s">
        <v>146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142</v>
      </c>
      <c r="I7" s="25" t="s">
        <v>144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F1" zoomScale="83" workbookViewId="0">
      <selection activeCell="K2" sqref="K2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164</v>
      </c>
      <c r="N1" s="25" t="s">
        <v>165</v>
      </c>
      <c r="O1" s="25" t="s">
        <v>166</v>
      </c>
      <c r="P1" s="25" t="s">
        <v>169</v>
      </c>
      <c r="Q1" s="25" t="s">
        <v>168</v>
      </c>
      <c r="R1" s="25" t="s">
        <v>167</v>
      </c>
      <c r="S1" s="25" t="s">
        <v>170</v>
      </c>
      <c r="T1" s="25" t="s">
        <v>171</v>
      </c>
      <c r="U1" s="25" t="s">
        <v>172</v>
      </c>
      <c r="V1" s="25" t="s">
        <v>173</v>
      </c>
      <c r="W1" s="25" t="s">
        <v>174</v>
      </c>
      <c r="X1" s="25" t="s">
        <v>175</v>
      </c>
    </row>
    <row r="2" spans="1:24" x14ac:dyDescent="0.45">
      <c r="A2" s="25" t="s">
        <v>268</v>
      </c>
      <c r="B2" s="25" t="s">
        <v>128</v>
      </c>
      <c r="C2" s="25">
        <v>15</v>
      </c>
      <c r="D2" s="25">
        <v>18</v>
      </c>
      <c r="E2" s="27">
        <v>45839</v>
      </c>
      <c r="F2" s="27">
        <v>46193</v>
      </c>
      <c r="G2" s="27">
        <v>46023</v>
      </c>
      <c r="H2" s="25" t="s">
        <v>142</v>
      </c>
      <c r="I2" s="25" t="s">
        <v>143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45">
      <c r="A3" s="25" t="s">
        <v>267</v>
      </c>
      <c r="B3" s="25" t="s">
        <v>146</v>
      </c>
      <c r="C3" s="25">
        <v>15</v>
      </c>
      <c r="D3" s="25">
        <v>18</v>
      </c>
      <c r="E3" s="27">
        <v>45839</v>
      </c>
      <c r="F3" s="27">
        <v>46193</v>
      </c>
      <c r="G3" s="27">
        <v>46023</v>
      </c>
      <c r="H3" s="25" t="s">
        <v>142</v>
      </c>
      <c r="I3" s="25" t="s">
        <v>143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AF37"/>
  <sheetViews>
    <sheetView topLeftCell="R4" workbookViewId="0">
      <selection activeCell="Z27" sqref="Z27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24.1328125" bestFit="1" customWidth="1"/>
    <col min="14" max="14" width="16.3984375" bestFit="1" customWidth="1"/>
    <col min="15" max="15" width="17.3984375" bestFit="1" customWidth="1"/>
    <col min="16" max="16" width="17.1328125" bestFit="1" customWidth="1"/>
    <col min="17" max="17" width="19.3984375" bestFit="1" customWidth="1"/>
    <col min="18" max="18" width="24.86328125" bestFit="1" customWidth="1"/>
    <col min="19" max="19" width="19.86328125" bestFit="1" customWidth="1"/>
  </cols>
  <sheetData>
    <row r="1" spans="1:32" x14ac:dyDescent="0.4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238</v>
      </c>
      <c r="N1" s="25" t="s">
        <v>239</v>
      </c>
      <c r="O1" s="25" t="s">
        <v>240</v>
      </c>
      <c r="P1" s="25" t="s">
        <v>241</v>
      </c>
      <c r="Q1" s="25" t="s">
        <v>242</v>
      </c>
      <c r="R1" s="25" t="s">
        <v>243</v>
      </c>
      <c r="S1" s="25" t="s">
        <v>244</v>
      </c>
      <c r="T1" s="25" t="s">
        <v>245</v>
      </c>
      <c r="U1" s="25" t="s">
        <v>246</v>
      </c>
      <c r="V1" s="25" t="s">
        <v>247</v>
      </c>
      <c r="W1" s="25" t="s">
        <v>249</v>
      </c>
      <c r="X1" s="25" t="s">
        <v>254</v>
      </c>
      <c r="Y1" s="25" t="s">
        <v>255</v>
      </c>
      <c r="Z1" s="25" t="s">
        <v>248</v>
      </c>
      <c r="AA1" s="25" t="s">
        <v>256</v>
      </c>
      <c r="AB1" s="25" t="s">
        <v>257</v>
      </c>
      <c r="AC1" s="25" t="s">
        <v>250</v>
      </c>
      <c r="AD1" s="25" t="s">
        <v>251</v>
      </c>
      <c r="AE1" s="25" t="s">
        <v>252</v>
      </c>
      <c r="AF1" s="25" t="s">
        <v>253</v>
      </c>
    </row>
    <row r="2" spans="1:32" x14ac:dyDescent="0.45">
      <c r="A2" s="25" t="s">
        <v>232</v>
      </c>
      <c r="B2" s="25" t="s">
        <v>128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142</v>
      </c>
      <c r="I2" s="25" t="s">
        <v>144</v>
      </c>
      <c r="J2" s="25"/>
      <c r="K2" s="25"/>
      <c r="L2" s="25">
        <v>10</v>
      </c>
      <c r="M2" s="25">
        <v>2</v>
      </c>
      <c r="N2" s="28">
        <f>'NK-LK Transf.'!BQ12</f>
        <v>5.3782870370370367E-4</v>
      </c>
      <c r="O2" s="28">
        <f>'NK-LK Transf.'!BQ14</f>
        <v>8.139814814814815E-4</v>
      </c>
      <c r="P2" s="28">
        <f>'NK-LK Transf.'!BQ13</f>
        <v>1.1029722222222222E-3</v>
      </c>
      <c r="Q2" s="28">
        <f>'NK-LK Transf.'!BQ15</f>
        <v>9.026180555555556E-4</v>
      </c>
      <c r="R2" s="28">
        <f>'NK-LK Transf.'!BQ17</f>
        <v>2.1334236111111111E-3</v>
      </c>
      <c r="S2" s="28">
        <f>'NK-LK Transf.'!BQ16</f>
        <v>1.9327962962962964E-3</v>
      </c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</row>
    <row r="3" spans="1:32" x14ac:dyDescent="0.45">
      <c r="A3" s="25" t="s">
        <v>232</v>
      </c>
      <c r="B3" s="25" t="s">
        <v>128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142</v>
      </c>
      <c r="I3" s="25" t="s">
        <v>144</v>
      </c>
      <c r="J3" s="25"/>
      <c r="K3" s="25"/>
      <c r="L3" s="25">
        <v>10</v>
      </c>
      <c r="M3" s="25">
        <v>2</v>
      </c>
      <c r="N3" s="28">
        <f>'NK-LK Transf.'!BP12</f>
        <v>5.5107638888888893E-4</v>
      </c>
      <c r="O3" s="28">
        <f>'NK-LK Transf.'!BP14</f>
        <v>8.3037037037037031E-4</v>
      </c>
      <c r="P3" s="28">
        <f>'NK-LK Transf.'!BP13</f>
        <v>1.1436712962962963E-3</v>
      </c>
      <c r="Q3" s="28">
        <f>'NK-LK Transf.'!BP15</f>
        <v>9.2269444444444452E-4</v>
      </c>
      <c r="R3" s="28">
        <f>'NK-LK Transf.'!BP17</f>
        <v>2.1813611111111113E-3</v>
      </c>
      <c r="S3" s="28">
        <f>'NK-LK Transf.'!BP16</f>
        <v>1.9621597222222223E-3</v>
      </c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</row>
    <row r="4" spans="1:32" x14ac:dyDescent="0.45">
      <c r="A4" s="25" t="s">
        <v>232</v>
      </c>
      <c r="B4" s="25" t="s">
        <v>128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142</v>
      </c>
      <c r="I4" s="25" t="s">
        <v>144</v>
      </c>
      <c r="J4" s="25"/>
      <c r="K4" s="25"/>
      <c r="L4" s="25">
        <v>10</v>
      </c>
      <c r="M4" s="25">
        <v>2</v>
      </c>
      <c r="N4" s="28">
        <f>'NK-LK Transf.'!BO12</f>
        <v>5.6332031250000002E-4</v>
      </c>
      <c r="O4" s="28">
        <f>'NK-LK Transf.'!BO14</f>
        <v>8.4539351851851854E-4</v>
      </c>
      <c r="P4" s="28">
        <f>'NK-LK Transf.'!BO13</f>
        <v>1.1842337962962965E-3</v>
      </c>
      <c r="Q4" s="28">
        <f>'NK-LK Transf.'!BO15</f>
        <v>9.4126851851851858E-4</v>
      </c>
      <c r="R4" s="28">
        <f>'NK-LK Transf.'!BO17</f>
        <v>2.2291620370370373E-3</v>
      </c>
      <c r="S4" s="28">
        <f>'NK-LK Transf.'!BO16</f>
        <v>1.9916597222222219E-3</v>
      </c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</row>
    <row r="5" spans="1:32" x14ac:dyDescent="0.45">
      <c r="A5" s="25" t="s">
        <v>225</v>
      </c>
      <c r="B5" s="25" t="s">
        <v>146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142</v>
      </c>
      <c r="I5" s="25" t="s">
        <v>144</v>
      </c>
      <c r="J5" s="25"/>
      <c r="K5" s="25"/>
      <c r="L5" s="25">
        <v>10</v>
      </c>
      <c r="M5" s="25">
        <v>2</v>
      </c>
      <c r="N5" s="28">
        <f>'NK-LK Transf.'!BE12</f>
        <v>4.4791666666666667E-4</v>
      </c>
      <c r="O5" s="28">
        <f>'NK-LK Transf.'!BE14</f>
        <v>7.0736111111111108E-4</v>
      </c>
      <c r="P5" s="28">
        <f>'NK-LK Transf.'!BE13</f>
        <v>9.6125000000000019E-4</v>
      </c>
      <c r="Q5" s="28">
        <f>'NK-LK Transf.'!BE15</f>
        <v>8.018055555555555E-4</v>
      </c>
      <c r="R5" s="28">
        <f>'NK-LK Transf.'!BE17</f>
        <v>1.9945833333333335E-3</v>
      </c>
      <c r="S5" s="28">
        <f>'NK-LK Transf.'!BE16</f>
        <v>1.8218055555555552E-3</v>
      </c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</row>
    <row r="6" spans="1:32" x14ac:dyDescent="0.45">
      <c r="A6" s="25" t="s">
        <v>225</v>
      </c>
      <c r="B6" s="25" t="s">
        <v>146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142</v>
      </c>
      <c r="I6" s="25" t="s">
        <v>144</v>
      </c>
      <c r="J6" s="25"/>
      <c r="K6" s="25"/>
      <c r="L6" s="25">
        <v>10</v>
      </c>
      <c r="M6" s="25">
        <v>2</v>
      </c>
      <c r="N6" s="28">
        <f>'NK-LK Transf.'!BD12</f>
        <v>4.6194444444444446E-4</v>
      </c>
      <c r="O6" s="28">
        <f>'NK-LK Transf.'!BD14</f>
        <v>7.2763888888888889E-4</v>
      </c>
      <c r="P6" s="28">
        <f>'NK-LK Transf.'!BD13</f>
        <v>1E-3</v>
      </c>
      <c r="Q6" s="28">
        <f>'NK-LK Transf.'!BD15</f>
        <v>8.3263888888888895E-4</v>
      </c>
      <c r="R6" s="28">
        <f>'NK-LK Transf.'!BD17</f>
        <v>2.0587499999999998E-3</v>
      </c>
      <c r="S6" s="28">
        <f>'NK-LK Transf.'!BD16</f>
        <v>1.8773611111111109E-3</v>
      </c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</row>
    <row r="7" spans="1:32" x14ac:dyDescent="0.45">
      <c r="A7" s="25" t="s">
        <v>225</v>
      </c>
      <c r="B7" s="25" t="s">
        <v>146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142</v>
      </c>
      <c r="I7" s="25" t="s">
        <v>144</v>
      </c>
      <c r="J7" s="25"/>
      <c r="K7" s="25"/>
      <c r="L7" s="25">
        <v>10</v>
      </c>
      <c r="M7" s="25">
        <v>2</v>
      </c>
      <c r="N7" s="28">
        <f>'NK-LK Transf.'!BC12</f>
        <v>4.7138888888888881E-4</v>
      </c>
      <c r="O7" s="28">
        <f>'NK-LK Transf.'!BC14</f>
        <v>7.415277777777778E-4</v>
      </c>
      <c r="P7" s="28">
        <f>'NK-LK Transf.'!BC13</f>
        <v>1.0176388888888889E-3</v>
      </c>
      <c r="Q7" s="28">
        <f>'NK-LK Transf.'!BC15</f>
        <v>8.5375000000000002E-4</v>
      </c>
      <c r="R7" s="28">
        <f>'NK-LK Transf.'!BC17</f>
        <v>2.1025000000000002E-3</v>
      </c>
      <c r="S7" s="28">
        <f>'NK-LK Transf.'!BC16</f>
        <v>1.9152777777777779E-3</v>
      </c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</row>
    <row r="8" spans="1:32" x14ac:dyDescent="0.45">
      <c r="A8" s="25" t="s">
        <v>231</v>
      </c>
      <c r="B8" s="25" t="s">
        <v>128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142</v>
      </c>
      <c r="I8" s="25" t="s">
        <v>144</v>
      </c>
      <c r="J8" s="25"/>
      <c r="K8" s="25"/>
      <c r="L8" s="25">
        <v>10</v>
      </c>
      <c r="M8" s="25">
        <v>2</v>
      </c>
      <c r="N8" s="28">
        <f>'NK-LK Transf.'!BV12</f>
        <v>4.7436458333333331E-4</v>
      </c>
      <c r="O8" s="28">
        <f>'NK-LK Transf.'!BV14</f>
        <v>7.3382291666666669E-4</v>
      </c>
      <c r="P8" s="28">
        <f>'NK-LK Transf.'!BV13</f>
        <v>9.7080208333333328E-4</v>
      </c>
      <c r="Q8" s="28">
        <f>'NK-LK Transf.'!BV15</f>
        <v>8.0545833333333326E-4</v>
      </c>
      <c r="R8" s="28">
        <f>'NK-LK Transf.'!BV17</f>
        <v>1.9667916666666666E-3</v>
      </c>
      <c r="S8" s="28">
        <f>'NK-LK Transf.'!BV16</f>
        <v>1.8239270833333334E-3</v>
      </c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</row>
    <row r="9" spans="1:32" x14ac:dyDescent="0.45">
      <c r="A9" s="25" t="s">
        <v>231</v>
      </c>
      <c r="B9" s="25" t="s">
        <v>128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142</v>
      </c>
      <c r="I9" s="25" t="s">
        <v>144</v>
      </c>
      <c r="J9" s="25"/>
      <c r="K9" s="25"/>
      <c r="L9" s="25">
        <v>10</v>
      </c>
      <c r="M9" s="25">
        <v>2</v>
      </c>
      <c r="N9" s="28">
        <f>'NK-LK Transf.'!BU12</f>
        <v>4.9196875E-4</v>
      </c>
      <c r="O9" s="28">
        <f>'NK-LK Transf.'!BU14</f>
        <v>7.5576041666666662E-4</v>
      </c>
      <c r="P9" s="28">
        <f>'NK-LK Transf.'!BU13</f>
        <v>1.0057395833333333E-3</v>
      </c>
      <c r="Q9" s="28">
        <f>'NK-LK Transf.'!BU15</f>
        <v>8.3227083333333341E-4</v>
      </c>
      <c r="R9" s="28">
        <f>'NK-LK Transf.'!BU17</f>
        <v>2.0094479166666668E-3</v>
      </c>
      <c r="S9" s="28">
        <f>'NK-LK Transf.'!BU16</f>
        <v>1.8506041666666666E-3</v>
      </c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</row>
    <row r="10" spans="1:32" x14ac:dyDescent="0.45">
      <c r="A10" s="25" t="s">
        <v>231</v>
      </c>
      <c r="B10" s="25" t="s">
        <v>128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142</v>
      </c>
      <c r="I10" s="25" t="s">
        <v>144</v>
      </c>
      <c r="J10" s="25"/>
      <c r="K10" s="25"/>
      <c r="L10" s="25">
        <v>10</v>
      </c>
      <c r="M10" s="25">
        <v>2</v>
      </c>
      <c r="N10" s="28">
        <f>'NK-LK Transf.'!BT12</f>
        <v>5.1593750000000001E-4</v>
      </c>
      <c r="O10" s="28">
        <f>'NK-LK Transf.'!BT14</f>
        <v>7.8582291666666677E-4</v>
      </c>
      <c r="P10" s="28">
        <f>'NK-LK Transf.'!BT13</f>
        <v>1.0534062499999999E-3</v>
      </c>
      <c r="Q10" s="28">
        <f>'NK-LK Transf.'!BT15</f>
        <v>8.6883333333333322E-4</v>
      </c>
      <c r="R10" s="28">
        <f>'NK-LK Transf.'!BT17</f>
        <v>2.0678124999999998E-3</v>
      </c>
      <c r="S10" s="28">
        <f>'NK-LK Transf.'!BT16</f>
        <v>1.887166666666667E-3</v>
      </c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</row>
    <row r="11" spans="1:32" x14ac:dyDescent="0.45">
      <c r="A11" s="25" t="s">
        <v>230</v>
      </c>
      <c r="B11" s="25" t="s">
        <v>146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142</v>
      </c>
      <c r="I11" s="25" t="s">
        <v>144</v>
      </c>
      <c r="J11" s="25"/>
      <c r="K11" s="25"/>
      <c r="L11" s="25">
        <v>10</v>
      </c>
      <c r="M11" s="25">
        <v>2</v>
      </c>
      <c r="N11" s="28">
        <f>'NK-LK Transf.'!BJ12</f>
        <v>3.9324537037037041E-4</v>
      </c>
      <c r="O11" s="28">
        <f>'NK-LK Transf.'!BJ14</f>
        <v>6.2564814814814818E-4</v>
      </c>
      <c r="P11" s="28">
        <f>'NK-LK Transf.'!BJ13</f>
        <v>8.3428703703703703E-4</v>
      </c>
      <c r="Q11" s="28">
        <f>'NK-LK Transf.'!BJ15</f>
        <v>6.8807870370370366E-4</v>
      </c>
      <c r="R11" s="28">
        <f>'NK-LK Transf.'!BJ17</f>
        <v>1.7890046296296298E-3</v>
      </c>
      <c r="S11" s="28">
        <f>'NK-LK Transf.'!BJ16</f>
        <v>1.6026527777777777E-3</v>
      </c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</row>
    <row r="12" spans="1:32" x14ac:dyDescent="0.45">
      <c r="A12" s="25" t="s">
        <v>230</v>
      </c>
      <c r="B12" s="25" t="s">
        <v>146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142</v>
      </c>
      <c r="I12" s="25" t="s">
        <v>144</v>
      </c>
      <c r="J12" s="25"/>
      <c r="K12" s="25"/>
      <c r="L12" s="25">
        <v>10</v>
      </c>
      <c r="M12" s="25">
        <v>2</v>
      </c>
      <c r="N12" s="28">
        <f>'NK-LK Transf.'!BI12</f>
        <v>4.0693981481481478E-4</v>
      </c>
      <c r="O12" s="28">
        <f>'NK-LK Transf.'!BI14</f>
        <v>6.4565277777777776E-4</v>
      </c>
      <c r="P12" s="28">
        <f>'NK-LK Transf.'!BI13</f>
        <v>8.6691203703703691E-4</v>
      </c>
      <c r="Q12" s="28">
        <f>'NK-LK Transf.'!BI15</f>
        <v>7.1788425925925915E-4</v>
      </c>
      <c r="R12" s="28">
        <f>'NK-LK Transf.'!BI17</f>
        <v>1.845125E-3</v>
      </c>
      <c r="S12" s="28">
        <f>'NK-LK Transf.'!BI16</f>
        <v>1.6571620370370373E-3</v>
      </c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</row>
    <row r="13" spans="1:32" x14ac:dyDescent="0.45">
      <c r="A13" s="25" t="s">
        <v>230</v>
      </c>
      <c r="B13" s="25" t="s">
        <v>146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142</v>
      </c>
      <c r="I13" s="25" t="s">
        <v>144</v>
      </c>
      <c r="J13" s="25"/>
      <c r="K13" s="25"/>
      <c r="L13" s="25">
        <v>10</v>
      </c>
      <c r="M13" s="25">
        <v>2</v>
      </c>
      <c r="N13" s="28">
        <f>'NK-LK Transf.'!BH12</f>
        <v>4.1888888888888889E-4</v>
      </c>
      <c r="O13" s="28">
        <f>'NK-LK Transf.'!BH14</f>
        <v>6.6324074074074072E-4</v>
      </c>
      <c r="P13" s="28">
        <f>'NK-LK Transf.'!BH13</f>
        <v>8.9537500000000001E-4</v>
      </c>
      <c r="Q13" s="28">
        <f>'NK-LK Transf.'!BH15</f>
        <v>7.439305555555554E-4</v>
      </c>
      <c r="R13" s="28">
        <f>'NK-LK Transf.'!BH17</f>
        <v>1.8632500000000001E-3</v>
      </c>
      <c r="S13" s="28">
        <f>'NK-LK Transf.'!BH16</f>
        <v>1.7049583333333333E-3</v>
      </c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</row>
    <row r="14" spans="1:32" x14ac:dyDescent="0.45">
      <c r="A14" s="25" t="s">
        <v>214</v>
      </c>
      <c r="B14" s="25" t="s">
        <v>128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142</v>
      </c>
      <c r="I14" s="25" t="s">
        <v>144</v>
      </c>
      <c r="J14" s="25">
        <v>50</v>
      </c>
      <c r="K14" s="25"/>
      <c r="L14" s="25">
        <v>10</v>
      </c>
      <c r="M14" s="25">
        <v>1</v>
      </c>
      <c r="N14" s="28">
        <f>'NK-LK Transf.'!Q12</f>
        <v>4.5578703703703704E-4</v>
      </c>
      <c r="O14" s="28">
        <f>'NK-LK Transf.'!Q14</f>
        <v>6.8981481481481487E-4</v>
      </c>
      <c r="P14" s="28">
        <f>'NK-LK Transf.'!Q13</f>
        <v>9.3472222222222231E-4</v>
      </c>
      <c r="Q14" s="28">
        <f>'NK-LK Transf.'!Q15</f>
        <v>7.6493055555555559E-4</v>
      </c>
      <c r="R14" s="28">
        <f>'NK-LK Transf.'!Q17</f>
        <v>1.8079861111111111E-3</v>
      </c>
      <c r="S14" s="28">
        <f>'NK-LK Transf.'!Q16</f>
        <v>1.637962962962963E-3</v>
      </c>
      <c r="T14" s="106"/>
      <c r="U14" s="106"/>
      <c r="V14" s="106"/>
      <c r="W14" s="106"/>
      <c r="X14" s="106" t="s">
        <v>263</v>
      </c>
      <c r="Y14" s="106" t="s">
        <v>262</v>
      </c>
      <c r="Z14" s="106" t="s">
        <v>265</v>
      </c>
      <c r="AA14" s="106"/>
      <c r="AB14" s="106"/>
      <c r="AC14" s="106"/>
      <c r="AD14" s="106"/>
      <c r="AE14" s="106" t="s">
        <v>266</v>
      </c>
      <c r="AF14" s="106" t="s">
        <v>266</v>
      </c>
    </row>
    <row r="15" spans="1:32" x14ac:dyDescent="0.45">
      <c r="A15" s="25" t="s">
        <v>214</v>
      </c>
      <c r="B15" s="25" t="s">
        <v>128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142</v>
      </c>
      <c r="I15" s="25" t="s">
        <v>144</v>
      </c>
      <c r="J15" s="25">
        <v>50</v>
      </c>
      <c r="K15" s="25"/>
      <c r="L15" s="25">
        <v>10</v>
      </c>
      <c r="M15" s="25">
        <v>1</v>
      </c>
      <c r="N15" s="28">
        <f>'NK-LK Transf.'!P12</f>
        <v>4.6701388888888888E-4</v>
      </c>
      <c r="O15" s="28">
        <f>'NK-LK Transf.'!P14</f>
        <v>7.0370370370370367E-4</v>
      </c>
      <c r="P15" s="28">
        <f>'NK-LK Transf.'!P13</f>
        <v>9.6921296296296295E-4</v>
      </c>
      <c r="Q15" s="28">
        <f>'NK-LK Transf.'!P15</f>
        <v>7.8194444444444448E-4</v>
      </c>
      <c r="R15" s="28">
        <f>'NK-LK Transf.'!P17</f>
        <v>1.8486111111111112E-3</v>
      </c>
      <c r="S15" s="28">
        <f>'NK-LK Transf.'!P16</f>
        <v>1.6628472222222225E-3</v>
      </c>
      <c r="T15" s="106"/>
      <c r="U15" s="106" t="s">
        <v>261</v>
      </c>
      <c r="V15" s="106"/>
      <c r="W15" s="106"/>
      <c r="X15" s="106" t="s">
        <v>263</v>
      </c>
      <c r="Y15" s="106" t="s">
        <v>262</v>
      </c>
      <c r="Z15" s="106" t="s">
        <v>265</v>
      </c>
      <c r="AA15" s="106"/>
      <c r="AB15" s="106"/>
      <c r="AC15" s="106"/>
      <c r="AD15" s="106"/>
      <c r="AE15" s="106" t="s">
        <v>266</v>
      </c>
      <c r="AF15" s="106" t="s">
        <v>266</v>
      </c>
    </row>
    <row r="16" spans="1:32" x14ac:dyDescent="0.45">
      <c r="A16" s="25" t="s">
        <v>214</v>
      </c>
      <c r="B16" s="25" t="s">
        <v>128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142</v>
      </c>
      <c r="I16" s="25" t="s">
        <v>144</v>
      </c>
      <c r="J16" s="25">
        <v>50</v>
      </c>
      <c r="K16" s="25"/>
      <c r="L16" s="25">
        <v>10</v>
      </c>
      <c r="M16" s="25">
        <v>1</v>
      </c>
      <c r="N16" s="28">
        <f>'NK-LK Transf.'!O12</f>
        <v>4.7743055555555554E-4</v>
      </c>
      <c r="O16" s="28">
        <f>'NK-LK Transf.'!O14</f>
        <v>7.1643518518518519E-4</v>
      </c>
      <c r="P16" s="28">
        <f>'NK-LK Transf.'!O13</f>
        <v>1.0035879629629631E-3</v>
      </c>
      <c r="Q16" s="28">
        <f>'NK-LK Transf.'!O15</f>
        <v>7.9768518518518524E-4</v>
      </c>
      <c r="R16" s="28">
        <f>'NK-LK Transf.'!O17</f>
        <v>1.8891203703703704E-3</v>
      </c>
      <c r="S16" s="28">
        <f>'NK-LK Transf.'!O16</f>
        <v>1.6878472222222221E-3</v>
      </c>
      <c r="T16" s="106"/>
      <c r="U16" s="106" t="s">
        <v>261</v>
      </c>
      <c r="V16" s="106"/>
      <c r="W16" s="106"/>
      <c r="X16" s="106" t="s">
        <v>263</v>
      </c>
      <c r="Y16" s="106" t="s">
        <v>262</v>
      </c>
      <c r="Z16" s="106" t="s">
        <v>265</v>
      </c>
      <c r="AA16" s="106"/>
      <c r="AB16" s="106"/>
      <c r="AC16" s="106"/>
      <c r="AD16" s="106"/>
      <c r="AE16" s="106" t="s">
        <v>266</v>
      </c>
      <c r="AF16" s="106" t="s">
        <v>266</v>
      </c>
    </row>
    <row r="17" spans="1:32" x14ac:dyDescent="0.45">
      <c r="A17" s="25" t="s">
        <v>212</v>
      </c>
      <c r="B17" s="25" t="s">
        <v>146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142</v>
      </c>
      <c r="I17" s="25" t="s">
        <v>144</v>
      </c>
      <c r="J17" s="25">
        <v>50</v>
      </c>
      <c r="K17" s="25"/>
      <c r="L17" s="25">
        <v>10</v>
      </c>
      <c r="M17" s="25">
        <v>1</v>
      </c>
      <c r="N17" s="28">
        <f>'NK-LK Transf.'!E12</f>
        <v>3.7326388888888891E-4</v>
      </c>
      <c r="O17" s="28">
        <f>'NK-LK Transf.'!E14</f>
        <v>5.894675925925926E-4</v>
      </c>
      <c r="P17" s="28">
        <f>'NK-LK Transf.'!E13</f>
        <v>8.0104166666666681E-4</v>
      </c>
      <c r="Q17" s="28">
        <f>'NK-LK Transf.'!E15</f>
        <v>6.6817129629629626E-4</v>
      </c>
      <c r="R17" s="28">
        <f>'NK-LK Transf.'!E17</f>
        <v>1.662152777777778E-3</v>
      </c>
      <c r="S17" s="28">
        <f>'NK-LK Transf.'!E16</f>
        <v>1.5181712962962961E-3</v>
      </c>
      <c r="T17" s="106"/>
      <c r="U17" s="106"/>
      <c r="V17" s="106"/>
      <c r="W17" s="106"/>
      <c r="X17" s="106" t="s">
        <v>263</v>
      </c>
      <c r="Y17" s="106" t="s">
        <v>262</v>
      </c>
      <c r="Z17" s="106" t="s">
        <v>265</v>
      </c>
      <c r="AA17" s="106"/>
      <c r="AB17" s="106"/>
      <c r="AC17" s="106"/>
      <c r="AD17" s="106"/>
      <c r="AE17" s="106" t="s">
        <v>266</v>
      </c>
      <c r="AF17" s="106" t="s">
        <v>266</v>
      </c>
    </row>
    <row r="18" spans="1:32" x14ac:dyDescent="0.45">
      <c r="A18" s="25" t="s">
        <v>212</v>
      </c>
      <c r="B18" s="25" t="s">
        <v>146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142</v>
      </c>
      <c r="I18" s="25" t="s">
        <v>144</v>
      </c>
      <c r="J18" s="25">
        <v>50</v>
      </c>
      <c r="K18" s="25"/>
      <c r="L18" s="25">
        <v>10</v>
      </c>
      <c r="M18" s="25">
        <v>1</v>
      </c>
      <c r="N18" s="28">
        <f>'NK-LK Transf.'!D12</f>
        <v>3.8495370370370371E-4</v>
      </c>
      <c r="O18" s="28">
        <f>'NK-LK Transf.'!D14</f>
        <v>6.0636574074074076E-4</v>
      </c>
      <c r="P18" s="28">
        <f>'NK-LK Transf.'!D13</f>
        <v>8.3333333333333339E-4</v>
      </c>
      <c r="Q18" s="28">
        <f>'NK-LK Transf.'!D15</f>
        <v>6.9386574074074077E-4</v>
      </c>
      <c r="R18" s="28">
        <f>'NK-LK Transf.'!D17</f>
        <v>1.7156249999999999E-3</v>
      </c>
      <c r="S18" s="28">
        <f>'NK-LK Transf.'!D16</f>
        <v>1.5644675925925923E-3</v>
      </c>
      <c r="T18" s="106"/>
      <c r="U18" s="106" t="s">
        <v>261</v>
      </c>
      <c r="V18" s="106"/>
      <c r="W18" s="106"/>
      <c r="X18" s="106" t="s">
        <v>263</v>
      </c>
      <c r="Y18" s="106" t="s">
        <v>262</v>
      </c>
      <c r="Z18" s="106" t="s">
        <v>265</v>
      </c>
      <c r="AA18" s="106"/>
      <c r="AB18" s="106"/>
      <c r="AC18" s="106"/>
      <c r="AD18" s="106"/>
      <c r="AE18" s="106" t="s">
        <v>266</v>
      </c>
      <c r="AF18" s="106" t="s">
        <v>266</v>
      </c>
    </row>
    <row r="19" spans="1:32" x14ac:dyDescent="0.45">
      <c r="A19" s="25" t="s">
        <v>212</v>
      </c>
      <c r="B19" s="25" t="s">
        <v>146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142</v>
      </c>
      <c r="I19" s="25" t="s">
        <v>144</v>
      </c>
      <c r="J19" s="25">
        <v>50</v>
      </c>
      <c r="K19" s="25"/>
      <c r="L19" s="25">
        <v>10</v>
      </c>
      <c r="M19" s="25">
        <v>1</v>
      </c>
      <c r="N19" s="28">
        <f>'NK-LK Transf.'!C12</f>
        <v>3.9282407407407403E-4</v>
      </c>
      <c r="O19" s="28">
        <f>'NK-LK Transf.'!C14</f>
        <v>6.1793981481481487E-4</v>
      </c>
      <c r="P19" s="28">
        <f>'NK-LK Transf.'!C13</f>
        <v>8.4803240740740737E-4</v>
      </c>
      <c r="Q19" s="28">
        <f>'NK-LK Transf.'!C15</f>
        <v>7.1145833333333337E-4</v>
      </c>
      <c r="R19" s="28">
        <f>'NK-LK Transf.'!C17</f>
        <v>1.7520833333333334E-3</v>
      </c>
      <c r="S19" s="28">
        <f>'NK-LK Transf.'!C16</f>
        <v>1.5960648148148149E-3</v>
      </c>
      <c r="T19" s="106"/>
      <c r="U19" s="106" t="s">
        <v>261</v>
      </c>
      <c r="V19" s="106"/>
      <c r="W19" s="106"/>
      <c r="X19" s="106" t="s">
        <v>263</v>
      </c>
      <c r="Y19" s="106" t="s">
        <v>262</v>
      </c>
      <c r="Z19" s="106" t="s">
        <v>265</v>
      </c>
      <c r="AA19" s="106"/>
      <c r="AB19" s="106"/>
      <c r="AC19" s="106"/>
      <c r="AD19" s="106"/>
      <c r="AE19" s="106" t="s">
        <v>266</v>
      </c>
      <c r="AF19" s="106" t="s">
        <v>266</v>
      </c>
    </row>
    <row r="20" spans="1:32" x14ac:dyDescent="0.45">
      <c r="A20" s="25" t="s">
        <v>234</v>
      </c>
      <c r="B20" s="25" t="s">
        <v>128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142</v>
      </c>
      <c r="I20" s="25" t="s">
        <v>144</v>
      </c>
      <c r="J20" s="25">
        <v>50</v>
      </c>
      <c r="K20" s="25"/>
      <c r="L20" s="25">
        <v>10</v>
      </c>
      <c r="M20" s="25">
        <v>1</v>
      </c>
      <c r="N20" s="28">
        <f>'NK-LK Transf.'!V12</f>
        <v>4.054398148148148E-4</v>
      </c>
      <c r="O20" s="28">
        <f>'NK-LK Transf.'!V14</f>
        <v>6.2719907407407407E-4</v>
      </c>
      <c r="P20" s="28">
        <f>'NK-LK Transf.'!V13</f>
        <v>8.2974537037037034E-4</v>
      </c>
      <c r="Q20" s="28">
        <f>'NK-LK Transf.'!V15</f>
        <v>6.8842592592592588E-4</v>
      </c>
      <c r="R20" s="28">
        <f>'NK-LK Transf.'!V17</f>
        <v>1.6810185185185185E-3</v>
      </c>
      <c r="S20" s="28">
        <f>'NK-LK Transf.'!V16</f>
        <v>1.558912037037037E-3</v>
      </c>
      <c r="T20" s="106"/>
      <c r="U20" s="106"/>
      <c r="V20" s="106"/>
      <c r="W20" s="106"/>
      <c r="X20" s="106" t="s">
        <v>263</v>
      </c>
      <c r="Y20" s="106" t="s">
        <v>262</v>
      </c>
      <c r="Z20" s="106"/>
      <c r="AA20" s="106" t="s">
        <v>264</v>
      </c>
      <c r="AB20" s="106" t="s">
        <v>261</v>
      </c>
      <c r="AC20" s="106"/>
      <c r="AD20" s="106" t="s">
        <v>258</v>
      </c>
      <c r="AE20" s="106"/>
      <c r="AF20" s="106"/>
    </row>
    <row r="21" spans="1:32" x14ac:dyDescent="0.45">
      <c r="A21" s="25" t="s">
        <v>234</v>
      </c>
      <c r="B21" s="25" t="s">
        <v>128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142</v>
      </c>
      <c r="I21" s="25" t="s">
        <v>144</v>
      </c>
      <c r="J21" s="25">
        <v>50</v>
      </c>
      <c r="K21" s="25"/>
      <c r="L21" s="25">
        <v>10</v>
      </c>
      <c r="M21" s="25">
        <v>1</v>
      </c>
      <c r="N21" s="28">
        <f>'NK-LK Transf.'!U12</f>
        <v>4.2048611111111111E-4</v>
      </c>
      <c r="O21" s="28">
        <f>'NK-LK Transf.'!U14</f>
        <v>6.4594907407407407E-4</v>
      </c>
      <c r="P21" s="28">
        <f>'NK-LK Transf.'!U13</f>
        <v>8.5960648148148148E-4</v>
      </c>
      <c r="Q21" s="28">
        <f>'NK-LK Transf.'!U15</f>
        <v>7.1134259259259263E-4</v>
      </c>
      <c r="R21" s="28">
        <f>'NK-LK Transf.'!U17</f>
        <v>1.7174768518518518E-3</v>
      </c>
      <c r="S21" s="28">
        <f>'NK-LK Transf.'!U16</f>
        <v>1.5817129629629629E-3</v>
      </c>
      <c r="T21" s="106"/>
      <c r="U21" s="106"/>
      <c r="V21" s="106"/>
      <c r="W21" s="106"/>
      <c r="X21" s="106" t="s">
        <v>263</v>
      </c>
      <c r="Y21" s="106" t="s">
        <v>262</v>
      </c>
      <c r="Z21" s="106"/>
      <c r="AA21" s="106" t="s">
        <v>264</v>
      </c>
      <c r="AB21" s="106" t="s">
        <v>261</v>
      </c>
      <c r="AC21" s="106"/>
      <c r="AD21" s="106" t="s">
        <v>258</v>
      </c>
      <c r="AE21" s="106"/>
      <c r="AF21" s="106"/>
    </row>
    <row r="22" spans="1:32" x14ac:dyDescent="0.45">
      <c r="A22" s="25" t="s">
        <v>234</v>
      </c>
      <c r="B22" s="25" t="s">
        <v>128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142</v>
      </c>
      <c r="I22" s="25" t="s">
        <v>144</v>
      </c>
      <c r="J22" s="25">
        <v>50</v>
      </c>
      <c r="K22" s="25"/>
      <c r="L22" s="25">
        <v>10</v>
      </c>
      <c r="M22" s="25">
        <v>1</v>
      </c>
      <c r="N22" s="28">
        <f>'NK-LK Transf.'!T12</f>
        <v>4.4097222222222226E-4</v>
      </c>
      <c r="O22" s="28">
        <f>'NK-LK Transf.'!T14</f>
        <v>6.7164351851851857E-4</v>
      </c>
      <c r="P22" s="28">
        <f>'NK-LK Transf.'!T13</f>
        <v>9.0034722222222209E-4</v>
      </c>
      <c r="Q22" s="28">
        <f>'NK-LK Transf.'!T15</f>
        <v>7.4259259259259254E-4</v>
      </c>
      <c r="R22" s="28">
        <f>'NK-LK Transf.'!T17</f>
        <v>1.767361111111111E-3</v>
      </c>
      <c r="S22" s="28">
        <f>'NK-LK Transf.'!T16</f>
        <v>1.6129629629629632E-3</v>
      </c>
      <c r="T22" s="106"/>
      <c r="U22" s="106" t="s">
        <v>261</v>
      </c>
      <c r="V22" s="106"/>
      <c r="W22" s="106"/>
      <c r="X22" s="106" t="s">
        <v>261</v>
      </c>
      <c r="Y22" s="106" t="s">
        <v>260</v>
      </c>
      <c r="Z22" s="106"/>
      <c r="AA22" s="106" t="s">
        <v>264</v>
      </c>
      <c r="AB22" s="106" t="s">
        <v>265</v>
      </c>
      <c r="AC22" s="106"/>
      <c r="AD22" s="106"/>
      <c r="AE22" s="106" t="s">
        <v>265</v>
      </c>
      <c r="AF22" s="106" t="s">
        <v>265</v>
      </c>
    </row>
    <row r="23" spans="1:32" x14ac:dyDescent="0.45">
      <c r="A23" s="25" t="s">
        <v>234</v>
      </c>
      <c r="B23" s="25" t="s">
        <v>128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142</v>
      </c>
      <c r="I23" s="25" t="s">
        <v>144</v>
      </c>
      <c r="J23" s="25">
        <v>50</v>
      </c>
      <c r="K23" s="25"/>
      <c r="L23" s="25">
        <v>10</v>
      </c>
      <c r="M23" s="25">
        <v>1</v>
      </c>
      <c r="N23" s="28">
        <f>'NK-LK Transf.'!S12</f>
        <v>4.5138888888888887E-4</v>
      </c>
      <c r="O23" s="28">
        <f>'NK-LK Transf.'!S14</f>
        <v>6.8449074074074072E-4</v>
      </c>
      <c r="P23" s="28">
        <f>'NK-LK Transf.'!S13</f>
        <v>9.2094907407407403E-4</v>
      </c>
      <c r="Q23" s="28">
        <f>'NK-LK Transf.'!S15</f>
        <v>7.583333333333333E-4</v>
      </c>
      <c r="R23" s="28">
        <f>'NK-LK Transf.'!S17</f>
        <v>1.7916666666666669E-3</v>
      </c>
      <c r="S23" s="28">
        <f>'NK-LK Transf.'!S16</f>
        <v>1.6278935185185185E-3</v>
      </c>
      <c r="T23" s="106"/>
      <c r="U23" s="106" t="s">
        <v>261</v>
      </c>
      <c r="V23" s="106"/>
      <c r="W23" s="106"/>
      <c r="X23" s="106" t="s">
        <v>261</v>
      </c>
      <c r="Y23" s="106" t="s">
        <v>260</v>
      </c>
      <c r="Z23" s="106"/>
      <c r="AA23" s="106" t="s">
        <v>264</v>
      </c>
      <c r="AB23" s="106" t="s">
        <v>265</v>
      </c>
      <c r="AC23" s="106"/>
      <c r="AD23" s="106"/>
      <c r="AE23" s="106" t="s">
        <v>265</v>
      </c>
      <c r="AF23" s="106" t="s">
        <v>265</v>
      </c>
    </row>
    <row r="24" spans="1:32" x14ac:dyDescent="0.45">
      <c r="A24" s="25" t="s">
        <v>234</v>
      </c>
      <c r="B24" s="25" t="s">
        <v>128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142</v>
      </c>
      <c r="I24" s="25" t="s">
        <v>144</v>
      </c>
      <c r="J24" s="25">
        <v>50</v>
      </c>
      <c r="K24" s="25"/>
      <c r="L24" s="25">
        <v>10</v>
      </c>
      <c r="M24" s="25">
        <v>1</v>
      </c>
      <c r="N24" s="28">
        <f>'NK-LK Transf.'!R12</f>
        <v>4.586805555555556E-4</v>
      </c>
      <c r="O24" s="28">
        <f>'NK-LK Transf.'!R14</f>
        <v>6.9837962962962963E-4</v>
      </c>
      <c r="P24" s="28">
        <f>'NK-LK Transf.'!R13</f>
        <v>9.4340277777777782E-4</v>
      </c>
      <c r="Q24" s="28">
        <f>'NK-LK Transf.'!R15</f>
        <v>7.7534722222222219E-4</v>
      </c>
      <c r="R24" s="28">
        <f>'NK-LK Transf.'!R17</f>
        <v>1.8180555555555554E-3</v>
      </c>
      <c r="S24" s="28">
        <f>'NK-LK Transf.'!R16</f>
        <v>1.644212962962963E-3</v>
      </c>
      <c r="T24" s="106"/>
      <c r="U24" s="106"/>
      <c r="V24" s="106"/>
      <c r="W24" s="106"/>
      <c r="X24" s="106" t="s">
        <v>261</v>
      </c>
      <c r="Y24" s="106" t="s">
        <v>260</v>
      </c>
      <c r="Z24" s="106"/>
      <c r="AA24" s="106" t="s">
        <v>264</v>
      </c>
      <c r="AB24" s="106" t="s">
        <v>265</v>
      </c>
      <c r="AC24" s="106"/>
      <c r="AD24" s="106"/>
      <c r="AE24" s="106" t="s">
        <v>265</v>
      </c>
      <c r="AF24" s="106" t="s">
        <v>265</v>
      </c>
    </row>
    <row r="25" spans="1:32" x14ac:dyDescent="0.45">
      <c r="A25" s="25" t="s">
        <v>235</v>
      </c>
      <c r="B25" s="25" t="s">
        <v>146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142</v>
      </c>
      <c r="I25" s="25" t="s">
        <v>144</v>
      </c>
      <c r="J25" s="25">
        <v>50</v>
      </c>
      <c r="K25" s="25"/>
      <c r="L25" s="25">
        <v>10</v>
      </c>
      <c r="M25" s="25">
        <v>1</v>
      </c>
      <c r="N25" s="28">
        <f>'NK-LK Transf.'!J12</f>
        <v>3.3900462962962964E-4</v>
      </c>
      <c r="O25" s="28">
        <f>'NK-LK Transf.'!J14</f>
        <v>5.3935185185185184E-4</v>
      </c>
      <c r="P25" s="28">
        <f>'NK-LK Transf.'!J13</f>
        <v>7.1921296296296295E-4</v>
      </c>
      <c r="Q25" s="28">
        <f>'NK-LK Transf.'!J15</f>
        <v>5.9317129629629629E-4</v>
      </c>
      <c r="R25" s="28">
        <f>'NK-LK Transf.'!J17</f>
        <v>1.5422453703703705E-3</v>
      </c>
      <c r="S25" s="28">
        <f>'NK-LK Transf.'!J16</f>
        <v>1.3815972222222222E-3</v>
      </c>
      <c r="T25" s="106"/>
      <c r="U25" s="106"/>
      <c r="V25" s="106"/>
      <c r="W25" s="106"/>
      <c r="X25" s="106" t="s">
        <v>263</v>
      </c>
      <c r="Y25" s="106" t="s">
        <v>262</v>
      </c>
      <c r="Z25" s="106"/>
      <c r="AA25" s="106" t="s">
        <v>264</v>
      </c>
      <c r="AB25" s="106" t="s">
        <v>261</v>
      </c>
      <c r="AC25" s="106"/>
      <c r="AD25" s="106" t="s">
        <v>258</v>
      </c>
      <c r="AE25" s="106"/>
      <c r="AF25" s="106"/>
    </row>
    <row r="26" spans="1:32" x14ac:dyDescent="0.45">
      <c r="A26" s="25" t="s">
        <v>235</v>
      </c>
      <c r="B26" s="25" t="s">
        <v>146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142</v>
      </c>
      <c r="I26" s="25" t="s">
        <v>144</v>
      </c>
      <c r="J26" s="25">
        <v>50</v>
      </c>
      <c r="K26" s="25"/>
      <c r="L26" s="25">
        <v>10</v>
      </c>
      <c r="M26" s="25">
        <v>1</v>
      </c>
      <c r="N26" s="28">
        <f>'NK-LK Transf.'!I12</f>
        <v>3.5081018518518518E-4</v>
      </c>
      <c r="O26" s="28">
        <f>'NK-LK Transf.'!I14</f>
        <v>5.5659722222222222E-4</v>
      </c>
      <c r="P26" s="28">
        <f>'NK-LK Transf.'!I13</f>
        <v>7.4733796296296289E-4</v>
      </c>
      <c r="Q26" s="28">
        <f>'NK-LK Transf.'!I15</f>
        <v>6.1886574074074068E-4</v>
      </c>
      <c r="R26" s="28">
        <f>'NK-LK Transf.'!I17</f>
        <v>1.590625E-3</v>
      </c>
      <c r="S26" s="28">
        <f>'NK-LK Transf.'!I16</f>
        <v>1.4285879629629631E-3</v>
      </c>
      <c r="T26" s="106"/>
      <c r="U26" s="106"/>
      <c r="V26" s="106"/>
      <c r="W26" s="106"/>
      <c r="X26" s="106" t="s">
        <v>263</v>
      </c>
      <c r="Y26" s="106" t="s">
        <v>262</v>
      </c>
      <c r="Z26" s="106"/>
      <c r="AA26" s="106" t="s">
        <v>264</v>
      </c>
      <c r="AB26" s="106" t="s">
        <v>261</v>
      </c>
      <c r="AC26" s="106"/>
      <c r="AD26" s="106" t="s">
        <v>258</v>
      </c>
      <c r="AE26" s="106"/>
      <c r="AF26" s="106"/>
    </row>
    <row r="27" spans="1:32" x14ac:dyDescent="0.45">
      <c r="A27" s="25" t="s">
        <v>235</v>
      </c>
      <c r="B27" s="25" t="s">
        <v>146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142</v>
      </c>
      <c r="I27" s="25" t="s">
        <v>144</v>
      </c>
      <c r="J27" s="25">
        <v>50</v>
      </c>
      <c r="K27" s="25"/>
      <c r="L27" s="25">
        <v>10</v>
      </c>
      <c r="M27" s="25">
        <v>1</v>
      </c>
      <c r="N27" s="28">
        <f>'NK-LK Transf.'!H12</f>
        <v>3.6111111111111109E-4</v>
      </c>
      <c r="O27" s="28">
        <f>'NK-LK Transf.'!H14</f>
        <v>5.7175925925925927E-4</v>
      </c>
      <c r="P27" s="28">
        <f>'NK-LK Transf.'!H13</f>
        <v>7.7187499999999999E-4</v>
      </c>
      <c r="Q27" s="28">
        <f>'NK-LK Transf.'!H15</f>
        <v>6.4131944444444436E-4</v>
      </c>
      <c r="R27" s="28">
        <f>'NK-LK Transf.'!H17</f>
        <v>1.60625E-3</v>
      </c>
      <c r="S27" s="28">
        <f>'NK-LK Transf.'!H16</f>
        <v>1.4697916666666666E-3</v>
      </c>
      <c r="T27" s="106"/>
      <c r="U27" s="106" t="s">
        <v>261</v>
      </c>
      <c r="V27" s="106"/>
      <c r="W27" s="106"/>
      <c r="X27" s="106" t="s">
        <v>261</v>
      </c>
      <c r="Y27" s="106" t="s">
        <v>260</v>
      </c>
      <c r="Z27" s="106"/>
      <c r="AA27" s="106" t="s">
        <v>264</v>
      </c>
      <c r="AB27" s="106" t="s">
        <v>265</v>
      </c>
      <c r="AC27" s="106"/>
      <c r="AD27" s="106"/>
      <c r="AE27" s="106" t="s">
        <v>265</v>
      </c>
      <c r="AF27" s="106" t="s">
        <v>265</v>
      </c>
    </row>
    <row r="28" spans="1:32" x14ac:dyDescent="0.45">
      <c r="A28" s="25" t="s">
        <v>235</v>
      </c>
      <c r="B28" s="25" t="s">
        <v>146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142</v>
      </c>
      <c r="I28" s="25" t="s">
        <v>144</v>
      </c>
      <c r="J28" s="25">
        <v>50</v>
      </c>
      <c r="K28" s="25"/>
      <c r="L28" s="25">
        <v>10</v>
      </c>
      <c r="M28" s="25">
        <v>1</v>
      </c>
      <c r="N28" s="28">
        <f>'NK-LK Transf.'!G12</f>
        <v>3.6747685185185185E-4</v>
      </c>
      <c r="O28" s="28">
        <f>'NK-LK Transf.'!G14</f>
        <v>5.8101851851851858E-4</v>
      </c>
      <c r="P28" s="28">
        <f>'NK-LK Transf.'!G13</f>
        <v>7.8715277777777779E-4</v>
      </c>
      <c r="Q28" s="28">
        <f>'NK-LK Transf.'!G15</f>
        <v>6.5532407407407401E-4</v>
      </c>
      <c r="R28" s="28">
        <f>'NK-LK Transf.'!G17</f>
        <v>1.6241898148148146E-3</v>
      </c>
      <c r="S28" s="28">
        <f>'NK-LK Transf.'!G16</f>
        <v>1.4950231481481481E-3</v>
      </c>
      <c r="T28" s="106"/>
      <c r="U28" s="106" t="s">
        <v>261</v>
      </c>
      <c r="V28" s="106"/>
      <c r="W28" s="106"/>
      <c r="X28" s="106" t="s">
        <v>261</v>
      </c>
      <c r="Y28" s="106" t="s">
        <v>260</v>
      </c>
      <c r="Z28" s="106"/>
      <c r="AA28" s="106" t="s">
        <v>264</v>
      </c>
      <c r="AB28" s="106" t="s">
        <v>265</v>
      </c>
      <c r="AC28" s="106"/>
      <c r="AD28" s="106"/>
      <c r="AE28" s="106" t="s">
        <v>265</v>
      </c>
      <c r="AF28" s="106" t="s">
        <v>265</v>
      </c>
    </row>
    <row r="29" spans="1:32" x14ac:dyDescent="0.45">
      <c r="A29" s="25" t="s">
        <v>235</v>
      </c>
      <c r="B29" s="25" t="s">
        <v>146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142</v>
      </c>
      <c r="I29" s="25" t="s">
        <v>144</v>
      </c>
      <c r="J29" s="25">
        <v>50</v>
      </c>
      <c r="K29" s="25"/>
      <c r="L29" s="25">
        <v>10</v>
      </c>
      <c r="M29" s="25">
        <v>1</v>
      </c>
      <c r="N29" s="28">
        <f>'NK-LK Transf.'!F12</f>
        <v>3.7430555555555562E-4</v>
      </c>
      <c r="O29" s="28">
        <f>'NK-LK Transf.'!F14</f>
        <v>5.9097222222222222E-4</v>
      </c>
      <c r="P29" s="28">
        <f>'NK-LK Transf.'!F13</f>
        <v>8.0358796296296309E-4</v>
      </c>
      <c r="Q29" s="28">
        <f>'NK-LK Transf.'!F15</f>
        <v>6.7048611111111107E-4</v>
      </c>
      <c r="R29" s="28">
        <f>'NK-LK Transf.'!F17</f>
        <v>1.6435185185185185E-3</v>
      </c>
      <c r="S29" s="28">
        <f>'NK-LK Transf.'!F16</f>
        <v>1.522337962962963E-3</v>
      </c>
      <c r="T29" s="106"/>
      <c r="U29" s="106"/>
      <c r="V29" s="106"/>
      <c r="W29" s="106"/>
      <c r="X29" s="106" t="s">
        <v>261</v>
      </c>
      <c r="Y29" s="106" t="s">
        <v>260</v>
      </c>
      <c r="Z29" s="106"/>
      <c r="AA29" s="106" t="s">
        <v>264</v>
      </c>
      <c r="AB29" s="106" t="s">
        <v>265</v>
      </c>
      <c r="AC29" s="106"/>
      <c r="AD29" s="106"/>
      <c r="AE29" s="106" t="s">
        <v>265</v>
      </c>
      <c r="AF29" s="106" t="s">
        <v>265</v>
      </c>
    </row>
    <row r="30" spans="1:32" x14ac:dyDescent="0.45">
      <c r="A30" s="25" t="s">
        <v>236</v>
      </c>
      <c r="B30" s="25" t="s">
        <v>128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142</v>
      </c>
      <c r="I30" s="25" t="s">
        <v>144</v>
      </c>
      <c r="J30" s="25">
        <v>50</v>
      </c>
      <c r="K30" s="25"/>
      <c r="L30" s="25">
        <v>10</v>
      </c>
      <c r="M30" s="25">
        <v>1</v>
      </c>
      <c r="N30" s="28">
        <f>'NK-LK Transf.'!Z12</f>
        <v>4.0069444444444441E-4</v>
      </c>
      <c r="O30" s="28">
        <f>'NK-LK Transf.'!Z14</f>
        <v>6.2129629629629633E-4</v>
      </c>
      <c r="P30" s="28">
        <f>'NK-LK Transf.'!Z13</f>
        <v>8.2037037037037029E-4</v>
      </c>
      <c r="Q30" s="28">
        <f>'NK-LK Transf.'!Z15</f>
        <v>6.8125E-4</v>
      </c>
      <c r="R30" s="28">
        <f>'NK-LK Transf.'!Z17</f>
        <v>1.6695601851851852E-3</v>
      </c>
      <c r="S30" s="28">
        <f>'NK-LK Transf.'!Z16</f>
        <v>1.5517361111111109E-3</v>
      </c>
      <c r="T30" s="106"/>
      <c r="U30" s="106"/>
      <c r="V30" s="106"/>
      <c r="W30" s="106"/>
      <c r="X30" s="106" t="s">
        <v>261</v>
      </c>
      <c r="Y30" s="106" t="s">
        <v>260</v>
      </c>
      <c r="Z30" s="106"/>
      <c r="AA30" s="106" t="s">
        <v>260</v>
      </c>
      <c r="AB30" s="106"/>
      <c r="AC30" s="106" t="s">
        <v>258</v>
      </c>
      <c r="AD30" s="106" t="s">
        <v>259</v>
      </c>
      <c r="AE30" s="106"/>
      <c r="AF30" s="106"/>
    </row>
    <row r="31" spans="1:32" x14ac:dyDescent="0.45">
      <c r="A31" s="25" t="s">
        <v>236</v>
      </c>
      <c r="B31" s="25" t="s">
        <v>128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142</v>
      </c>
      <c r="I31" s="25" t="s">
        <v>144</v>
      </c>
      <c r="J31" s="25">
        <v>50</v>
      </c>
      <c r="K31" s="25"/>
      <c r="L31" s="25">
        <v>10</v>
      </c>
      <c r="M31" s="25">
        <v>1</v>
      </c>
      <c r="N31" s="28">
        <f>'NK-LK Transf.'!Y12</f>
        <v>4.0381944444444444E-4</v>
      </c>
      <c r="O31" s="28">
        <f>'NK-LK Transf.'!Y14</f>
        <v>6.2523148148148149E-4</v>
      </c>
      <c r="P31" s="28">
        <f>'NK-LK Transf.'!Y13</f>
        <v>8.2662037037037036E-4</v>
      </c>
      <c r="Q31" s="28">
        <f>'NK-LK Transf.'!Y15</f>
        <v>6.8611111111111108E-4</v>
      </c>
      <c r="R31" s="28">
        <f>'NK-LK Transf.'!Y17</f>
        <v>1.677199074074074E-3</v>
      </c>
      <c r="S31" s="28">
        <f>'NK-LK Transf.'!Y16</f>
        <v>1.5564814814814814E-3</v>
      </c>
      <c r="T31" s="106"/>
      <c r="U31" s="106"/>
      <c r="V31" s="106"/>
      <c r="W31" s="106"/>
      <c r="X31" s="106" t="s">
        <v>261</v>
      </c>
      <c r="Y31" s="106" t="s">
        <v>260</v>
      </c>
      <c r="Z31" s="106"/>
      <c r="AA31" s="106" t="s">
        <v>260</v>
      </c>
      <c r="AB31" s="106"/>
      <c r="AC31" s="106" t="s">
        <v>258</v>
      </c>
      <c r="AD31" s="106" t="s">
        <v>259</v>
      </c>
      <c r="AE31" s="106"/>
      <c r="AF31" s="106"/>
    </row>
    <row r="32" spans="1:32" x14ac:dyDescent="0.45">
      <c r="A32" s="25" t="s">
        <v>236</v>
      </c>
      <c r="B32" s="25" t="s">
        <v>128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142</v>
      </c>
      <c r="I32" s="25" t="s">
        <v>144</v>
      </c>
      <c r="J32" s="25">
        <v>50</v>
      </c>
      <c r="K32" s="25"/>
      <c r="L32" s="25">
        <v>10</v>
      </c>
      <c r="M32" s="25">
        <v>1</v>
      </c>
      <c r="N32" s="28">
        <f>'NK-LK Transf.'!X12</f>
        <v>4.1331018518518518E-4</v>
      </c>
      <c r="O32" s="28">
        <f>'NK-LK Transf.'!X14</f>
        <v>6.3703703703703698E-4</v>
      </c>
      <c r="P32" s="28">
        <f>'NK-LK Transf.'!X13</f>
        <v>8.4548611111111109E-4</v>
      </c>
      <c r="Q32" s="28">
        <f>'NK-LK Transf.'!X15</f>
        <v>7.0046296296296295E-4</v>
      </c>
      <c r="R32" s="28">
        <f>'NK-LK Transf.'!X17</f>
        <v>1.7002314814814816E-3</v>
      </c>
      <c r="S32" s="28">
        <f>'NK-LK Transf.'!X16</f>
        <v>1.570949074074074E-3</v>
      </c>
      <c r="T32" s="106"/>
      <c r="U32" s="106"/>
      <c r="V32" s="106"/>
      <c r="W32" s="106"/>
      <c r="X32" s="106" t="s">
        <v>261</v>
      </c>
      <c r="Y32" s="106" t="s">
        <v>260</v>
      </c>
      <c r="Z32" s="106"/>
      <c r="AA32" s="106" t="s">
        <v>260</v>
      </c>
      <c r="AB32" s="106"/>
      <c r="AC32" s="106" t="s">
        <v>258</v>
      </c>
      <c r="AD32" s="106" t="s">
        <v>259</v>
      </c>
      <c r="AE32" s="106"/>
      <c r="AF32" s="106"/>
    </row>
    <row r="33" spans="1:32" x14ac:dyDescent="0.45">
      <c r="A33" s="25" t="s">
        <v>236</v>
      </c>
      <c r="B33" s="25" t="s">
        <v>128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142</v>
      </c>
      <c r="I33" s="25" t="s">
        <v>144</v>
      </c>
      <c r="J33" s="25">
        <v>50</v>
      </c>
      <c r="K33" s="25"/>
      <c r="L33" s="25">
        <v>10</v>
      </c>
      <c r="M33" s="25">
        <v>1</v>
      </c>
      <c r="N33" s="28">
        <f>'NK-LK Transf.'!W12</f>
        <v>4.2118055555555555E-4</v>
      </c>
      <c r="O33" s="28">
        <f>'NK-LK Transf.'!W14</f>
        <v>6.4699074074074073E-4</v>
      </c>
      <c r="P33" s="28">
        <f>'NK-LK Transf.'!W13</f>
        <v>8.6111111111111121E-4</v>
      </c>
      <c r="Q33" s="28">
        <f>'NK-LK Transf.'!W15</f>
        <v>7.1250000000000003E-4</v>
      </c>
      <c r="R33" s="28">
        <f>'NK-LK Transf.'!W17</f>
        <v>1.7194444444444444E-3</v>
      </c>
      <c r="S33" s="28">
        <f>'NK-LK Transf.'!W16</f>
        <v>1.5829861111111112E-3</v>
      </c>
      <c r="T33" s="106"/>
      <c r="U33" s="106"/>
      <c r="V33" s="106"/>
      <c r="W33" s="106"/>
      <c r="X33" s="106" t="s">
        <v>261</v>
      </c>
      <c r="Y33" s="106" t="s">
        <v>260</v>
      </c>
      <c r="Z33" s="106"/>
      <c r="AA33" s="106" t="s">
        <v>260</v>
      </c>
      <c r="AB33" s="106"/>
      <c r="AC33" s="106" t="s">
        <v>258</v>
      </c>
      <c r="AD33" s="106" t="s">
        <v>259</v>
      </c>
      <c r="AE33" s="106"/>
      <c r="AF33" s="106"/>
    </row>
    <row r="34" spans="1:32" x14ac:dyDescent="0.45">
      <c r="A34" s="25" t="s">
        <v>237</v>
      </c>
      <c r="B34" s="25" t="s">
        <v>146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142</v>
      </c>
      <c r="I34" s="25" t="s">
        <v>144</v>
      </c>
      <c r="J34" s="25">
        <v>50</v>
      </c>
      <c r="K34" s="25"/>
      <c r="L34" s="25">
        <v>10</v>
      </c>
      <c r="M34" s="25">
        <v>1</v>
      </c>
      <c r="N34" s="28">
        <f>'NK-LK Transf.'!N12</f>
        <v>3.359953703703704E-4</v>
      </c>
      <c r="O34" s="28">
        <f>'NK-LK Transf.'!N14</f>
        <v>5.3506944444444446E-4</v>
      </c>
      <c r="P34" s="28">
        <f>'NK-LK Transf.'!N13</f>
        <v>7.1215277777777781E-4</v>
      </c>
      <c r="Q34" s="28">
        <f>'NK-LK Transf.'!N15</f>
        <v>5.8680555555555558E-4</v>
      </c>
      <c r="R34" s="28">
        <f>'NK-LK Transf.'!N17</f>
        <v>1.4912037037037038E-3</v>
      </c>
      <c r="S34" s="28">
        <f>'NK-LK Transf.'!N16</f>
        <v>1.3697916666666665E-3</v>
      </c>
      <c r="T34" s="106"/>
      <c r="U34" s="106"/>
      <c r="V34" s="106"/>
      <c r="W34" s="106"/>
      <c r="X34" s="106" t="s">
        <v>261</v>
      </c>
      <c r="Y34" s="106" t="s">
        <v>260</v>
      </c>
      <c r="Z34" s="106"/>
      <c r="AA34" s="106" t="s">
        <v>260</v>
      </c>
      <c r="AB34" s="106"/>
      <c r="AC34" s="106" t="s">
        <v>258</v>
      </c>
      <c r="AD34" s="106" t="s">
        <v>259</v>
      </c>
      <c r="AE34" s="106"/>
      <c r="AF34" s="106"/>
    </row>
    <row r="35" spans="1:32" x14ac:dyDescent="0.45">
      <c r="A35" s="25" t="s">
        <v>237</v>
      </c>
      <c r="B35" s="25" t="s">
        <v>146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142</v>
      </c>
      <c r="I35" s="25" t="s">
        <v>144</v>
      </c>
      <c r="J35" s="25">
        <v>50</v>
      </c>
      <c r="K35" s="25"/>
      <c r="L35" s="25">
        <v>10</v>
      </c>
      <c r="M35" s="25">
        <v>1</v>
      </c>
      <c r="N35" s="28">
        <f>'NK-LK Transf.'!M12</f>
        <v>3.3796296296296298E-4</v>
      </c>
      <c r="O35" s="28">
        <f>'NK-LK Transf.'!M14</f>
        <v>5.3796296296296296E-4</v>
      </c>
      <c r="P35" s="28">
        <f>'NK-LK Transf.'!M13</f>
        <v>7.1678240740740741E-4</v>
      </c>
      <c r="Q35" s="28">
        <f>'NK-LK Transf.'!M15</f>
        <v>5.9108796296296296E-4</v>
      </c>
      <c r="R35" s="28">
        <f>'NK-LK Transf.'!M17</f>
        <v>1.5002314814814815E-3</v>
      </c>
      <c r="S35" s="28">
        <f>'NK-LK Transf.'!M16</f>
        <v>1.377662037037037E-3</v>
      </c>
      <c r="T35" s="106"/>
      <c r="U35" s="106"/>
      <c r="V35" s="106"/>
      <c r="W35" s="106"/>
      <c r="X35" s="106" t="s">
        <v>261</v>
      </c>
      <c r="Y35" s="106" t="s">
        <v>260</v>
      </c>
      <c r="Z35" s="106"/>
      <c r="AA35" s="106" t="s">
        <v>260</v>
      </c>
      <c r="AB35" s="106"/>
      <c r="AC35" s="106" t="s">
        <v>258</v>
      </c>
      <c r="AD35" s="106" t="s">
        <v>259</v>
      </c>
      <c r="AE35" s="106"/>
      <c r="AF35" s="106"/>
    </row>
    <row r="36" spans="1:32" x14ac:dyDescent="0.45">
      <c r="A36" s="25" t="s">
        <v>237</v>
      </c>
      <c r="B36" s="25" t="s">
        <v>146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142</v>
      </c>
      <c r="I36" s="25" t="s">
        <v>144</v>
      </c>
      <c r="J36" s="25">
        <v>50</v>
      </c>
      <c r="K36" s="25"/>
      <c r="L36" s="25">
        <v>10</v>
      </c>
      <c r="M36" s="25">
        <v>1</v>
      </c>
      <c r="N36" s="28">
        <f>'NK-LK Transf.'!L12</f>
        <v>3.4386574074074077E-4</v>
      </c>
      <c r="O36" s="28">
        <f>'NK-LK Transf.'!L14</f>
        <v>5.4652777777777772E-4</v>
      </c>
      <c r="P36" s="28">
        <f>'NK-LK Transf.'!L13</f>
        <v>7.309027777777778E-4</v>
      </c>
      <c r="Q36" s="28">
        <f>'NK-LK Transf.'!L15</f>
        <v>6.0393518518518522E-4</v>
      </c>
      <c r="R36" s="28">
        <f>'NK-LK Transf.'!L17</f>
        <v>1.5273148148148149E-3</v>
      </c>
      <c r="S36" s="28">
        <f>'NK-LK Transf.'!L16</f>
        <v>1.4011574074074074E-3</v>
      </c>
      <c r="T36" s="106"/>
      <c r="U36" s="106"/>
      <c r="V36" s="106"/>
      <c r="W36" s="106"/>
      <c r="X36" s="106" t="s">
        <v>261</v>
      </c>
      <c r="Y36" s="106" t="s">
        <v>260</v>
      </c>
      <c r="Z36" s="106"/>
      <c r="AA36" s="106" t="s">
        <v>260</v>
      </c>
      <c r="AB36" s="106"/>
      <c r="AC36" s="106" t="s">
        <v>258</v>
      </c>
      <c r="AD36" s="106" t="s">
        <v>259</v>
      </c>
      <c r="AE36" s="106"/>
      <c r="AF36" s="106"/>
    </row>
    <row r="37" spans="1:32" x14ac:dyDescent="0.45">
      <c r="A37" s="25" t="s">
        <v>237</v>
      </c>
      <c r="B37" s="25" t="s">
        <v>146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142</v>
      </c>
      <c r="I37" s="25" t="s">
        <v>144</v>
      </c>
      <c r="J37" s="25">
        <v>50</v>
      </c>
      <c r="K37" s="25"/>
      <c r="L37" s="25">
        <v>10</v>
      </c>
      <c r="M37" s="25">
        <v>1</v>
      </c>
      <c r="N37" s="28">
        <f>'NK-LK Transf.'!K12</f>
        <v>3.488425925925926E-4</v>
      </c>
      <c r="O37" s="28">
        <f>'NK-LK Transf.'!K14</f>
        <v>5.5381944444444445E-4</v>
      </c>
      <c r="P37" s="28">
        <f>'NK-LK Transf.'!K13</f>
        <v>7.4259259259259254E-4</v>
      </c>
      <c r="Q37" s="28">
        <f>'NK-LK Transf.'!K15</f>
        <v>6.145833333333333E-4</v>
      </c>
      <c r="R37" s="28">
        <f>'NK-LK Transf.'!K17</f>
        <v>1.5498842592592593E-3</v>
      </c>
      <c r="S37" s="28">
        <f>'NK-LK Transf.'!K16</f>
        <v>1.4207175925925926E-3</v>
      </c>
      <c r="T37" s="106"/>
      <c r="U37" s="106"/>
      <c r="V37" s="106"/>
      <c r="W37" s="106"/>
      <c r="X37" s="106" t="s">
        <v>261</v>
      </c>
      <c r="Y37" s="106" t="s">
        <v>260</v>
      </c>
      <c r="Z37" s="106"/>
      <c r="AA37" s="106" t="s">
        <v>260</v>
      </c>
      <c r="AB37" s="106"/>
      <c r="AC37" s="106" t="s">
        <v>258</v>
      </c>
      <c r="AD37" s="106" t="s">
        <v>259</v>
      </c>
      <c r="AE37" s="106"/>
      <c r="AF37" s="106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C1" zoomScaleNormal="100" workbookViewId="0">
      <selection activeCell="Z12" sqref="Z1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40" customFormat="1" ht="18" customHeight="1" x14ac:dyDescent="0.5">
      <c r="A1" s="126">
        <v>2025</v>
      </c>
      <c r="B1" s="45" t="str">
        <f ca="1">CONCATENATE("in: ",YEAR(TODAY())-1," für: ", YEAR(TODAY()))</f>
        <v>in: 2025 für: 2026</v>
      </c>
      <c r="C1" s="107" t="s">
        <v>212</v>
      </c>
      <c r="D1" s="107"/>
      <c r="E1" s="108"/>
      <c r="F1" s="111" t="s">
        <v>213</v>
      </c>
      <c r="G1" s="112"/>
      <c r="H1" s="112"/>
      <c r="I1" s="112"/>
      <c r="J1" s="113"/>
      <c r="K1" s="117" t="s">
        <v>217</v>
      </c>
      <c r="L1" s="118"/>
      <c r="M1" s="118"/>
      <c r="N1" s="119"/>
      <c r="O1" s="109" t="s">
        <v>214</v>
      </c>
      <c r="P1" s="109"/>
      <c r="Q1" s="110"/>
      <c r="R1" s="123" t="s">
        <v>215</v>
      </c>
      <c r="S1" s="124"/>
      <c r="T1" s="124"/>
      <c r="U1" s="124"/>
      <c r="V1" s="125"/>
      <c r="W1" s="120" t="s">
        <v>218</v>
      </c>
      <c r="X1" s="121"/>
      <c r="Y1" s="121"/>
      <c r="Z1" s="122"/>
      <c r="AA1"/>
      <c r="AB1" s="45" t="str">
        <f ca="1">CONCATENATE("in: ",YEAR(TODAY())-1," für: ", YEAR(TODAY()))</f>
        <v>in: 2025 für: 2026</v>
      </c>
      <c r="AC1" s="127" t="s">
        <v>219</v>
      </c>
      <c r="AD1" s="127"/>
      <c r="AE1" s="128"/>
      <c r="AF1" s="129" t="s">
        <v>220</v>
      </c>
      <c r="AG1" s="130"/>
      <c r="AH1" s="130"/>
      <c r="AI1" s="130"/>
      <c r="AJ1" s="131"/>
      <c r="AK1" s="132" t="s">
        <v>221</v>
      </c>
      <c r="AL1" s="133"/>
      <c r="AM1" s="133"/>
      <c r="AN1" s="134"/>
      <c r="AO1" s="135" t="s">
        <v>222</v>
      </c>
      <c r="AP1" s="136"/>
      <c r="AQ1" s="137"/>
      <c r="AR1" s="138" t="s">
        <v>223</v>
      </c>
      <c r="AS1" s="139"/>
      <c r="AT1" s="139"/>
      <c r="AU1" s="139"/>
      <c r="AV1" s="140"/>
      <c r="AW1" s="114" t="s">
        <v>224</v>
      </c>
      <c r="AX1" s="115"/>
      <c r="AY1" s="115"/>
      <c r="AZ1" s="116"/>
      <c r="BB1" s="45" t="str">
        <f ca="1">CONCATENATE("in: ",YEAR(TODAY())-1," für: ", YEAR(TODAY()))</f>
        <v>in: 2025 für: 2026</v>
      </c>
      <c r="BC1" s="107" t="s">
        <v>225</v>
      </c>
      <c r="BD1" s="107"/>
      <c r="BE1" s="108"/>
      <c r="BF1" s="111" t="s">
        <v>226</v>
      </c>
      <c r="BG1" s="112"/>
      <c r="BH1" s="112"/>
      <c r="BI1" s="112"/>
      <c r="BJ1" s="113"/>
      <c r="BK1" s="117" t="s">
        <v>227</v>
      </c>
      <c r="BL1" s="118"/>
      <c r="BM1" s="118"/>
      <c r="BN1" s="119"/>
      <c r="BO1" s="109" t="s">
        <v>232</v>
      </c>
      <c r="BP1" s="109"/>
      <c r="BQ1" s="110"/>
      <c r="BR1" s="123" t="s">
        <v>233</v>
      </c>
      <c r="BS1" s="124"/>
      <c r="BT1" s="124"/>
      <c r="BU1" s="124"/>
      <c r="BV1" s="125"/>
      <c r="BW1" s="120" t="s">
        <v>228</v>
      </c>
      <c r="BX1" s="121"/>
      <c r="BY1" s="121"/>
      <c r="BZ1" s="122"/>
    </row>
    <row r="2" spans="1:78" s="94" customFormat="1" ht="21.4" thickBot="1" x14ac:dyDescent="0.55000000000000004">
      <c r="A2" s="126"/>
      <c r="B2" s="46" t="s">
        <v>216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216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216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4.65" thickTop="1" x14ac:dyDescent="0.45">
      <c r="A3" s="126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45">
      <c r="A4" s="126"/>
      <c r="B4" s="47" t="s">
        <v>183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183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183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45">
      <c r="A5" s="126"/>
      <c r="B5" s="47" t="s">
        <v>184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184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184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45">
      <c r="A6" s="126"/>
      <c r="B6" s="47" t="s">
        <v>185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185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185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45">
      <c r="A7" s="126"/>
      <c r="B7" s="47" t="s">
        <v>186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186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186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4.65" thickBot="1" x14ac:dyDescent="0.5">
      <c r="A8" s="126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4.65" thickTop="1" x14ac:dyDescent="0.45"/>
    <row r="10" spans="1:78" ht="18" x14ac:dyDescent="0.45">
      <c r="A10" s="126">
        <v>2026</v>
      </c>
      <c r="B10" s="45" t="str">
        <f ca="1">CONCATENATE("in: ",YEAR(TODAY())," für: ", YEAR(TODAY())+1)</f>
        <v>in: 2026 für: 2027</v>
      </c>
      <c r="C10" s="107" t="s">
        <v>212</v>
      </c>
      <c r="D10" s="107"/>
      <c r="E10" s="108"/>
      <c r="F10" s="111" t="s">
        <v>213</v>
      </c>
      <c r="G10" s="112"/>
      <c r="H10" s="112"/>
      <c r="I10" s="112"/>
      <c r="J10" s="113"/>
      <c r="K10" s="117" t="s">
        <v>217</v>
      </c>
      <c r="L10" s="118"/>
      <c r="M10" s="118"/>
      <c r="N10" s="119"/>
      <c r="O10" s="109" t="s">
        <v>214</v>
      </c>
      <c r="P10" s="109"/>
      <c r="Q10" s="110"/>
      <c r="R10" s="123" t="s">
        <v>215</v>
      </c>
      <c r="S10" s="124"/>
      <c r="T10" s="124"/>
      <c r="U10" s="124"/>
      <c r="V10" s="125"/>
      <c r="W10" s="120" t="s">
        <v>218</v>
      </c>
      <c r="X10" s="121"/>
      <c r="Y10" s="121"/>
      <c r="Z10" s="122"/>
      <c r="AB10" s="45" t="str">
        <f ca="1">CONCATENATE("in: ",YEAR(TODAY())," für: ", YEAR(TODAY())+1)</f>
        <v>in: 2026 für: 2027</v>
      </c>
      <c r="AC10" s="127" t="s">
        <v>219</v>
      </c>
      <c r="AD10" s="127"/>
      <c r="AE10" s="128"/>
      <c r="AF10" s="129" t="s">
        <v>220</v>
      </c>
      <c r="AG10" s="130"/>
      <c r="AH10" s="130"/>
      <c r="AI10" s="130"/>
      <c r="AJ10" s="131"/>
      <c r="AK10" s="132" t="s">
        <v>221</v>
      </c>
      <c r="AL10" s="133"/>
      <c r="AM10" s="133"/>
      <c r="AN10" s="134"/>
      <c r="AO10" s="135" t="s">
        <v>222</v>
      </c>
      <c r="AP10" s="136"/>
      <c r="AQ10" s="137"/>
      <c r="AR10" s="138" t="s">
        <v>223</v>
      </c>
      <c r="AS10" s="139"/>
      <c r="AT10" s="139"/>
      <c r="AU10" s="139"/>
      <c r="AV10" s="140"/>
      <c r="AW10" s="114" t="s">
        <v>224</v>
      </c>
      <c r="AX10" s="115"/>
      <c r="AY10" s="115"/>
      <c r="AZ10" s="116"/>
      <c r="BB10" s="45" t="str">
        <f ca="1">CONCATENATE("in: ",YEAR(TODAY())," für: ", YEAR(TODAY())+1)</f>
        <v>in: 2026 für: 2027</v>
      </c>
      <c r="BC10" s="107" t="s">
        <v>225</v>
      </c>
      <c r="BD10" s="107"/>
      <c r="BE10" s="108"/>
      <c r="BF10" s="111" t="s">
        <v>226</v>
      </c>
      <c r="BG10" s="112"/>
      <c r="BH10" s="112"/>
      <c r="BI10" s="112"/>
      <c r="BJ10" s="113"/>
      <c r="BK10" s="117" t="s">
        <v>227</v>
      </c>
      <c r="BL10" s="118"/>
      <c r="BM10" s="118"/>
      <c r="BN10" s="119"/>
      <c r="BO10" s="109" t="s">
        <v>232</v>
      </c>
      <c r="BP10" s="109"/>
      <c r="BQ10" s="110"/>
      <c r="BR10" s="123" t="s">
        <v>233</v>
      </c>
      <c r="BS10" s="124"/>
      <c r="BT10" s="124"/>
      <c r="BU10" s="124"/>
      <c r="BV10" s="125"/>
      <c r="BW10" s="120" t="s">
        <v>228</v>
      </c>
      <c r="BX10" s="121"/>
      <c r="BY10" s="121"/>
      <c r="BZ10" s="122"/>
    </row>
    <row r="11" spans="1:78" ht="21.4" thickBot="1" x14ac:dyDescent="0.5">
      <c r="A11" s="126"/>
      <c r="B11" s="46" t="s">
        <v>216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216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216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4.65" thickTop="1" x14ac:dyDescent="0.45">
      <c r="A12" s="126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45">
      <c r="A13" s="126"/>
      <c r="B13" s="47" t="s">
        <v>183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183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183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45">
      <c r="A14" s="126"/>
      <c r="B14" s="47" t="s">
        <v>184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184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184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45">
      <c r="A15" s="126"/>
      <c r="B15" s="47" t="s">
        <v>185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185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185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45">
      <c r="A16" s="126"/>
      <c r="B16" s="47" t="s">
        <v>186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186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186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4.65" thickBot="1" x14ac:dyDescent="0.5">
      <c r="A17" s="126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4.65" thickTop="1" x14ac:dyDescent="0.45">
      <c r="C18" s="30"/>
      <c r="O18" s="30"/>
      <c r="T18" s="33"/>
      <c r="U18" s="33"/>
      <c r="W18" s="34"/>
      <c r="X18" s="30"/>
      <c r="AD18" s="30"/>
    </row>
    <row r="21" spans="1:78" x14ac:dyDescent="0.4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4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4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4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4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4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4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45">
      <c r="C30" s="29"/>
      <c r="D30" s="32"/>
      <c r="E30" s="32"/>
      <c r="F30" s="32"/>
      <c r="G30" s="32"/>
      <c r="H30" s="32"/>
      <c r="P30" s="33"/>
    </row>
    <row r="31" spans="1:78" x14ac:dyDescent="0.45">
      <c r="C31" s="30"/>
      <c r="D31" s="31"/>
      <c r="E31" s="31"/>
      <c r="F31" s="31"/>
      <c r="G31" s="31"/>
      <c r="H31" s="31"/>
    </row>
    <row r="40" spans="3:8" x14ac:dyDescent="0.45">
      <c r="C40" s="30"/>
      <c r="D40" s="31"/>
      <c r="E40" s="31"/>
      <c r="F40" s="31"/>
      <c r="G40" s="31"/>
      <c r="H40" s="31"/>
    </row>
    <row r="41" spans="3:8" x14ac:dyDescent="0.45">
      <c r="C41" s="30"/>
      <c r="D41" s="31"/>
      <c r="E41" s="31"/>
      <c r="F41" s="31"/>
      <c r="G41" s="31"/>
      <c r="H41" s="31"/>
    </row>
    <row r="42" spans="3:8" x14ac:dyDescent="0.45">
      <c r="C42" s="30"/>
      <c r="D42" s="31"/>
      <c r="E42" s="31"/>
      <c r="F42" s="31"/>
      <c r="G42" s="31"/>
      <c r="H42" s="31"/>
    </row>
    <row r="43" spans="3:8" x14ac:dyDescent="0.45">
      <c r="C43" s="30"/>
      <c r="D43" s="31"/>
      <c r="E43" s="31"/>
      <c r="F43" s="31"/>
      <c r="G43" s="31"/>
      <c r="H43" s="31"/>
    </row>
    <row r="44" spans="3:8" x14ac:dyDescent="0.45">
      <c r="C44" s="30"/>
      <c r="D44" s="31"/>
      <c r="E44" s="31"/>
      <c r="F44" s="31"/>
      <c r="G44" s="31"/>
      <c r="H44" s="31"/>
    </row>
    <row r="45" spans="3:8" x14ac:dyDescent="0.45">
      <c r="C45" s="30"/>
      <c r="D45" s="31"/>
      <c r="E45" s="31"/>
      <c r="F45" s="31"/>
      <c r="G45" s="31"/>
      <c r="H45" s="31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3" priority="1" operator="equal">
      <formula>0</formula>
    </cfRule>
  </conditionalFormatting>
  <conditionalFormatting sqref="AC12:AZ17">
    <cfRule type="cellIs" dxfId="2" priority="2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6"/>
  <sheetViews>
    <sheetView workbookViewId="0">
      <selection activeCell="F13" sqref="F13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196</v>
      </c>
      <c r="G1" t="s">
        <v>193</v>
      </c>
      <c r="H1" t="s">
        <v>192</v>
      </c>
    </row>
    <row r="2" spans="1:8" x14ac:dyDescent="0.45">
      <c r="A2" s="36">
        <v>46124</v>
      </c>
      <c r="C2" s="37">
        <v>0.41666666666666669</v>
      </c>
      <c r="D2" s="37">
        <v>0.5</v>
      </c>
      <c r="E2" s="38" t="s">
        <v>194</v>
      </c>
      <c r="F2" s="38" t="s">
        <v>197</v>
      </c>
      <c r="G2" t="s">
        <v>195</v>
      </c>
      <c r="H2" t="s">
        <v>277</v>
      </c>
    </row>
    <row r="3" spans="1:8" x14ac:dyDescent="0.45">
      <c r="A3" s="36">
        <v>46124</v>
      </c>
      <c r="C3" s="37">
        <v>0.51041666666666663</v>
      </c>
      <c r="D3" s="37">
        <v>0.6875</v>
      </c>
      <c r="E3" s="38" t="s">
        <v>198</v>
      </c>
      <c r="F3" s="38" t="s">
        <v>279</v>
      </c>
      <c r="G3" t="s">
        <v>195</v>
      </c>
      <c r="H3" t="s">
        <v>276</v>
      </c>
    </row>
    <row r="4" spans="1:8" x14ac:dyDescent="0.45">
      <c r="A4" s="36">
        <v>46186</v>
      </c>
      <c r="C4" s="37">
        <v>0.41666666666666669</v>
      </c>
      <c r="D4" s="37">
        <v>0.76041666666666663</v>
      </c>
      <c r="E4" s="38" t="s">
        <v>198</v>
      </c>
      <c r="F4" s="38" t="s">
        <v>199</v>
      </c>
      <c r="G4" t="s">
        <v>200</v>
      </c>
      <c r="H4" t="s">
        <v>276</v>
      </c>
    </row>
    <row r="5" spans="1:8" x14ac:dyDescent="0.45">
      <c r="A5" s="36">
        <v>46187</v>
      </c>
      <c r="C5" s="37">
        <v>0.5625</v>
      </c>
      <c r="D5" s="37">
        <v>0.64583333333333337</v>
      </c>
      <c r="E5" s="38" t="s">
        <v>194</v>
      </c>
      <c r="F5" s="38" t="s">
        <v>201</v>
      </c>
      <c r="G5" t="s">
        <v>195</v>
      </c>
      <c r="H5" t="s">
        <v>277</v>
      </c>
    </row>
    <row r="6" spans="1:8" x14ac:dyDescent="0.4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202</v>
      </c>
      <c r="F6" s="38" t="s">
        <v>203</v>
      </c>
      <c r="G6" t="s">
        <v>204</v>
      </c>
      <c r="H6" t="s">
        <v>276</v>
      </c>
    </row>
    <row r="7" spans="1:8" x14ac:dyDescent="0.45">
      <c r="A7" s="36">
        <v>46201</v>
      </c>
      <c r="C7" s="37">
        <v>0.41666666666666669</v>
      </c>
      <c r="D7" s="37">
        <v>0.75</v>
      </c>
      <c r="E7" s="38" t="s">
        <v>205</v>
      </c>
      <c r="F7" s="38" t="s">
        <v>229</v>
      </c>
      <c r="G7" t="s">
        <v>206</v>
      </c>
      <c r="H7" t="s">
        <v>278</v>
      </c>
    </row>
    <row r="8" spans="1:8" x14ac:dyDescent="0.45">
      <c r="A8" s="36">
        <v>46215</v>
      </c>
      <c r="C8" s="37"/>
      <c r="D8" s="37"/>
      <c r="E8" s="38" t="s">
        <v>194</v>
      </c>
      <c r="F8" s="38" t="s">
        <v>280</v>
      </c>
      <c r="G8" t="s">
        <v>195</v>
      </c>
      <c r="H8" t="s">
        <v>277</v>
      </c>
    </row>
    <row r="9" spans="1:8" x14ac:dyDescent="0.45">
      <c r="A9" s="36">
        <v>46228</v>
      </c>
      <c r="C9" s="37">
        <v>0</v>
      </c>
      <c r="D9" s="37">
        <v>0.99930555555555556</v>
      </c>
      <c r="E9" s="38" t="s">
        <v>207</v>
      </c>
      <c r="F9" s="38" t="s">
        <v>208</v>
      </c>
      <c r="G9" t="s">
        <v>209</v>
      </c>
      <c r="H9" t="s">
        <v>210</v>
      </c>
    </row>
    <row r="10" spans="1:8" x14ac:dyDescent="0.45">
      <c r="A10" s="36">
        <v>46285</v>
      </c>
      <c r="C10" s="37"/>
      <c r="D10" s="37"/>
      <c r="E10" s="38" t="s">
        <v>194</v>
      </c>
      <c r="F10" s="38" t="s">
        <v>281</v>
      </c>
      <c r="G10" t="s">
        <v>195</v>
      </c>
      <c r="H10" t="s">
        <v>277</v>
      </c>
    </row>
    <row r="11" spans="1:8" x14ac:dyDescent="0.45">
      <c r="A11" s="36">
        <v>46320</v>
      </c>
      <c r="C11" s="37"/>
      <c r="D11" s="37"/>
      <c r="E11" s="38" t="s">
        <v>194</v>
      </c>
      <c r="F11" s="38" t="s">
        <v>281</v>
      </c>
      <c r="G11" t="s">
        <v>195</v>
      </c>
      <c r="H11" t="s">
        <v>277</v>
      </c>
    </row>
    <row r="12" spans="1:8" x14ac:dyDescent="0.45">
      <c r="A12" s="36">
        <v>46320</v>
      </c>
      <c r="C12" s="37"/>
      <c r="D12" s="37"/>
      <c r="E12" s="38" t="s">
        <v>198</v>
      </c>
      <c r="F12" s="38" t="s">
        <v>281</v>
      </c>
      <c r="G12" t="s">
        <v>195</v>
      </c>
      <c r="H12" t="s">
        <v>276</v>
      </c>
    </row>
    <row r="13" spans="1:8" x14ac:dyDescent="0.45">
      <c r="A13" s="36">
        <v>46341</v>
      </c>
      <c r="C13" s="37"/>
      <c r="D13" s="37"/>
      <c r="E13" s="38" t="s">
        <v>194</v>
      </c>
      <c r="F13" s="38" t="s">
        <v>281</v>
      </c>
      <c r="G13" t="s">
        <v>195</v>
      </c>
      <c r="H13" t="s">
        <v>277</v>
      </c>
    </row>
    <row r="14" spans="1:8" x14ac:dyDescent="0.45">
      <c r="A14" s="36">
        <v>46341</v>
      </c>
      <c r="C14" s="37"/>
      <c r="D14" s="37"/>
      <c r="E14" s="38" t="s">
        <v>198</v>
      </c>
      <c r="F14" s="38" t="s">
        <v>281</v>
      </c>
      <c r="G14" t="s">
        <v>195</v>
      </c>
      <c r="H14" t="s">
        <v>276</v>
      </c>
    </row>
    <row r="15" spans="1:8" x14ac:dyDescent="0.45">
      <c r="A15" s="36">
        <v>46376</v>
      </c>
      <c r="C15" s="37"/>
      <c r="D15" s="37"/>
      <c r="E15" s="38" t="s">
        <v>194</v>
      </c>
      <c r="F15" s="38" t="s">
        <v>281</v>
      </c>
      <c r="G15" t="s">
        <v>195</v>
      </c>
      <c r="H15" t="s">
        <v>277</v>
      </c>
    </row>
    <row r="16" spans="1:8" x14ac:dyDescent="0.45">
      <c r="A16" s="36">
        <v>46376</v>
      </c>
      <c r="C16" s="37"/>
      <c r="D16" s="37"/>
      <c r="E16" s="38" t="s">
        <v>198</v>
      </c>
      <c r="F16" s="38" t="s">
        <v>281</v>
      </c>
      <c r="G16" t="s">
        <v>195</v>
      </c>
      <c r="H16" t="s">
        <v>276</v>
      </c>
    </row>
  </sheetData>
  <conditionalFormatting sqref="A2:H16">
    <cfRule type="expression" dxfId="1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Natio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2026-04-23T18:42:49Z</dcterms:modified>
</cp:coreProperties>
</file>