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B9DB0669-4FB4-4BAB-93C2-8FE76442A827}" xr6:coauthVersionLast="47" xr6:coauthVersionMax="47" xr10:uidLastSave="{00000000-0000-0000-0000-000000000000}"/>
  <bookViews>
    <workbookView xWindow="-98" yWindow="-98" windowWidth="21795" windowHeight="12975" tabRatio="687" activeTab="2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family val="2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family val="2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<sst xmlns="http://schemas.openxmlformats.org/spreadsheetml/2006/main" count="903" uniqueCount="280">
  <si>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</si>
  <si>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</si>
  <si>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</si>
  <si>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</si>
  <si>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</si>
  <si>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</si>
  <si>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</si>
  <si>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</si>
  <si>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</si>
  <si>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</si>
  <si>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</si>
  <si>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</si>
  <si>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</si>
  <si>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</si>
  <si>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</si>
  <si>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</si>
  <si>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</si>
  <si>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</si>
  <si>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</si>
  <si>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</si>
  <si>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</si>
  <si>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</si>
  <si>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</si>
  <si>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</si>
  <si>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</si>
  <si>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</si>
  <si>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</si>
  <si>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</si>
  <si>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</si>
  <si>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</si>
  <si>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</si>
  <si>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</si>
  <si>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</si>
  <si>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</si>
  <si>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</si>
  <si>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</si>
  <si>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</si>
  <si>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</si>
  <si>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</si>
  <si>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</si>
  <si>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</si>
  <si>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</si>
  <si>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</si>
  <si>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</si>
  <si>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</si>
  <si>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</si>
  <si>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</si>
  <si>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</si>
  <si>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</si>
  <si>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</si>
  <si>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</si>
  <si>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</si>
  <si>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</si>
  <si>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</si>
  <si>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</si>
  <si>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</si>
  <si>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</si>
  <si>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</si>
  <si>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</si>
  <si>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</si>
  <si>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</si>
  <si>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</si>
  <si>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</si>
  <si>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</si>
  <si>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</si>
  <si>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</si>
  <si>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</si>
  <si>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</si>
  <si>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</si>
  <si>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</si>
  <si>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</si>
  <si>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</si>
  <si>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</si>
  <si>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</si>
  <si>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</si>
  <si>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</si>
  <si>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</si>
  <si>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</si>
  <si>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</si>
  <si>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</si>
  <si>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</si>
  <si>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</si>
  <si>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</si>
  <si>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</si>
  <si>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</si>
  <si>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</si>
  <si>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</si>
  <si>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</si>
  <si>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</si>
  <si>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</si>
  <si>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</si>
  <si>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</si>
  <si>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</si>
  <si>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</si>
  <si>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</si>
  <si>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</si>
  <si>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</si>
  <si>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</si>
  <si>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</si>
  <si>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</si>
  <si>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</si>
  <si>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</si>
  <si>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</si>
  <si>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</si>
  <si>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</si>
  <si>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</si>
  <si>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</si>
  <si>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</si>
  <si>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</si>
  <si>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</si>
  <si>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</si>
  <si>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</si>
  <si>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</si>
  <si>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</si>
  <si>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</si>
  <si>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</si>
  <si>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</si>
  <si>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</si>
  <si>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</si>
  <si>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</si>
  <si>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</si>
  <si>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</si>
  <si>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</si>
  <si>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</si>
  <si>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</si>
  <si>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</si>
  <si>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</si>
  <si>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</si>
  <si>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</si>
  <si>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</si>
  <si>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</si>
  <si>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</si>
  <si>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</si>
  <si>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</si>
  <si>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</si>
  <si>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</si>
  <si>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</si>
  <si>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</si>
  <si>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</si>
  <si>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</si>
  <si>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</si>
  <si>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</si>
  <si>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</si>
  <si>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</si>
  <si>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</si>
  <si>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</si>
  <si>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</si>
  <si>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</si>
  <si>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</si>
  <si>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</si>
  <si>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</si>
  <si>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</si>
  <si>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</si>
  <si>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</si>
  <si>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</si>
  <si>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</si>
  <si>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</si>
  <si>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</si>
  <si>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</si>
  <si>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</si>
  <si>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</si>
  <si>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</si>
  <si>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</si>
  <si>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</si>
  <si>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</si>
  <si>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</si>
  <si>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</si>
  <si>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</si>
  <si>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</si>
  <si>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</si>
  <si>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</si>
  <si>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</si>
  <si>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</si>
  <si>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</si>
  <si>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</si>
  <si>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</si>
  <si>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</si>
  <si>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</si>
  <si>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</si>
  <si>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</si>
  <si>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</si>
  <si>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</si>
  <si>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</si>
  <si>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</si>
  <si>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</si>
  <si>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</si>
  <si>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</si>
  <si>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</si>
  <si>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</si>
  <si>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</si>
  <si>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</si>
  <si>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</si>
  <si>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</si>
  <si>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</si>
  <si>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</si>
  <si>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</si>
  <si>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</si>
  <si>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</si>
  <si>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</si>
  <si>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</si>
  <si>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</si>
  <si>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</si>
  <si>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</si>
  <si>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</si>
  <si>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</si>
  <si>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</si>
  <si>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</si>
  <si>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</si>
  <si>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</si>
  <si>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</si>
  <si>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</si>
  <si>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</si>
  <si>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</si>
  <si>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</si>
  <si>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</si>
  <si>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</si>
  <si>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</si>
  <si>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</si>
  <si>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</si>
  <si>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</si>
  <si>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</si>
  <si>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</si>
  <si>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</si>
  <si>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</si>
  <si>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</si>
  <si>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</si>
  <si>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</si>
  <si>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</si>
  <si>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</si>
  <si>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</si>
  <si>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</si>
  <si>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</si>
  <si>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</si>
  <si>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</si>
  <si>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</si>
  <si>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</si>
  <si>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</si>
  <si>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</si>
  <si>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</si>
  <si>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</si>
  <si>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</si>
  <si>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</si>
  <si>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</si>
  <si>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</si>
  <si>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</si>
  <si>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</si>
  <si>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</si>
  <si>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</si>
  <si>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</si>
  <si>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</si>
  <si>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</si>
  <si>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</si>
  <si>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</si>
  <si>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</si>
  <si>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</si>
  <si>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</si>
  <si>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</si>
  <si>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</si>
  <si>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</si>
  <si>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</si>
  <si>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</si>
  <si>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</si>
  <si>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</si>
  <si>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</si>
  <si>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</si>
  <si>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</si>
  <si>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</si>
  <si>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</si>
  <si>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</si>
  <si>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</si>
  <si>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</si>
  <si>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</si>
  <si>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</si>
  <si>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LK2 / bzw. Junioren</t>
  </si>
  <si>
    <t>LK1 / bzw. AK Offen</t>
  </si>
  <si>
    <t>LK3 / bzw. U15</t>
  </si>
  <si>
    <t>50m Bahn, Vorbereitung Bodensee Pokal, (weitere Infromationen folgen)</t>
  </si>
  <si>
    <t>50m Bahn, (weitere Infromationen folgen)</t>
  </si>
  <si>
    <t>21.6.Jahr</t>
  </si>
  <si>
    <t>Riccione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</si>
</sst>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2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164" fontId="0" fillId="5" borderId="0" xfId="0" applyNumberFormat="1" applyFill="1"/>
    <xf numFmtId="164" fontId="0" fillId="5" borderId="0" xfId="0" applyNumberFormat="1" applyFill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61">
    <dxf>
      <font>
        <color theme="4"/>
      </font>
    </dxf>
    <dxf>
      <font>
        <color theme="6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48" headerRowBorderDxfId="247" tableBorderDxfId="246">
  <autoFilter ref="A4:AW31" xr:uid="{2C5E83EE-6B6F-478A-9C90-A846A1A76536}"/>
  <tableColumns count="49">
    <tableColumn id="1" xr3:uid="{7C0C4105-A61A-4B8D-9129-EDC4F18765AF}" name="WR-Open" dataDxfId="245">
      <calculatedColumnFormula>A4+1</calculatedColumnFormula>
    </tableColumn>
    <tableColumn id="2" xr3:uid="{516F5612-F85F-413F-9012-E235F415E34B}" name="50m Retten - offen - W" dataDxfId="244"/>
    <tableColumn id="3" xr3:uid="{BC9ACAC9-0D45-42FD-B596-D19FBE3A4D83}" name="100m Retten - offen - W" dataDxfId="243"/>
    <tableColumn id="4" xr3:uid="{CB6DBE59-EB65-43F0-93E7-0BDC3F82832B}" name="100m Kombi - offen - W" dataDxfId="242"/>
    <tableColumn id="5" xr3:uid="{AA603C60-6831-4C14-A8CD-0AA050DA7551}" name="100m Lifesaver - offen - W" dataDxfId="241"/>
    <tableColumn id="6" xr3:uid="{7920F147-7717-4582-940A-2610F7D310CA}" name="200m Superlifesaver - offen - W" dataDxfId="240"/>
    <tableColumn id="7" xr3:uid="{04E21F1D-AC8D-4A1B-9B43-59B8F7901673}" name="200m Hindernis - offen - W" dataDxfId="239"/>
    <tableColumn id="8" xr3:uid="{40E8A083-653A-48A8-9B37-0A2D850B7829}" name="50m Retten - offen - M" dataDxfId="238"/>
    <tableColumn id="9" xr3:uid="{863824A9-134F-4189-BB14-225AE224FC44}" name="100m Retten - offen - M" dataDxfId="237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36"/>
    <tableColumn id="14" xr3:uid="{FA907992-7FCE-4CAD-8CF2-F5BEBC9B3756}" name="50m Retten - 17/18 - W" dataDxfId="235"/>
    <tableColumn id="15" xr3:uid="{76B63DC0-CB67-48F4-9B5A-D22902F59334}" name="100m Retten - 17/18 - W" dataDxfId="234"/>
    <tableColumn id="16" xr3:uid="{614A2419-51B1-44C0-8469-ADBFB078B81A}" name="100m Kombi -17/18 - W" dataDxfId="233"/>
    <tableColumn id="17" xr3:uid="{2EC953EE-367D-4524-A25E-8DE3B8168E34}" name="100m Lifesaver - 17/18 - W" dataDxfId="232"/>
    <tableColumn id="18" xr3:uid="{25711867-9BD7-4197-9094-A21392411249}" name="200m Superlifesaver - 17/18 - W" dataDxfId="231"/>
    <tableColumn id="19" xr3:uid="{262DB142-CFB1-45C3-9332-7273CACD1B62}" name="200m Hindernis - 17/18 - W" dataDxfId="230"/>
    <tableColumn id="20" xr3:uid="{938BA45A-8244-4637-8A14-DF49CD91A945}" name="50m Retten - 17/18 - M" dataDxfId="229"/>
    <tableColumn id="21" xr3:uid="{737E28D8-900F-4A98-95FE-EE7B0AFDEE90}" name="100m Retten - 17/18 - M" dataDxfId="228"/>
    <tableColumn id="22" xr3:uid="{330BD3A8-061C-45E2-ADDB-40C2F346772F}" name="100m Kombi - 17/18 - M" dataDxfId="227"/>
    <tableColumn id="23" xr3:uid="{0CADDE90-A167-4E1D-8D33-8624E5E1A4E2}" name="100m Lifesaver - 17/18 - M" dataDxfId="226"/>
    <tableColumn id="24" xr3:uid="{FCF9F42C-1291-4985-9D37-B9DE2DAA5DCB}" name="200m Superlifesaver - 17/18 - M" dataDxfId="225"/>
    <tableColumn id="25" xr3:uid="{4E5397B2-F924-4F48-AE69-AF6D650AF88D}" name="200m Hindernis - 17/18 - M" dataDxfId="224"/>
    <tableColumn id="26" xr3:uid="{0A78315A-BFDC-43EE-A66F-48B301F66508}" name="50m Retten - 15/16 - W" dataDxfId="223"/>
    <tableColumn id="27" xr3:uid="{D3FCF8BD-6C76-450D-80C0-CC0519A79731}" name="100m Retten - 15/16 - W" dataDxfId="222"/>
    <tableColumn id="28" xr3:uid="{6BE7937E-D62D-47CD-95DE-1730304B0DF3}" name="100m Kombi - 15/16 - W" dataDxfId="221"/>
    <tableColumn id="29" xr3:uid="{098BA5BE-5AF6-4187-89B6-534498F24C51}" name="100m Lifesaver -  15/16 - W" dataDxfId="220"/>
    <tableColumn id="30" xr3:uid="{2A6822CF-143C-4BF7-A440-5777527BE512}" name="200m Superlifesaver -  15/16 - W" dataDxfId="219"/>
    <tableColumn id="31" xr3:uid="{541C7145-CDEA-4E4E-9E7A-A4F05BA6C3E5}" name="200m Hindernis -  15/16 - W" dataDxfId="218"/>
    <tableColumn id="32" xr3:uid="{342C4488-8C61-42E6-87A9-C75BD8EB7452}" name="50m Retten - 15/16 - M" dataDxfId="217"/>
    <tableColumn id="33" xr3:uid="{857B1D46-7D20-47F7-AB9B-732D50346E32}" name="100m Retten - 15/16 - M" dataDxfId="216"/>
    <tableColumn id="34" xr3:uid="{4C8A2EB4-804B-45F1-A768-9A6958957F8B}" name="100m Kombi -15/16 - M" dataDxfId="215"/>
    <tableColumn id="35" xr3:uid="{26C75B4F-21EC-4EB0-A9A9-54BC80140672}" name="100m Lifesaver - 15/16 - M" dataDxfId="214"/>
    <tableColumn id="36" xr3:uid="{DBBB2A23-1A06-429A-A5D1-A547EF5EC16F}" name="200m Superlifesaver - 15/16 - M" dataDxfId="213"/>
    <tableColumn id="37" xr3:uid="{84061231-CAE5-427A-87F5-6DDBA99F77D2}" name="200m Hindernis - 15/16 - M" dataDxfId="212"/>
    <tableColumn id="38" xr3:uid="{878CCA80-A742-4B3C-90C9-E93BB814201B}" name="50m Retten - 13/14 - W" dataDxfId="211"/>
    <tableColumn id="39" xr3:uid="{A1F57102-61CF-4784-8DE2-0B8F32D5D699}" name="50m Retten mit Flossen - 13/14 - W" dataDxfId="210"/>
    <tableColumn id="40" xr3:uid="{0F6BAF78-3D79-42A9-9FED-E6D0E335A920}" name="100m Hindernis - 13/14 - W" dataDxfId="209"/>
    <tableColumn id="41" xr3:uid="{EB748A68-E10D-4D76-B315-8FDB3AC33C8D}" name="50m Retten - 13/14 - M" dataDxfId="208"/>
    <tableColumn id="42" xr3:uid="{C7B04167-6430-40F0-9A0F-D0D0BE2F9C77}" name="50m Retten mit Flossen - 13/14 - M" dataDxfId="207"/>
    <tableColumn id="43" xr3:uid="{48704BB7-A853-445A-8CDC-8D8F86C2B66A}" name="100m Hindernis - 13/14 - M" dataDxfId="206"/>
    <tableColumn id="44" xr3:uid="{9605FE9A-F41C-4A5F-A59C-B7A9D45C460F}" name="50m Flossen - 12 - W" dataDxfId="205"/>
    <tableColumn id="45" xr3:uid="{4C9DBF61-35B1-4BC2-8272-526E0AFAAFFB}" name="50m komb. Schwimmen - 12 - W" dataDxfId="204"/>
    <tableColumn id="46" xr3:uid="{CF433C95-C272-48F9-98CD-7E3C8DBB6F2C}" name="50m Hindernis - 12 - W" dataDxfId="203"/>
    <tableColumn id="47" xr3:uid="{FADB7411-DB43-4B14-B9E8-D74CA1BA18B8}" name="50m Flossen - 12 - M" dataDxfId="202"/>
    <tableColumn id="48" xr3:uid="{02936F84-1D82-48AC-8D7C-6D2954D68A06}" name="50m komb. Schwimmen - 12 - M" dataDxfId="201"/>
    <tableColumn id="49" xr3:uid="{7FD9BD11-0597-4E07-8DA5-DB53384197F5}" name="50m Hindernis - 12 - M" dataDxfId="2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99" dataDxfId="197" headerRowBorderDxfId="198" tableBorderDxfId="196">
  <autoFilter ref="A4:M32" xr:uid="{4234D44E-A2BE-4790-B589-1A8CC19B714E}"/>
  <tableColumns count="13">
    <tableColumn id="1" xr3:uid="{848E691A-41B0-42DD-B122-FB6DF43CB3EF}" name="WR-Youth" dataDxfId="195"/>
    <tableColumn id="2" xr3:uid="{2FE43F18-485B-46A9-8946-FBC5FDAE5A8E}" name="50m Retten" dataDxfId="194"/>
    <tableColumn id="3" xr3:uid="{CA5C3ABF-02E6-442B-868B-95B293B231D3}" name="100m Retten" dataDxfId="193"/>
    <tableColumn id="4" xr3:uid="{7A6BBA52-2145-464D-8C04-B2CCFC1A90DC}" name="100m Kombi" dataDxfId="192"/>
    <tableColumn id="5" xr3:uid="{21F420C9-E788-49EE-88F6-E37963ED31CF}" name="100m Lifesaver" dataDxfId="191"/>
    <tableColumn id="6" xr3:uid="{CB87B7CD-8A9C-4775-A4D7-4D267F43FD1A}" name="200m Superlifesaver" dataDxfId="190"/>
    <tableColumn id="7" xr3:uid="{2DC7F290-B564-4851-85AE-D211DA701B32}" name="200m Hindernis" dataDxfId="189"/>
    <tableColumn id="8" xr3:uid="{8112783D-8796-4D6A-8414-AC675D745697}" name="50m Retten2" dataDxfId="188"/>
    <tableColumn id="9" xr3:uid="{4E818CD4-8725-495D-9D1D-1AFCED9181F5}" name="100m Retten2" dataDxfId="187"/>
    <tableColumn id="10" xr3:uid="{28C05A91-E302-40A9-B50A-ECF997F129FC}" name="100m Kombi2" dataDxfId="186"/>
    <tableColumn id="11" xr3:uid="{D56FB9F2-45BF-4EC9-A84C-8A5FB59F2F05}" name="100m Lifesaver2" dataDxfId="185"/>
    <tableColumn id="12" xr3:uid="{540169C0-2A40-4794-A872-F7DF8A887BF2}" name="200m Superlifesaver2" dataDxfId="184"/>
    <tableColumn id="13" xr3:uid="{D104CB67-B55A-4C81-87E5-0AC758DD22A4}" name="200m Hindernis2" dataDxfId="18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260" headerRowBorderDxfId="259" tableBorderDxfId="258">
  <autoFilter ref="A4:M32" xr:uid="{E2D2F97B-7645-4066-8AB3-F35CF6E035EB}"/>
  <tableColumns count="13">
    <tableColumn id="1" xr3:uid="{AE73402B-B27E-4B29-8DCF-30B7FC1855EF}" name="WR-Open" dataDxfId="257">
      <calculatedColumnFormula>A4+1</calculatedColumnFormula>
    </tableColumn>
    <tableColumn id="2" xr3:uid="{EA3EAC1F-184E-4A28-B3E3-08DE12F138EF}" name="50m Retten" dataDxfId="256"/>
    <tableColumn id="3" xr3:uid="{E0305A3F-6087-4F8C-8B64-153E1ACAA32E}" name="100m Retten" dataDxfId="255"/>
    <tableColumn id="4" xr3:uid="{F0B7AC37-315E-49AA-855C-7955D2B43A76}" name="100m Kombi" dataDxfId="254"/>
    <tableColumn id="5" xr3:uid="{B5E690AB-DB7D-4864-8916-89D2A68C4128}" name="100m Lifesaver" dataDxfId="253"/>
    <tableColumn id="6" xr3:uid="{D89BAF4D-36AE-4C73-9320-9C5736F02F8A}" name="200m Superlifesaver" dataDxfId="252"/>
    <tableColumn id="7" xr3:uid="{58AE7517-1A90-459F-A7D2-B95265D217E7}" name="200m Hindernis" dataDxfId="251"/>
    <tableColumn id="8" xr3:uid="{13A189FB-E897-4A1F-A001-525F61E9CFFF}" name="50m Retten2" dataDxfId="250"/>
    <tableColumn id="9" xr3:uid="{36418AC5-46B8-400F-BD2E-D329CF4F92CD}" name="100m Retten2" dataDxfId="249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82" dataDxfId="181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80"/>
    <tableColumn id="2" xr3:uid="{2F302F6C-F8AF-4FDE-AB08-6F30F9671015}" name="Geschlecht" dataDxfId="179"/>
    <tableColumn id="3" xr3:uid="{4D91FBF9-386D-43DD-90D0-B49823FDB629}" name="Mindest alter" dataDxfId="178"/>
    <tableColumn id="4" xr3:uid="{4126AAC6-AF2F-446C-B4EA-D86ACFD9FAC2}" name="Maximales Alter" dataDxfId="177"/>
    <tableColumn id="5" xr3:uid="{8A10890A-A299-4B09-AC72-0E9AE9238AF3}" name="Qualizeitraum anfang" dataDxfId="176"/>
    <tableColumn id="6" xr3:uid="{FBCD1C13-FC82-429B-8DE1-0C5A455FDAB8}" name="Qualizeitraum Ende" dataDxfId="175"/>
    <tableColumn id="7" xr3:uid="{1DCCAC9B-BC46-468E-A3CE-57576C2FF11D}" name="Letzter Wettkampf am" dataDxfId="174"/>
    <tableColumn id="8" xr3:uid="{9A6E47EE-ABD8-4A1E-87D3-9D286E4C124F}" name="Wertung" dataDxfId="173"/>
    <tableColumn id="9" xr3:uid="{09E848D2-ED17-49C7-9775-CBF17D20DFC0}" name="Landesverband" dataDxfId="172"/>
    <tableColumn id="10" xr3:uid="{70ABB713-23F6-4FCF-920E-3CB0CD451446}" name="OMS" dataDxfId="171"/>
    <tableColumn id="11" xr3:uid="{9C108A1C-E6AB-4C13-9C1D-0FA8944A39A3}" name="Pool-Länge" dataDxfId="170"/>
    <tableColumn id="12" xr3:uid="{087948DD-430D-48F1-906D-4F4EF4B46053}" name="Regelwerk" dataDxfId="169"/>
    <tableColumn id="13" xr3:uid="{BF42D9C0-F77D-4971-A67E-32B0246C72C3}" name="Referenz" dataDxfId="168"/>
    <tableColumn id="19" xr3:uid="{AFFB84E8-B398-4E99-805B-9A247071A040}" name="Referenz Jahr" dataDxfId="167"/>
    <tableColumn id="20" xr3:uid="{0A59A474-DFBB-4437-8EFF-70284AFD9934}" name="Mindest Punktzahl" dataDxfId="166"/>
    <tableColumn id="21" xr3:uid="{198BD231-EEF3-43C9-AD9B-39B4B7E9B337}" name="Mindest Disziplinen" dataDxfId="165"/>
    <tableColumn id="14" xr3:uid="{443CD4F6-A2B2-480B-BB35-DCEEBC531727}" name="3-Kampf Regel" dataDxfId="164"/>
    <tableColumn id="15" xr3:uid="{70116160-7666-42B1-92AC-FAC2620E6A60}" name="Anzahl Nominierte" dataDxfId="163"/>
    <tableColumn id="16" xr3:uid="{0EFD0A46-D12B-4AB0-907C-08E5D9F282E0}" name="Anzahl Nachrücker" dataDxfId="162"/>
    <tableColumn id="17" xr3:uid="{AA5430A0-8ED8-40E8-B7F8-DA25E4E8790F}" name="Seiten Anzahl" dataDxfId="161"/>
    <tableColumn id="18" xr3:uid="{16F699D9-2741-43F3-AD5F-826A568EFEAC}" name="Absagen" dataDxfId="16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59" dataDxfId="158">
  <autoFilter ref="A1:U7" xr:uid="{CDBF6724-48A1-41AB-94B5-CC35C54BB15C}"/>
  <tableColumns count="21">
    <tableColumn id="1" xr3:uid="{E1FB3D0C-B874-4874-BACC-6872CF171957}" name="Tabellen Name" dataDxfId="157"/>
    <tableColumn id="2" xr3:uid="{FFDD2777-2097-450C-B020-F133CF643855}" name="Geschlecht" dataDxfId="156"/>
    <tableColumn id="3" xr3:uid="{8CF52BE2-8020-48BD-A36D-63F13A1878DE}" name="Mindest alter" dataDxfId="155"/>
    <tableColumn id="4" xr3:uid="{FD3A030F-CD97-4B6F-8E8C-BC2E67D79F1D}" name="Maximales Alter" dataDxfId="154"/>
    <tableColumn id="5" xr3:uid="{3E22B645-D77C-4509-B031-9914FCB91599}" name="Qualizeitraum anfang" dataDxfId="153"/>
    <tableColumn id="6" xr3:uid="{AE299324-3C1C-4063-ADF9-54555A161734}" name="Qualizeitraum Ende" dataDxfId="152"/>
    <tableColumn id="7" xr3:uid="{DCC178B3-11FC-4C53-BBC6-C2FDA2C89857}" name="Letzter Wettkampf am" dataDxfId="151"/>
    <tableColumn id="8" xr3:uid="{2811DB01-60A5-4BE4-B6F9-A806398A602A}" name="Wertung" dataDxfId="150"/>
    <tableColumn id="9" xr3:uid="{0C16DAFE-847D-4E9E-9604-3A7D9FE924D0}" name="Landesverband" dataDxfId="149"/>
    <tableColumn id="10" xr3:uid="{7A8A4101-A553-4BD5-9116-9AA5876B9401}" name="OMS" dataDxfId="148"/>
    <tableColumn id="11" xr3:uid="{9807C9BD-6499-45F6-ACE0-4D13D64EF675}" name="Pool-Länge" dataDxfId="147"/>
    <tableColumn id="12" xr3:uid="{13D336DD-650F-4F2C-836F-361CA1528F6D}" name="Regelwerk" dataDxfId="146"/>
    <tableColumn id="13" xr3:uid="{66660E2D-ADF2-4FB5-8A13-004F826EE908}" name="Referenz" dataDxfId="145"/>
    <tableColumn id="19" xr3:uid="{D72EDF8B-ECC3-4FF7-ABE6-B60BCE4A5E26}" name="Referenz Jahr" dataDxfId="144"/>
    <tableColumn id="20" xr3:uid="{7B18E667-70F7-4BC1-AB1B-21C019F2AA89}" name="Mindest Punktzahl" dataDxfId="143"/>
    <tableColumn id="21" xr3:uid="{FC185946-681B-42A6-AB1A-FC1EABB668C5}" name="Mindest Disziplinen" dataDxfId="142"/>
    <tableColumn id="14" xr3:uid="{6A2676FD-2EC7-4C41-A35E-A1597A38F932}" name="3-Kampf Regel" dataDxfId="141"/>
    <tableColumn id="15" xr3:uid="{718E0917-4F83-4A2B-832F-EBB16D5E21BF}" name="Anzahl Nominierte" dataDxfId="140"/>
    <tableColumn id="16" xr3:uid="{5C66A461-D647-4E00-A81C-FD7AD44D7CC2}" name="Anzahl Nachrücker" dataDxfId="139"/>
    <tableColumn id="17" xr3:uid="{D434BDEC-293B-4B4E-A5E9-479438960A03}" name="Seiten Anzahl" dataDxfId="138"/>
    <tableColumn id="18" xr3:uid="{80908229-9247-473F-81C0-9C9D4C12FF06}" name="Absagen" dataDxfId="1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36" dataDxfId="135">
  <autoFilter ref="A1:U5" xr:uid="{9BFD34D3-012E-42D2-B8D4-32612CAE2B03}"/>
  <tableColumns count="21">
    <tableColumn id="1" xr3:uid="{5F38FA64-1E26-48F3-B0FF-0E5583AED772}" name="Tabellen Name" dataDxfId="134"/>
    <tableColumn id="2" xr3:uid="{5F8CE91B-BB92-40A2-8EC5-CAA4A0736BC7}" name="Geschlecht" dataDxfId="133"/>
    <tableColumn id="3" xr3:uid="{BABC4117-3513-4A51-88FC-ACCDE4FEA695}" name="Mindest alter" dataDxfId="132"/>
    <tableColumn id="4" xr3:uid="{CCAD214E-6485-4A99-9B76-61FD1F836615}" name="Maximales Alter" dataDxfId="131"/>
    <tableColumn id="5" xr3:uid="{D40FDC2D-1060-4B9A-9D8D-DE371966BAAB}" name="Qualizeitraum anfang" dataDxfId="130"/>
    <tableColumn id="6" xr3:uid="{2FB5B18D-9671-410E-820E-4F8AAAB94AE5}" name="Qualizeitraum Ende" dataDxfId="129"/>
    <tableColumn id="7" xr3:uid="{78B05291-7E65-403E-9E77-08F9F175C88E}" name="Letzter Wettkampf am" dataDxfId="128"/>
    <tableColumn id="8" xr3:uid="{E0DF794B-64F4-4803-A055-5B5D5AC5C173}" name="Wertung" dataDxfId="127"/>
    <tableColumn id="9" xr3:uid="{7DC0795F-A548-4A09-8FFF-04A3E561E613}" name="Landesverband" dataDxfId="126"/>
    <tableColumn id="10" xr3:uid="{FBA31A17-CE11-420F-9487-0A4D973C90F9}" name="OMS" dataDxfId="125"/>
    <tableColumn id="11" xr3:uid="{60B8D281-E504-4B42-81B8-9B14A1A926A0}" name="Pool-Länge" dataDxfId="124"/>
    <tableColumn id="12" xr3:uid="{E4E00861-E0C2-470C-ACC3-AEB71183E69E}" name="Regelwerk" dataDxfId="123"/>
    <tableColumn id="13" xr3:uid="{67DAD4F5-E83D-48A3-9BA2-9B3F5710FEC3}" name="Referenz" dataDxfId="122"/>
    <tableColumn id="19" xr3:uid="{DCD9D3BE-5C04-4575-92EC-F8E911242805}" name="Referenz Jahr" dataDxfId="121"/>
    <tableColumn id="20" xr3:uid="{3B307C90-C4F5-4890-BF5F-3499E6C4E068}" name="Mindest Punktzahl" dataDxfId="120"/>
    <tableColumn id="21" xr3:uid="{759A1906-0454-4CC4-8BED-31ABBD324EC9}" name="Mindest Disziplinen" dataDxfId="119"/>
    <tableColumn id="14" xr3:uid="{41BD1BD0-16DC-4E03-AF06-BE8444616C3A}" name="3-Kampf Regel" dataDxfId="118"/>
    <tableColumn id="15" xr3:uid="{FCA10EFA-53B1-4722-9BA3-416DC54A7205}" name="Anzahl Nominierte" dataDxfId="117"/>
    <tableColumn id="16" xr3:uid="{A17696BB-052A-4E5D-916A-75001AA350CB}" name="Anzahl Nachrücker" dataDxfId="116"/>
    <tableColumn id="17" xr3:uid="{7DC8C503-FEE5-46A4-B2AB-C5627D45C70D}" name="Seiten Anzahl" dataDxfId="115"/>
    <tableColumn id="18" xr3:uid="{5F4E44AE-8D26-45E0-A15C-6CA7D8FA4819}" name="Absagen" dataDxfId="11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13" dataDxfId="112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11"/>
    <tableColumn id="2" xr3:uid="{6346FF3B-B334-4CD8-8B23-F2347E29C536}" name="Geschlecht" dataDxfId="110"/>
    <tableColumn id="3" xr3:uid="{E793B48A-BC8A-439F-8AAF-6FD08104A619}" name="Mindest Alter" dataDxfId="109"/>
    <tableColumn id="4" xr3:uid="{01A62C29-2F75-4107-A431-F69230BCCD0C}" name="Maximales Alter" dataDxfId="108"/>
    <tableColumn id="5" xr3:uid="{B7E4DE90-7856-4A0C-9063-61414D7F227C}" name="Qualizeitraum anfang" dataDxfId="107"/>
    <tableColumn id="6" xr3:uid="{B00F7CD1-82CB-42B9-A396-89F79EF419CA}" name="Qualizeitraum Ende" dataDxfId="106"/>
    <tableColumn id="7" xr3:uid="{9E50DDE5-12E3-4BCB-801C-FBABCE309F0E}" name="Letzter Wettkampf am" dataDxfId="105"/>
    <tableColumn id="8" xr3:uid="{57E68247-0FF2-48D8-8ACD-AB057E576A21}" name="Landesverband" dataDxfId="104"/>
    <tableColumn id="9" xr3:uid="{EBAA439D-F69A-4C2A-8193-9AE08F1E57B8}" name="OMS" dataDxfId="103"/>
    <tableColumn id="10" xr3:uid="{BBD11E7F-3DDF-428A-B005-4A40E6FA78DC}" name="Pool-Länge" dataDxfId="102"/>
    <tableColumn id="11" xr3:uid="{6AE38DCA-A084-4F3D-A6A4-4E76E3E2CBC6}" name="Regelwerk" dataDxfId="101"/>
    <tableColumn id="12" xr3:uid="{7F7470AD-5502-4CEE-BB4C-44BA308E61D7}" name="Seiten Anzahl" dataDxfId="100"/>
    <tableColumn id="13" xr3:uid="{F416CBFA-4C9D-45CD-9BA7-E4BC57A08BC2}" name="PZ1 - 50m Retten" dataDxfId="99"/>
    <tableColumn id="14" xr3:uid="{7117DBCA-0DA7-462C-84FE-0DC7E33B124C}" name="PZ1 - 100m Retten" dataDxfId="98"/>
    <tableColumn id="15" xr3:uid="{E8630E91-DC30-4822-9E53-6D65487C3670}" name="PZ1 - 100m Kombi" dataDxfId="97"/>
    <tableColumn id="16" xr3:uid="{4B3AA225-E042-430F-8259-D176887B4528}" name="PZ1 - 100m Lifesaver" dataDxfId="96"/>
    <tableColumn id="17" xr3:uid="{798674BD-98CE-4531-BDFF-6AB06253AD7C}" name="PZ1 - 200m Super-Lifesaver" dataDxfId="95"/>
    <tableColumn id="18" xr3:uid="{8809BB71-D58B-4E8B-A442-D0EB9A65A25D}" name="PZ1 - 200m Hindernis" dataDxfId="94"/>
    <tableColumn id="19" xr3:uid="{93DCF463-806B-4117-B4E3-1FFAE976B37C}" name="PZ2 - 50m Retten" dataDxfId="93"/>
    <tableColumn id="20" xr3:uid="{A514C961-559E-462F-B143-BA30974C0129}" name="PZ2 - 100m Retten" dataDxfId="92"/>
    <tableColumn id="21" xr3:uid="{F1CF6143-45FE-498D-93D6-36F26D2F3C0B}" name="PZ2 - 100m Kombi" dataDxfId="91"/>
    <tableColumn id="22" xr3:uid="{E90962FC-C214-467F-841F-40DF60E41456}" name="PZ2 - 100m Lifesaver" dataDxfId="90"/>
    <tableColumn id="23" xr3:uid="{7FBC6334-C4C8-4B38-9F59-30ED95A44379}" name="PZ2 - 200m Super-Lifesaver" dataDxfId="89"/>
    <tableColumn id="24" xr3:uid="{231BFF86-8F3A-4BA1-B25E-28175D9EDFA9}" name="PZ2 - 200m Hindernis" dataDxfId="8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7" dataDxfId="86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85"/>
    <tableColumn id="2" xr3:uid="{733C1722-A9C9-4830-A9E2-FE62E96BCD98}" name="Geschlecht" dataDxfId="84"/>
    <tableColumn id="3" xr3:uid="{80C0BF46-0E43-4947-BF86-B808C324772A}" name="Mindest Alter" dataDxfId="83"/>
    <tableColumn id="4" xr3:uid="{DBA2A923-EEB7-43F9-A1A3-E78624448FB9}" name="Maximales Alter" dataDxfId="82"/>
    <tableColumn id="5" xr3:uid="{3FDEE18A-328D-45AE-907D-69A916A93345}" name="Qualizeitraum anfang" dataDxfId="81"/>
    <tableColumn id="6" xr3:uid="{BE002D7F-575F-4B60-9251-C71D93F59045}" name="Qualizeitraum Ende" dataDxfId="80"/>
    <tableColumn id="7" xr3:uid="{208ABD57-DE4B-41D6-B9FC-93F2D8966E8D}" name="Letzter Wettkampf am" dataDxfId="79"/>
    <tableColumn id="8" xr3:uid="{30C9697C-6550-4996-ADDB-7FEE5325B794}" name="Landesverband" dataDxfId="78"/>
    <tableColumn id="9" xr3:uid="{ED2DAB77-EF46-4D8B-B8E4-90412E32E277}" name="OMS" dataDxfId="77"/>
    <tableColumn id="10" xr3:uid="{AD534940-A91B-4A6E-9606-E3F3E517D401}" name="Pool-Länge" dataDxfId="76"/>
    <tableColumn id="11" xr3:uid="{11F9D5D5-72FE-42CA-8624-01D513B4140F}" name="Regelwerk" dataDxfId="75"/>
    <tableColumn id="12" xr3:uid="{3907872B-5438-4FBF-A045-3EF9EAACFC47}" name="Seiten Anzahl" dataDxfId="74"/>
    <tableColumn id="13" xr3:uid="{FC821324-3638-40C0-BA1E-069B44E23C7A}" name="PZ1 - 50m Retten" dataDxfId="73"/>
    <tableColumn id="14" xr3:uid="{70529619-443E-40D3-88C1-3E0F00BB2A50}" name="PZ1 - 100m Retten" dataDxfId="72"/>
    <tableColumn id="15" xr3:uid="{EFA92FD2-C23F-42B3-83DC-5036513F19AF}" name="PZ1 - 100m Kombi" dataDxfId="71"/>
    <tableColumn id="16" xr3:uid="{03309E52-8CF3-4E90-9EE6-A818901C3B32}" name="PZ1 - 100m Lifesaver" dataDxfId="70"/>
    <tableColumn id="17" xr3:uid="{00B22013-AA11-4C17-9250-22060AE4B0A8}" name="PZ1 - 200m Super-Lifesaver" dataDxfId="69"/>
    <tableColumn id="18" xr3:uid="{7E3508A9-0422-4561-A23E-53E613259B24}" name="PZ1 - 200m Hindernis" dataDxfId="68"/>
    <tableColumn id="19" xr3:uid="{5CEA435F-F34B-4D8D-88D0-F5EBFF18B713}" name="PZ2 - 50m Retten" dataDxfId="67"/>
    <tableColumn id="20" xr3:uid="{8585BE62-F7C4-4D5D-B287-052B43B08610}" name="PZ2 - 100m Retten" dataDxfId="66"/>
    <tableColumn id="21" xr3:uid="{D981758B-ADAD-4E36-B787-0B0FDA808CA2}" name="PZ2 - 100m Kombi" dataDxfId="65"/>
    <tableColumn id="22" xr3:uid="{1D4970A8-D22F-4962-934C-AEA295ED687A}" name="PZ2 - 100m Lifesaver" dataDxfId="64"/>
    <tableColumn id="23" xr3:uid="{BE394430-C58F-4690-9615-44475E5AF9F8}" name="PZ2 - 200m Super-Lifesaver" dataDxfId="63"/>
    <tableColumn id="24" xr3:uid="{A7036B1A-99CE-4F7C-AAB8-12E8B2696202}" name="PZ2 - 200m Hindernis" dataDxfId="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61" dataDxfId="60">
  <autoFilter ref="A1:AF37" xr:uid="{FED162EE-531E-453F-8C25-562B59ECE709}"/>
  <tableColumns count="32">
    <tableColumn id="1" xr3:uid="{F985A4F0-6B8C-47C6-816F-1A31A4973EB2}" name="Tabellen Name" dataDxfId="59"/>
    <tableColumn id="2" xr3:uid="{5E5AD859-71A2-4E8E-B434-431A89C05C57}" name="Geschlecht" dataDxfId="58"/>
    <tableColumn id="3" xr3:uid="{85BB892C-E151-404B-8974-FC5199E0909C}" name="Mindest Alter" dataDxfId="57"/>
    <tableColumn id="4" xr3:uid="{790F6CF9-E475-4082-AE03-D30EDE22FB61}" name="Maximales Alter" dataDxfId="56"/>
    <tableColumn id="5" xr3:uid="{FD4B0E6E-9B64-4731-A50F-D3CE3A4ED3FC}" name="Qualizeitraum anfang" dataDxfId="55"/>
    <tableColumn id="6" xr3:uid="{5E84CAD2-C403-49B9-BB06-D56EC5784C8C}" name="Qualizeitraum Ende" dataDxfId="54"/>
    <tableColumn id="7" xr3:uid="{6323F8E2-5DA4-4E5B-9C35-1E8C219ADECF}" name="Letzter Wettkampf am" dataDxfId="53"/>
    <tableColumn id="8" xr3:uid="{D2845930-152E-432F-92A0-E7F7A3EE1FF0}" name="Landesverband" dataDxfId="52"/>
    <tableColumn id="9" xr3:uid="{87046373-5CCD-41EC-B34C-C753E71FD26C}" name="OMS" dataDxfId="51"/>
    <tableColumn id="10" xr3:uid="{A685FE01-F23C-4533-B399-857F5A1F6C37}" name="Pool-Länge" dataDxfId="50"/>
    <tableColumn id="11" xr3:uid="{11E0A508-0C9D-4CB6-952E-7FAC5D05BDCD}" name="Regelwerk" dataDxfId="49"/>
    <tableColumn id="12" xr3:uid="{F220BD5F-C3B5-4935-996A-BFCDF9F392D9}" name="Seiten Anzahl" dataDxfId="48"/>
    <tableColumn id="25" xr3:uid="{7CDE58FE-A5B8-4329-9F48-3913AEBA21FC}" name="mind. erreichte Normen" dataDxfId="47"/>
    <tableColumn id="13" xr3:uid="{A0A5E62D-9354-426D-9A08-13E43F36F55B}" name="PZ - 50m Retten" dataDxfId="46"/>
    <tableColumn id="14" xr3:uid="{5D70F54C-57E9-45E2-BC99-0DBB0422383E}" name="PZ - 100m Retten" dataDxfId="45"/>
    <tableColumn id="15" xr3:uid="{1C0CF5DB-156E-4813-A8BA-9EA29A40ABF3}" name="PZ - 100m Kombi" dataDxfId="44"/>
    <tableColumn id="16" xr3:uid="{691CD4E1-13D9-4455-A2D1-14C9BC41A0EA}" name="PZ - 100m Lifesaver" dataDxfId="43"/>
    <tableColumn id="17" xr3:uid="{CE1BA235-770B-4FA4-B327-187675DDA6B8}" name="PZ - 200m Super-Lifesaver" dataDxfId="42"/>
    <tableColumn id="18" xr3:uid="{A326EF87-5FF5-4042-85D3-7806FEED4CFA}" name="PZ - 200m Hindernis" dataDxfId="41"/>
    <tableColumn id="19" xr3:uid="{3F3DF994-C8AE-408C-BCA1-99A143BA81D4}" name="LMS" dataDxfId="40"/>
    <tableColumn id="20" xr3:uid="{7461FBF0-E903-4B09-9C11-C9C1047FA39D}" name="DMM" dataDxfId="39"/>
    <tableColumn id="21" xr3:uid="{675AEE5F-BEC3-499A-A337-72DD69B663E7}" name="DEM" dataDxfId="38"/>
    <tableColumn id="24" xr3:uid="{17E128CD-0800-40BC-B850-0CE3966127B2}" name="JRP" dataDxfId="37"/>
    <tableColumn id="22" xr3:uid="{A92C8C64-1269-48FF-8F43-8EF273E7864F}" name="DMO" dataDxfId="36"/>
    <tableColumn id="30" xr3:uid="{84286FAC-A077-44AC-889C-09543C869BF4}" name="DMO Ocean" dataDxfId="35"/>
    <tableColumn id="23" xr3:uid="{40EF7D68-4E22-4866-ADAA-28DC8A82A09C}" name="Trophy" dataDxfId="34"/>
    <tableColumn id="31" xr3:uid="{33F8EB16-27F6-453C-81FD-376213F45978}" name="Ocean Perf" dataDxfId="33"/>
    <tableColumn id="32" xr3:uid="{5B81C846-FAFA-4E74-8678-47219E5942AF}" name="Filcow" dataDxfId="32"/>
    <tableColumn id="26" xr3:uid="{C7421A01-D221-4C7A-9F0B-8BD025E0F1CF}" name="WM" dataDxfId="31"/>
    <tableColumn id="27" xr3:uid="{4050AB9D-D7D4-4B88-8218-9206C91AD9A0}" name="EM" dataDxfId="30"/>
    <tableColumn id="28" xr3:uid="{6FC272EA-276B-4249-818D-C220B87D52A6}" name="JWM" dataDxfId="29"/>
    <tableColumn id="29" xr3:uid="{51F99A1A-8D2C-444F-9E7C-AA537C8FFA08}" name="JEM" dataDxfId="2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4" totalsRowShown="0">
  <autoFilter ref="A1:H14" xr:uid="{888CE7BE-8313-44C0-AE38-83992EABD44D}"/>
  <tableColumns count="8">
    <tableColumn id="1" xr3:uid="{B26B9E90-F378-41EF-B35E-CE240017E4BE}" name="datum von" dataDxfId="27"/>
    <tableColumn id="2" xr3:uid="{38211212-0A92-428C-895C-E4CA68F52818}" name="datum bis"/>
    <tableColumn id="3" xr3:uid="{66E541C6-0A5E-4B2D-9B89-5E52F449A4A6}" name="uhrzeit von" dataDxfId="26"/>
    <tableColumn id="4" xr3:uid="{D93C06A2-29AD-4073-8E3C-A685B4474CC8}" name="uhrzeit bis" dataDxfId="25"/>
    <tableColumn id="5" xr3:uid="{C5C3979C-B528-44E8-A5A6-36F020A6034F}" name="titel" dataDxfId="24"/>
    <tableColumn id="6" xr3:uid="{9DC09E1D-44FD-40ED-9EBE-86A8E61C38B2}" name="meta" dataDxfId="23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7" t="s">
        <v>13</v>
      </c>
      <c r="B1" s="8" t="s">
        <v>50</v>
      </c>
      <c r="C1" s="8"/>
      <c r="D1" s="8" t="s">
        <v>50</v>
      </c>
      <c r="E1" s="8"/>
      <c r="F1" s="8"/>
      <c r="G1" s="8"/>
      <c r="H1" s="9" t="s">
        <v>66</v>
      </c>
      <c r="I1" s="9" t="s">
        <v>67</v>
      </c>
      <c r="J1" s="9"/>
      <c r="K1" s="9"/>
      <c r="L1" s="9"/>
      <c r="M1" s="9"/>
      <c r="N1" s="8"/>
      <c r="O1" s="8"/>
      <c r="P1" s="8"/>
      <c r="Q1" s="8"/>
      <c r="R1" s="8"/>
      <c r="S1" s="8"/>
      <c r="T1" s="9" t="s">
        <v>92</v>
      </c>
      <c r="U1" s="9"/>
      <c r="V1" s="9"/>
      <c r="W1" s="9"/>
      <c r="X1" s="9" t="s">
        <v>92</v>
      </c>
      <c r="Y1" s="9" t="s">
        <v>92</v>
      </c>
      <c r="Z1" s="8"/>
      <c r="AA1" s="8"/>
      <c r="AB1" s="8"/>
      <c r="AC1" s="8"/>
      <c r="AD1" s="8"/>
      <c r="AE1" s="8"/>
      <c r="AF1" s="9"/>
      <c r="AG1" s="9"/>
      <c r="AH1" s="9"/>
      <c r="AI1" s="9"/>
      <c r="AJ1" s="9"/>
      <c r="AK1" s="9"/>
      <c r="AL1" s="8"/>
      <c r="AM1" s="8"/>
      <c r="AN1" s="8"/>
      <c r="AO1" s="9" t="s">
        <v>121</v>
      </c>
      <c r="AP1" s="9"/>
      <c r="AQ1" s="9"/>
      <c r="AR1" s="8"/>
      <c r="AS1" s="8"/>
      <c r="AT1" s="8"/>
      <c r="AU1" s="9"/>
      <c r="AV1" s="9"/>
      <c r="AW1" s="9"/>
    </row>
    <row r="2" spans="1:49" ht="16.5" customHeight="1" x14ac:dyDescent="0.45">
      <c r="A2" s="7" t="s">
        <v>14</v>
      </c>
      <c r="B2" s="10" t="s">
        <v>11</v>
      </c>
      <c r="C2" s="10"/>
      <c r="D2" s="10" t="s">
        <v>36</v>
      </c>
      <c r="E2" s="10"/>
      <c r="F2" s="10"/>
      <c r="G2" s="10"/>
      <c r="H2" s="10"/>
      <c r="I2" s="10" t="s">
        <v>68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 t="s">
        <v>96</v>
      </c>
      <c r="U2" s="10"/>
      <c r="V2" s="10"/>
      <c r="W2" s="10"/>
      <c r="X2" s="10" t="s">
        <v>95</v>
      </c>
      <c r="Y2" s="10" t="s">
        <v>93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 t="s">
        <v>12</v>
      </c>
      <c r="AP2" s="10"/>
      <c r="AQ2" s="10"/>
      <c r="AR2" s="10"/>
      <c r="AS2" s="10"/>
      <c r="AT2" s="10"/>
      <c r="AU2" s="10"/>
      <c r="AV2" s="10"/>
      <c r="AW2" s="10"/>
    </row>
    <row r="3" spans="1:49" ht="16.5" customHeight="1" x14ac:dyDescent="0.45">
      <c r="A3" s="7" t="s">
        <v>65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 t="s">
        <v>94</v>
      </c>
      <c r="U3" s="10"/>
      <c r="V3" s="10"/>
      <c r="W3" s="10"/>
      <c r="X3" s="10" t="s">
        <v>94</v>
      </c>
      <c r="Y3" s="10" t="s">
        <v>94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 t="s">
        <v>122</v>
      </c>
      <c r="AP3" s="10"/>
      <c r="AQ3" s="10"/>
      <c r="AR3" s="10"/>
      <c r="AS3" s="10"/>
      <c r="AT3" s="10"/>
      <c r="AU3" s="10"/>
      <c r="AV3" s="10"/>
      <c r="AW3" s="10"/>
    </row>
    <row r="4" spans="1:49" s="18" customFormat="1" ht="25.5" customHeight="1" thickBot="1" x14ac:dyDescent="0.5">
      <c r="A4" s="14" t="s">
        <v>6</v>
      </c>
      <c r="B4" s="15" t="s">
        <v>69</v>
      </c>
      <c r="C4" s="15" t="s">
        <v>70</v>
      </c>
      <c r="D4" s="15" t="s">
        <v>71</v>
      </c>
      <c r="E4" s="15" t="s">
        <v>72</v>
      </c>
      <c r="F4" s="15" t="s">
        <v>73</v>
      </c>
      <c r="G4" s="16" t="s">
        <v>74</v>
      </c>
      <c r="H4" s="17" t="s">
        <v>75</v>
      </c>
      <c r="I4" s="17" t="s">
        <v>76</v>
      </c>
      <c r="J4" s="17" t="s">
        <v>77</v>
      </c>
      <c r="K4" s="17" t="s">
        <v>78</v>
      </c>
      <c r="L4" s="17" t="s">
        <v>79</v>
      </c>
      <c r="M4" s="19" t="s">
        <v>80</v>
      </c>
      <c r="N4" s="22" t="s">
        <v>81</v>
      </c>
      <c r="O4" s="22" t="s">
        <v>82</v>
      </c>
      <c r="P4" s="22" t="s">
        <v>83</v>
      </c>
      <c r="Q4" s="22" t="s">
        <v>84</v>
      </c>
      <c r="R4" s="22" t="s">
        <v>85</v>
      </c>
      <c r="S4" s="22" t="s">
        <v>86</v>
      </c>
      <c r="T4" s="17" t="s">
        <v>123</v>
      </c>
      <c r="U4" s="17" t="s">
        <v>87</v>
      </c>
      <c r="V4" s="17" t="s">
        <v>88</v>
      </c>
      <c r="W4" s="17" t="s">
        <v>89</v>
      </c>
      <c r="X4" s="17" t="s">
        <v>90</v>
      </c>
      <c r="Y4" s="19" t="s">
        <v>91</v>
      </c>
      <c r="Z4" s="22" t="s">
        <v>97</v>
      </c>
      <c r="AA4" s="22" t="s">
        <v>109</v>
      </c>
      <c r="AB4" s="22" t="s">
        <v>98</v>
      </c>
      <c r="AC4" s="22" t="s">
        <v>99</v>
      </c>
      <c r="AD4" s="22" t="s">
        <v>100</v>
      </c>
      <c r="AE4" s="22" t="s">
        <v>101</v>
      </c>
      <c r="AF4" s="17" t="s">
        <v>103</v>
      </c>
      <c r="AG4" s="17" t="s">
        <v>102</v>
      </c>
      <c r="AH4" s="17" t="s">
        <v>104</v>
      </c>
      <c r="AI4" s="17" t="s">
        <v>105</v>
      </c>
      <c r="AJ4" s="17" t="s">
        <v>106</v>
      </c>
      <c r="AK4" s="19" t="s">
        <v>107</v>
      </c>
      <c r="AL4" s="22" t="s">
        <v>108</v>
      </c>
      <c r="AM4" s="22" t="s">
        <v>111</v>
      </c>
      <c r="AN4" s="23" t="s">
        <v>112</v>
      </c>
      <c r="AO4" s="17" t="s">
        <v>110</v>
      </c>
      <c r="AP4" s="17" t="s">
        <v>113</v>
      </c>
      <c r="AQ4" s="19" t="s">
        <v>114</v>
      </c>
      <c r="AR4" s="22" t="s">
        <v>115</v>
      </c>
      <c r="AS4" s="22" t="s">
        <v>116</v>
      </c>
      <c r="AT4" s="22" t="s">
        <v>119</v>
      </c>
      <c r="AU4" s="17" t="s">
        <v>117</v>
      </c>
      <c r="AV4" s="17" t="s">
        <v>118</v>
      </c>
      <c r="AW4" s="17" t="s">
        <v>120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0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0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0"/>
      <c r="AL5" s="3"/>
      <c r="AM5" s="3"/>
      <c r="AN5" s="20"/>
      <c r="AO5" s="3"/>
      <c r="AP5" s="3"/>
      <c r="AQ5" s="20"/>
      <c r="AR5" s="3"/>
      <c r="AS5" s="3"/>
      <c r="AT5" s="20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1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1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1"/>
      <c r="AL6" s="4"/>
      <c r="AM6" s="4"/>
      <c r="AN6" s="21"/>
      <c r="AO6" s="4"/>
      <c r="AP6" s="4"/>
      <c r="AQ6" s="21"/>
      <c r="AR6" s="4"/>
      <c r="AS6" s="4"/>
      <c r="AT6" s="21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0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0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0"/>
      <c r="AL7" s="3"/>
      <c r="AM7" s="3"/>
      <c r="AN7" s="20"/>
      <c r="AO7" s="3"/>
      <c r="AP7" s="3"/>
      <c r="AQ7" s="20"/>
      <c r="AR7" s="3"/>
      <c r="AS7" s="3"/>
      <c r="AT7" s="20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1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1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1"/>
      <c r="AL8" s="4"/>
      <c r="AM8" s="4"/>
      <c r="AN8" s="21"/>
      <c r="AO8" s="4"/>
      <c r="AP8" s="4"/>
      <c r="AQ8" s="21"/>
      <c r="AR8" s="4"/>
      <c r="AS8" s="4"/>
      <c r="AT8" s="21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0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0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0"/>
      <c r="AL9" s="3"/>
      <c r="AM9" s="3"/>
      <c r="AN9" s="20"/>
      <c r="AO9" s="3"/>
      <c r="AP9" s="3"/>
      <c r="AQ9" s="20"/>
      <c r="AR9" s="3"/>
      <c r="AS9" s="3"/>
      <c r="AT9" s="20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1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1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1"/>
      <c r="AL10" s="4"/>
      <c r="AM10" s="4"/>
      <c r="AN10" s="21"/>
      <c r="AO10" s="4"/>
      <c r="AP10" s="4"/>
      <c r="AQ10" s="21"/>
      <c r="AR10" s="4"/>
      <c r="AS10" s="4"/>
      <c r="AT10" s="21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0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0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0"/>
      <c r="AL11" s="3"/>
      <c r="AM11" s="3"/>
      <c r="AN11" s="20"/>
      <c r="AO11" s="3"/>
      <c r="AP11" s="3"/>
      <c r="AQ11" s="20"/>
      <c r="AR11" s="3"/>
      <c r="AS11" s="3"/>
      <c r="AT11" s="20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1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1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1"/>
      <c r="AL12" s="4">
        <v>4.8263888888888895E-4</v>
      </c>
      <c r="AM12" s="4">
        <v>3.5185185185185184E-4</v>
      </c>
      <c r="AN12" s="21">
        <v>7.6620370370370373E-4</v>
      </c>
      <c r="AO12" s="4">
        <v>4.1550925925925918E-4</v>
      </c>
      <c r="AP12" s="4">
        <v>3.1134259259259261E-4</v>
      </c>
      <c r="AQ12" s="21">
        <v>6.8518518518518527E-4</v>
      </c>
      <c r="AR12" s="4">
        <v>2.8125000000000003E-4</v>
      </c>
      <c r="AS12" s="4">
        <v>4.1319444444444449E-4</v>
      </c>
      <c r="AT12" s="21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0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0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0"/>
      <c r="AL13" s="3">
        <v>4.8263888888888895E-4</v>
      </c>
      <c r="AM13" s="3">
        <v>3.5185185185185184E-4</v>
      </c>
      <c r="AN13" s="20">
        <v>8.1539351851851836E-4</v>
      </c>
      <c r="AO13" s="3">
        <v>4.1550925925925918E-4</v>
      </c>
      <c r="AP13" s="3">
        <v>3.1134259259259261E-4</v>
      </c>
      <c r="AQ13" s="20">
        <v>7.4803240740740733E-4</v>
      </c>
      <c r="AR13" s="3">
        <v>2.8125000000000003E-4</v>
      </c>
      <c r="AS13" s="3">
        <v>4.0937499999999996E-4</v>
      </c>
      <c r="AT13" s="20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1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1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1"/>
      <c r="AL14" s="4">
        <v>4.8263888888888895E-4</v>
      </c>
      <c r="AM14" s="4">
        <v>3.5185185185185184E-4</v>
      </c>
      <c r="AN14" s="21">
        <v>8.1539351851851836E-4</v>
      </c>
      <c r="AO14" s="4">
        <v>4.1550925925925918E-4</v>
      </c>
      <c r="AP14" s="4">
        <v>3.1134259259259261E-4</v>
      </c>
      <c r="AQ14" s="21">
        <v>7.4803240740740733E-4</v>
      </c>
      <c r="AR14" s="4">
        <v>2.7349537037037034E-4</v>
      </c>
      <c r="AS14" s="4">
        <v>4.0937499999999996E-4</v>
      </c>
      <c r="AT14" s="21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0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0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0"/>
      <c r="AL15" s="3">
        <v>4.8263888888888895E-4</v>
      </c>
      <c r="AM15" s="3">
        <v>3.4791666666666668E-4</v>
      </c>
      <c r="AN15" s="20">
        <v>8.1539351851851836E-4</v>
      </c>
      <c r="AO15" s="3">
        <v>4.1550925925925918E-4</v>
      </c>
      <c r="AP15" s="3">
        <v>3.1099537037037039E-4</v>
      </c>
      <c r="AQ15" s="20">
        <v>7.1458333333333324E-4</v>
      </c>
      <c r="AR15" s="3">
        <v>2.7349537037037034E-4</v>
      </c>
      <c r="AS15" s="3">
        <v>4.0937499999999996E-4</v>
      </c>
      <c r="AT15" s="20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1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1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1"/>
      <c r="AL16" s="4">
        <v>4.8263888888888895E-4</v>
      </c>
      <c r="AM16" s="4">
        <v>3.4618055555555552E-4</v>
      </c>
      <c r="AN16" s="21">
        <v>8.1539351851851836E-4</v>
      </c>
      <c r="AO16" s="4">
        <v>4.1550925925925918E-4</v>
      </c>
      <c r="AP16" s="4">
        <v>3.0451388888888889E-4</v>
      </c>
      <c r="AQ16" s="21">
        <v>7.1458333333333324E-4</v>
      </c>
      <c r="AR16" s="4">
        <v>2.7349537037037034E-4</v>
      </c>
      <c r="AS16" s="4">
        <v>4.0937499999999996E-4</v>
      </c>
      <c r="AT16" s="21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0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0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0"/>
      <c r="AL17" s="3">
        <v>4.8263888888888895E-4</v>
      </c>
      <c r="AM17" s="3">
        <v>3.4618055555555552E-4</v>
      </c>
      <c r="AN17" s="20">
        <v>8.1539351851851836E-4</v>
      </c>
      <c r="AO17" s="3">
        <v>4.1550925925925918E-4</v>
      </c>
      <c r="AP17" s="3">
        <v>3.0451388888888889E-4</v>
      </c>
      <c r="AQ17" s="20">
        <v>7.1458333333333324E-4</v>
      </c>
      <c r="AR17" s="3">
        <v>2.7349537037037034E-4</v>
      </c>
      <c r="AS17" s="3">
        <v>4.0937499999999996E-4</v>
      </c>
      <c r="AT17" s="20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1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1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1"/>
      <c r="AL18" s="4">
        <v>4.8263888888888895E-4</v>
      </c>
      <c r="AM18" s="4">
        <v>3.4618055555555552E-4</v>
      </c>
      <c r="AN18" s="21">
        <v>8.1539351851851836E-4</v>
      </c>
      <c r="AO18" s="4">
        <v>4.1550925925925918E-4</v>
      </c>
      <c r="AP18" s="4">
        <v>3.0451388888888889E-4</v>
      </c>
      <c r="AQ18" s="21">
        <v>7.1458333333333324E-4</v>
      </c>
      <c r="AR18" s="4">
        <v>2.7349537037037034E-4</v>
      </c>
      <c r="AS18" s="4">
        <v>4.0937499999999996E-4</v>
      </c>
      <c r="AT18" s="21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0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0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0"/>
      <c r="AL19" s="3">
        <v>4.8263888888888895E-4</v>
      </c>
      <c r="AM19" s="3">
        <v>3.4618055555555552E-4</v>
      </c>
      <c r="AN19" s="20">
        <v>8.0983796296296305E-4</v>
      </c>
      <c r="AO19" s="3">
        <v>4.1550925925925918E-4</v>
      </c>
      <c r="AP19" s="3">
        <v>3.0451388888888889E-4</v>
      </c>
      <c r="AQ19" s="20">
        <v>7.1458333333333324E-4</v>
      </c>
      <c r="AR19" s="3">
        <v>2.7349537037037034E-4</v>
      </c>
      <c r="AS19" s="3">
        <v>4.0937499999999996E-4</v>
      </c>
      <c r="AT19" s="20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1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1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1"/>
      <c r="AL20" s="4">
        <v>4.8263888888888895E-4</v>
      </c>
      <c r="AM20" s="4">
        <v>3.4618055555555552E-4</v>
      </c>
      <c r="AN20" s="21">
        <v>8.0983796296296305E-4</v>
      </c>
      <c r="AO20" s="4">
        <v>4.1550925925925918E-4</v>
      </c>
      <c r="AP20" s="4">
        <v>3.0451388888888889E-4</v>
      </c>
      <c r="AQ20" s="21">
        <v>7.1458333333333324E-4</v>
      </c>
      <c r="AR20" s="4">
        <v>2.6273148148148146E-4</v>
      </c>
      <c r="AS20" s="4">
        <v>3.9652777777777776E-4</v>
      </c>
      <c r="AT20" s="21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0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0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0"/>
      <c r="AL21" s="3">
        <v>4.650462962962963E-4</v>
      </c>
      <c r="AM21" s="3">
        <v>3.3877314814814816E-4</v>
      </c>
      <c r="AN21" s="20">
        <v>7.9398148148148145E-4</v>
      </c>
      <c r="AO21" s="3">
        <v>4.1550925925925918E-4</v>
      </c>
      <c r="AP21" s="3">
        <v>3.0254629629629631E-4</v>
      </c>
      <c r="AQ21" s="20">
        <v>7.1458333333333324E-4</v>
      </c>
      <c r="AR21" s="3">
        <v>2.6273148148148146E-4</v>
      </c>
      <c r="AS21" s="3">
        <v>3.7835648148148147E-4</v>
      </c>
      <c r="AT21" s="20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1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1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1"/>
      <c r="AL22" s="4">
        <v>4.6342592592592594E-4</v>
      </c>
      <c r="AM22" s="4">
        <v>3.184027777777778E-4</v>
      </c>
      <c r="AN22" s="21">
        <v>7.6979166666666678E-4</v>
      </c>
      <c r="AO22" s="4">
        <v>4.1550925925925918E-4</v>
      </c>
      <c r="AP22" s="4">
        <v>2.9907407407407405E-4</v>
      </c>
      <c r="AQ22" s="21">
        <v>7.086805555555556E-4</v>
      </c>
      <c r="AR22" s="4">
        <v>2.6273148148148146E-4</v>
      </c>
      <c r="AS22" s="4">
        <v>3.7835648148148147E-4</v>
      </c>
      <c r="AT22" s="21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0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0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0"/>
      <c r="AL23" s="3">
        <v>4.5081018518518517E-4</v>
      </c>
      <c r="AM23" s="3">
        <v>3.1018518518518521E-4</v>
      </c>
      <c r="AN23" s="20">
        <v>7.4722222222222236E-4</v>
      </c>
      <c r="AO23" s="3">
        <v>4.1550925925925918E-4</v>
      </c>
      <c r="AP23" s="3">
        <v>2.921296296296296E-4</v>
      </c>
      <c r="AQ23" s="20">
        <v>7.086805555555556E-4</v>
      </c>
      <c r="AR23" s="3">
        <v>2.6273148148148146E-4</v>
      </c>
      <c r="AS23" s="3">
        <v>3.7835648148148147E-4</v>
      </c>
      <c r="AT23" s="20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1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1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1"/>
      <c r="AL24" s="4">
        <v>4.5081018518518517E-4</v>
      </c>
      <c r="AM24" s="4">
        <v>3.1018518518518521E-4</v>
      </c>
      <c r="AN24" s="21">
        <v>7.4722222222222236E-4</v>
      </c>
      <c r="AO24" s="4">
        <v>4.1550925925925918E-4</v>
      </c>
      <c r="AP24" s="4">
        <v>2.6886574074074074E-4</v>
      </c>
      <c r="AQ24" s="21">
        <v>7.086805555555556E-4</v>
      </c>
      <c r="AR24" s="4">
        <v>2.6273148148148146E-4</v>
      </c>
      <c r="AS24" s="4">
        <v>3.7835648148148147E-4</v>
      </c>
      <c r="AT24" s="21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0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0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0">
        <v>1.433449074074074E-3</v>
      </c>
      <c r="AL25" s="3">
        <v>4.5081018518518517E-4</v>
      </c>
      <c r="AM25" s="3">
        <v>3.1018518518518521E-4</v>
      </c>
      <c r="AN25" s="20">
        <v>7.4722222222222236E-4</v>
      </c>
      <c r="AO25" s="3">
        <v>4.1550925925925918E-4</v>
      </c>
      <c r="AP25" s="3">
        <v>2.6886574074074074E-4</v>
      </c>
      <c r="AQ25" s="20">
        <v>7.086805555555556E-4</v>
      </c>
      <c r="AR25" s="3">
        <v>2.6273148148148146E-4</v>
      </c>
      <c r="AS25" s="3">
        <v>3.7835648148148147E-4</v>
      </c>
      <c r="AT25" s="20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1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1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1">
        <v>1.433449074074074E-3</v>
      </c>
      <c r="AL26" s="4">
        <v>4.5081018518518517E-4</v>
      </c>
      <c r="AM26" s="4">
        <v>3.1018518518518521E-4</v>
      </c>
      <c r="AN26" s="21">
        <v>7.4722222222222236E-4</v>
      </c>
      <c r="AO26" s="4">
        <v>4.1550925925925918E-4</v>
      </c>
      <c r="AP26" s="4">
        <v>2.6886574074074074E-4</v>
      </c>
      <c r="AQ26" s="21">
        <v>7.086805555555556E-4</v>
      </c>
      <c r="AR26" s="4">
        <v>2.6273148148148146E-4</v>
      </c>
      <c r="AS26" s="4">
        <v>3.7835648148148147E-4</v>
      </c>
      <c r="AT26" s="21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0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0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0">
        <v>1.433449074074074E-3</v>
      </c>
      <c r="AL27" s="3">
        <v>4.50462962962963E-4</v>
      </c>
      <c r="AM27" s="3">
        <v>3.1018518518518521E-4</v>
      </c>
      <c r="AN27" s="20">
        <v>7.4722222222222236E-4</v>
      </c>
      <c r="AO27" s="3">
        <v>4.1550925925925918E-4</v>
      </c>
      <c r="AP27" s="3">
        <v>2.6886574074074074E-4</v>
      </c>
      <c r="AQ27" s="20">
        <v>7.086805555555556E-4</v>
      </c>
      <c r="AR27" s="3">
        <v>2.6273148148148146E-4</v>
      </c>
      <c r="AS27" s="3">
        <v>3.7835648148148147E-4</v>
      </c>
      <c r="AT27" s="20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1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1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1">
        <v>1.433449074074074E-3</v>
      </c>
      <c r="AL28" s="4">
        <v>4.50462962962963E-4</v>
      </c>
      <c r="AM28" s="4">
        <v>3.1018518518518521E-4</v>
      </c>
      <c r="AN28" s="21">
        <v>7.4722222222222236E-4</v>
      </c>
      <c r="AO28" s="4">
        <v>4.1550925925925918E-4</v>
      </c>
      <c r="AP28" s="4">
        <v>2.6886574074074074E-4</v>
      </c>
      <c r="AQ28" s="21">
        <v>7.086805555555556E-4</v>
      </c>
      <c r="AR28" s="4">
        <v>2.6273148148148146E-4</v>
      </c>
      <c r="AS28" s="4">
        <v>3.7835648148148147E-4</v>
      </c>
      <c r="AT28" s="21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0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0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0">
        <v>1.433449074074074E-3</v>
      </c>
      <c r="AL29" s="3">
        <v>4.50462962962963E-4</v>
      </c>
      <c r="AM29" s="3">
        <v>3.1018518518518521E-4</v>
      </c>
      <c r="AN29" s="20">
        <v>7.4722222222222236E-4</v>
      </c>
      <c r="AO29" s="3">
        <v>3.9733796296296289E-4</v>
      </c>
      <c r="AP29" s="3">
        <v>2.6886574074074074E-4</v>
      </c>
      <c r="AQ29" s="20">
        <v>6.9618055555555546E-4</v>
      </c>
      <c r="AR29" s="3">
        <v>2.6273148148148146E-4</v>
      </c>
      <c r="AS29" s="3">
        <v>3.7835648148148147E-4</v>
      </c>
      <c r="AT29" s="20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1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1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1">
        <v>1.3666666666666669E-3</v>
      </c>
      <c r="AL30" s="4">
        <v>4.50462962962963E-4</v>
      </c>
      <c r="AM30" s="4">
        <v>3.1018518518518521E-4</v>
      </c>
      <c r="AN30" s="21">
        <v>7.4722222222222236E-4</v>
      </c>
      <c r="AO30" s="4">
        <v>3.9733796296296289E-4</v>
      </c>
      <c r="AP30" s="4">
        <v>2.6886574074074074E-4</v>
      </c>
      <c r="AQ30" s="21">
        <v>6.9618055555555546E-4</v>
      </c>
      <c r="AR30" s="4">
        <v>2.6273148148148146E-4</v>
      </c>
      <c r="AS30" s="4">
        <v>3.7835648148148147E-4</v>
      </c>
      <c r="AT30" s="21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0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0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0">
        <v>1.3666666666666666E-3</v>
      </c>
      <c r="AL31" s="3">
        <v>4.50462962962963E-4</v>
      </c>
      <c r="AM31" s="3">
        <v>3.1018518518518521E-4</v>
      </c>
      <c r="AN31" s="20">
        <v>7.4722222222222236E-4</v>
      </c>
      <c r="AO31" s="3">
        <v>3.9062500000000002E-4</v>
      </c>
      <c r="AP31" s="3">
        <v>2.6886574074074074E-4</v>
      </c>
      <c r="AQ31" s="20">
        <v>6.9618055555555546E-4</v>
      </c>
      <c r="AR31" s="3">
        <v>2.6273148148148146E-4</v>
      </c>
      <c r="AS31" s="3">
        <v>3.7835648148148147E-4</v>
      </c>
      <c r="AT31" s="20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2" priority="15">
      <formula>B5&lt;&gt;B4</formula>
    </cfRule>
  </conditionalFormatting>
  <conditionalFormatting sqref="H5:M31">
    <cfRule type="expression" dxfId="21" priority="14">
      <formula>H5&lt;&gt;H4</formula>
    </cfRule>
  </conditionalFormatting>
  <conditionalFormatting sqref="N5:S31">
    <cfRule type="expression" dxfId="20" priority="13">
      <formula>N5&lt;&gt;N4</formula>
    </cfRule>
  </conditionalFormatting>
  <conditionalFormatting sqref="T5:Y31">
    <cfRule type="expression" dxfId="19" priority="12">
      <formula>T5&lt;&gt;T4</formula>
    </cfRule>
  </conditionalFormatting>
  <conditionalFormatting sqref="Z5:AE31">
    <cfRule type="expression" dxfId="18" priority="9">
      <formula>Z5&lt;&gt;Z4</formula>
    </cfRule>
  </conditionalFormatting>
  <conditionalFormatting sqref="AF5:AK31">
    <cfRule type="expression" dxfId="17" priority="8">
      <formula>AF5&lt;&gt;AF4</formula>
    </cfRule>
  </conditionalFormatting>
  <conditionalFormatting sqref="AL5:AN31">
    <cfRule type="expression" dxfId="16" priority="6">
      <formula>AL5&lt;&gt;AL4</formula>
    </cfRule>
  </conditionalFormatting>
  <conditionalFormatting sqref="AO5:AQ31">
    <cfRule type="expression" dxfId="15" priority="5">
      <formula>AO5&lt;&gt;AO4</formula>
    </cfRule>
  </conditionalFormatting>
  <conditionalFormatting sqref="AR5:AT31">
    <cfRule type="expression" dxfId="14" priority="2">
      <formula>AR5&lt;&gt;AR4</formula>
    </cfRule>
  </conditionalFormatting>
  <conditionalFormatting sqref="AU5:AW31">
    <cfRule type="expression" dxfId="13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9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7" t="s">
        <v>13</v>
      </c>
      <c r="B1" s="8" t="s">
        <v>16</v>
      </c>
      <c r="C1" s="8" t="s">
        <v>18</v>
      </c>
      <c r="D1" s="8" t="s">
        <v>16</v>
      </c>
      <c r="E1" s="8" t="s">
        <v>20</v>
      </c>
      <c r="F1" s="8" t="s">
        <v>21</v>
      </c>
      <c r="G1" s="8" t="s">
        <v>23</v>
      </c>
      <c r="H1" s="9" t="s">
        <v>24</v>
      </c>
      <c r="I1" s="9" t="s">
        <v>27</v>
      </c>
      <c r="J1" s="9" t="s">
        <v>26</v>
      </c>
      <c r="K1" s="9" t="s">
        <v>28</v>
      </c>
      <c r="L1" s="9" t="s">
        <v>29</v>
      </c>
      <c r="M1" s="9" t="s">
        <v>30</v>
      </c>
    </row>
    <row r="2" spans="1:13" ht="16.5" customHeight="1" x14ac:dyDescent="0.45">
      <c r="A2" s="7" t="s">
        <v>14</v>
      </c>
      <c r="B2" s="10" t="s">
        <v>40</v>
      </c>
      <c r="C2" s="10" t="s">
        <v>41</v>
      </c>
      <c r="D2" s="10" t="s">
        <v>39</v>
      </c>
      <c r="E2" s="10" t="s">
        <v>42</v>
      </c>
      <c r="F2" s="10" t="s">
        <v>43</v>
      </c>
      <c r="G2" s="10" t="s">
        <v>44</v>
      </c>
      <c r="H2" s="10" t="s">
        <v>45</v>
      </c>
      <c r="I2" s="10" t="s">
        <v>46</v>
      </c>
      <c r="J2" s="10" t="s">
        <v>47</v>
      </c>
      <c r="K2" s="10" t="s">
        <v>48</v>
      </c>
      <c r="L2" s="10" t="s">
        <v>44</v>
      </c>
      <c r="M2" s="10" t="s">
        <v>49</v>
      </c>
    </row>
    <row r="3" spans="1:13" ht="16.5" customHeight="1" x14ac:dyDescent="0.45">
      <c r="A3" s="7" t="s">
        <v>15</v>
      </c>
      <c r="B3" s="10" t="s">
        <v>17</v>
      </c>
      <c r="C3" s="10" t="s">
        <v>19</v>
      </c>
      <c r="D3" s="10" t="s">
        <v>17</v>
      </c>
      <c r="E3" s="10" t="s">
        <v>19</v>
      </c>
      <c r="F3" s="10" t="s">
        <v>22</v>
      </c>
      <c r="G3" s="10" t="s">
        <v>19</v>
      </c>
      <c r="H3" s="10" t="s">
        <v>19</v>
      </c>
      <c r="I3" s="10" t="s">
        <v>25</v>
      </c>
      <c r="J3" s="10" t="s">
        <v>19</v>
      </c>
      <c r="K3" s="10" t="s">
        <v>25</v>
      </c>
      <c r="L3" s="10" t="s">
        <v>19</v>
      </c>
      <c r="M3" s="10" t="s">
        <v>22</v>
      </c>
    </row>
    <row r="4" spans="1:13" ht="14.65" thickBot="1" x14ac:dyDescent="0.5">
      <c r="A4" s="2" t="s">
        <v>7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60</v>
      </c>
      <c r="J4" s="13" t="s">
        <v>61</v>
      </c>
      <c r="K4" s="13" t="s">
        <v>62</v>
      </c>
      <c r="L4" s="13" t="s">
        <v>63</v>
      </c>
      <c r="M4" s="13" t="s">
        <v>64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2" priority="20">
      <formula>B6&lt;&gt;B4</formula>
    </cfRule>
  </conditionalFormatting>
  <conditionalFormatting sqref="B7:G32">
    <cfRule type="expression" dxfId="11" priority="1">
      <formula>B7&lt;&gt;B6</formula>
    </cfRule>
  </conditionalFormatting>
  <conditionalFormatting sqref="H6:M6">
    <cfRule type="expression" dxfId="10" priority="22">
      <formula>H6&lt;&gt;H4</formula>
    </cfRule>
  </conditionalFormatting>
  <conditionalFormatting sqref="H7:M32">
    <cfRule type="expression" dxfId="9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abSelected="1" workbookViewId="0">
      <selection activeCell="C14" sqref="C14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7" t="s">
        <v>13</v>
      </c>
      <c r="B1" s="8" t="s">
        <v>50</v>
      </c>
      <c r="C1" s="8" t="s">
        <v>52</v>
      </c>
      <c r="D1" s="8" t="s">
        <v>50</v>
      </c>
      <c r="E1" s="8" t="s">
        <v>54</v>
      </c>
      <c r="F1" s="8" t="s">
        <v>55</v>
      </c>
      <c r="G1" s="8" t="s">
        <v>57</v>
      </c>
      <c r="H1" s="9" t="s">
        <v>31</v>
      </c>
      <c r="I1" s="9" t="s">
        <v>32</v>
      </c>
      <c r="J1" s="9" t="s">
        <v>26</v>
      </c>
      <c r="K1" s="9" t="s">
        <v>38</v>
      </c>
      <c r="L1" s="9" t="s">
        <v>271</v>
      </c>
      <c r="M1" s="9" t="s">
        <v>35</v>
      </c>
    </row>
    <row r="2" spans="1:13" ht="16.5" customHeight="1" x14ac:dyDescent="0.45">
      <c r="A2" s="7" t="s">
        <v>14</v>
      </c>
      <c r="B2" s="10" t="s">
        <v>11</v>
      </c>
      <c r="C2" s="10" t="s">
        <v>53</v>
      </c>
      <c r="D2" s="10" t="s">
        <v>36</v>
      </c>
      <c r="E2" s="10" t="s">
        <v>40</v>
      </c>
      <c r="F2" s="10" t="s">
        <v>56</v>
      </c>
      <c r="G2" s="10" t="s">
        <v>58</v>
      </c>
      <c r="H2" s="10" t="s">
        <v>39</v>
      </c>
      <c r="I2" s="10" t="s">
        <v>33</v>
      </c>
      <c r="J2" s="10" t="s">
        <v>279</v>
      </c>
      <c r="K2" s="10" t="s">
        <v>39</v>
      </c>
      <c r="L2" s="10" t="s">
        <v>272</v>
      </c>
      <c r="M2" s="10" t="s">
        <v>39</v>
      </c>
    </row>
    <row r="3" spans="1:13" ht="16.5" customHeight="1" x14ac:dyDescent="0.45">
      <c r="A3" s="7" t="s">
        <v>15</v>
      </c>
      <c r="B3" s="10" t="s">
        <v>51</v>
      </c>
      <c r="C3" s="10" t="s">
        <v>19</v>
      </c>
      <c r="D3" s="10" t="s">
        <v>51</v>
      </c>
      <c r="E3" s="10" t="s">
        <v>17</v>
      </c>
      <c r="F3" s="10" t="s">
        <v>34</v>
      </c>
      <c r="G3" s="10" t="s">
        <v>59</v>
      </c>
      <c r="H3" s="10" t="s">
        <v>17</v>
      </c>
      <c r="I3" s="10" t="s">
        <v>34</v>
      </c>
      <c r="J3" s="10" t="s">
        <v>19</v>
      </c>
      <c r="K3" s="10" t="s">
        <v>22</v>
      </c>
      <c r="L3" s="10" t="s">
        <v>34</v>
      </c>
      <c r="M3" s="10" t="s">
        <v>37</v>
      </c>
    </row>
    <row r="4" spans="1:13" ht="14.65" thickBot="1" x14ac:dyDescent="0.5">
      <c r="A4" s="2" t="s">
        <v>6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60</v>
      </c>
      <c r="J4" s="13" t="s">
        <v>61</v>
      </c>
      <c r="K4" s="13" t="s">
        <v>62</v>
      </c>
      <c r="L4" s="13" t="s">
        <v>63</v>
      </c>
      <c r="M4" s="13" t="s">
        <v>64</v>
      </c>
    </row>
    <row r="5" spans="1:13" x14ac:dyDescent="0.45">
      <c r="A5" s="1">
        <v>2000</v>
      </c>
      <c r="B5" s="4"/>
      <c r="C5" s="4">
        <v>7.0601851851851847E-4</v>
      </c>
      <c r="D5" s="4">
        <v>9.3078703703703704E-4</v>
      </c>
      <c r="E5" s="4">
        <v>7.361111111111111E-4</v>
      </c>
      <c r="F5" s="4">
        <v>1.8744212962962961E-3</v>
      </c>
      <c r="G5" s="6">
        <v>1.5354166666666667E-3</v>
      </c>
      <c r="H5" s="4">
        <v>3.8425925925925927E-4</v>
      </c>
      <c r="I5" s="4">
        <v>6.0335648148148152E-4</v>
      </c>
      <c r="J5" s="107">
        <v>7.8541666666666668E-4</v>
      </c>
      <c r="K5" s="107">
        <v>6.4687499999999999E-4</v>
      </c>
      <c r="L5" s="106"/>
      <c r="M5" s="107">
        <v>8.7685185185185186E-4</v>
      </c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>
        <v>9.2777777777777769E-4</v>
      </c>
      <c r="E6" s="3">
        <v>7.3368055555555556E-4</v>
      </c>
      <c r="F6" s="3">
        <v>1.8341435185185186E-3</v>
      </c>
      <c r="G6" s="5">
        <v>1.5353009259259261E-3</v>
      </c>
      <c r="H6" s="3">
        <v>3.8425925925925927E-4</v>
      </c>
      <c r="I6" s="3">
        <v>6.0335648148148152E-4</v>
      </c>
      <c r="J6" s="3">
        <v>7.7442129629629627E-4</v>
      </c>
      <c r="K6" s="3">
        <v>6.4687499999999999E-4</v>
      </c>
      <c r="L6" s="3">
        <v>1.6050925925925926E-3</v>
      </c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7.0497685185185192E-4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6.8645833333333341E-4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6.5891203703703706E-4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6.5891203703703706E-4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6.5891203703703706E-4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6.6203703703703704E-4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5:G32">
    <cfRule type="expression" dxfId="0" priority="2">
      <formula>B5&lt;&gt;B4</formula>
    </cfRule>
  </conditionalFormatting>
  <conditionalFormatting sqref="H5:M32">
    <cfRule type="expression" dxfId="1" priority="1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124</v>
      </c>
      <c r="B1" s="25" t="s">
        <v>126</v>
      </c>
      <c r="C1" s="25" t="s">
        <v>125</v>
      </c>
      <c r="D1" s="25" t="s">
        <v>9</v>
      </c>
      <c r="E1" s="25" t="s">
        <v>128</v>
      </c>
      <c r="F1" s="25" t="s">
        <v>129</v>
      </c>
      <c r="G1" s="25" t="s">
        <v>130</v>
      </c>
      <c r="H1" s="25" t="s">
        <v>10</v>
      </c>
      <c r="I1" s="25" t="s">
        <v>131</v>
      </c>
      <c r="J1" s="25" t="s">
        <v>133</v>
      </c>
      <c r="K1" s="25" t="s">
        <v>132</v>
      </c>
      <c r="L1" s="25" t="s">
        <v>134</v>
      </c>
      <c r="M1" s="25" t="s">
        <v>135</v>
      </c>
      <c r="N1" s="25" t="s">
        <v>148</v>
      </c>
      <c r="O1" s="25" t="s">
        <v>150</v>
      </c>
      <c r="P1" s="25" t="s">
        <v>151</v>
      </c>
      <c r="Q1" s="25" t="s">
        <v>136</v>
      </c>
      <c r="R1" s="25" t="s">
        <v>137</v>
      </c>
      <c r="S1" s="25" t="s">
        <v>138</v>
      </c>
      <c r="T1" s="25" t="s">
        <v>139</v>
      </c>
      <c r="U1" s="25" t="s">
        <v>144</v>
      </c>
    </row>
    <row r="2" spans="1:21" x14ac:dyDescent="0.45">
      <c r="A2" s="24" t="s">
        <v>159</v>
      </c>
      <c r="B2" s="24" t="s">
        <v>127</v>
      </c>
      <c r="C2" s="24">
        <v>15</v>
      </c>
      <c r="D2" s="24">
        <v>50</v>
      </c>
      <c r="E2" s="24" t="s">
        <v>179</v>
      </c>
      <c r="F2" s="24" t="s">
        <v>180</v>
      </c>
      <c r="G2" s="24" t="s">
        <v>158</v>
      </c>
      <c r="H2" s="24" t="s">
        <v>140</v>
      </c>
      <c r="I2" s="24" t="s">
        <v>141</v>
      </c>
      <c r="J2" s="24" t="s">
        <v>142</v>
      </c>
      <c r="K2" s="24"/>
      <c r="L2" s="24"/>
      <c r="M2" s="24" t="s">
        <v>6</v>
      </c>
      <c r="N2" s="24" t="s">
        <v>178</v>
      </c>
      <c r="O2" s="24">
        <v>0</v>
      </c>
      <c r="P2" s="24">
        <v>3</v>
      </c>
      <c r="Q2" s="24" t="s">
        <v>143</v>
      </c>
      <c r="R2" s="24"/>
      <c r="S2" s="24"/>
      <c r="T2" s="24">
        <v>10</v>
      </c>
      <c r="U2" s="24" t="s">
        <v>147</v>
      </c>
    </row>
    <row r="3" spans="1:21" x14ac:dyDescent="0.45">
      <c r="A3" s="24" t="s">
        <v>160</v>
      </c>
      <c r="B3" s="24" t="s">
        <v>145</v>
      </c>
      <c r="C3" s="24">
        <v>15</v>
      </c>
      <c r="D3" s="24">
        <v>50</v>
      </c>
      <c r="E3" s="24" t="s">
        <v>179</v>
      </c>
      <c r="F3" s="24" t="s">
        <v>180</v>
      </c>
      <c r="G3" s="24" t="s">
        <v>158</v>
      </c>
      <c r="H3" s="24" t="s">
        <v>140</v>
      </c>
      <c r="I3" s="24" t="s">
        <v>141</v>
      </c>
      <c r="J3" s="24" t="s">
        <v>142</v>
      </c>
      <c r="K3" s="24"/>
      <c r="L3" s="24"/>
      <c r="M3" s="24" t="s">
        <v>6</v>
      </c>
      <c r="N3" s="24" t="s">
        <v>178</v>
      </c>
      <c r="O3" s="24">
        <v>0</v>
      </c>
      <c r="P3" s="24">
        <v>3</v>
      </c>
      <c r="Q3" s="24" t="s">
        <v>143</v>
      </c>
      <c r="R3" s="24"/>
      <c r="S3" s="24"/>
      <c r="T3" s="24">
        <v>10</v>
      </c>
      <c r="U3" s="24" t="s">
        <v>146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8" sqref="E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124</v>
      </c>
      <c r="B1" s="25" t="s">
        <v>126</v>
      </c>
      <c r="C1" s="25" t="s">
        <v>125</v>
      </c>
      <c r="D1" s="25" t="s">
        <v>9</v>
      </c>
      <c r="E1" s="25" t="s">
        <v>128</v>
      </c>
      <c r="F1" s="25" t="s">
        <v>129</v>
      </c>
      <c r="G1" s="25" t="s">
        <v>130</v>
      </c>
      <c r="H1" s="25" t="s">
        <v>10</v>
      </c>
      <c r="I1" s="25" t="s">
        <v>131</v>
      </c>
      <c r="J1" s="25" t="s">
        <v>133</v>
      </c>
      <c r="K1" s="25" t="s">
        <v>132</v>
      </c>
      <c r="L1" s="25" t="s">
        <v>134</v>
      </c>
      <c r="M1" s="25" t="s">
        <v>135</v>
      </c>
      <c r="N1" s="25" t="s">
        <v>148</v>
      </c>
      <c r="O1" s="25" t="s">
        <v>150</v>
      </c>
      <c r="P1" s="25" t="s">
        <v>151</v>
      </c>
      <c r="Q1" s="25" t="s">
        <v>136</v>
      </c>
      <c r="R1" s="25" t="s">
        <v>137</v>
      </c>
      <c r="S1" s="25" t="s">
        <v>138</v>
      </c>
      <c r="T1" s="25" t="s">
        <v>139</v>
      </c>
      <c r="U1" s="25" t="s">
        <v>144</v>
      </c>
    </row>
    <row r="2" spans="1:21" x14ac:dyDescent="0.45">
      <c r="A2" s="24" t="s">
        <v>152</v>
      </c>
      <c r="B2" s="24" t="s">
        <v>127</v>
      </c>
      <c r="C2" s="24">
        <v>19</v>
      </c>
      <c r="D2" s="24">
        <v>50</v>
      </c>
      <c r="E2" s="24" t="s">
        <v>158</v>
      </c>
      <c r="F2" s="24" t="s">
        <v>278</v>
      </c>
      <c r="G2" s="24" t="s">
        <v>158</v>
      </c>
      <c r="H2" s="24" t="s">
        <v>140</v>
      </c>
      <c r="I2" s="24" t="s">
        <v>141</v>
      </c>
      <c r="J2" s="24" t="s">
        <v>142</v>
      </c>
      <c r="K2" s="24"/>
      <c r="L2" s="24"/>
      <c r="M2" s="24" t="s">
        <v>6</v>
      </c>
      <c r="N2" s="24" t="s">
        <v>149</v>
      </c>
      <c r="O2" s="24">
        <v>0</v>
      </c>
      <c r="P2" s="24">
        <v>3</v>
      </c>
      <c r="Q2" s="24" t="s">
        <v>142</v>
      </c>
      <c r="R2" s="24">
        <v>0</v>
      </c>
      <c r="S2" s="24">
        <v>0</v>
      </c>
      <c r="T2" s="24">
        <v>10</v>
      </c>
      <c r="U2" s="24" t="s">
        <v>147</v>
      </c>
    </row>
    <row r="3" spans="1:21" x14ac:dyDescent="0.45">
      <c r="A3" s="24" t="s">
        <v>153</v>
      </c>
      <c r="B3" s="24" t="s">
        <v>145</v>
      </c>
      <c r="C3" s="24">
        <v>19</v>
      </c>
      <c r="D3" s="24">
        <v>50</v>
      </c>
      <c r="E3" s="24" t="s">
        <v>158</v>
      </c>
      <c r="F3" s="24" t="s">
        <v>278</v>
      </c>
      <c r="G3" s="24" t="s">
        <v>158</v>
      </c>
      <c r="H3" s="24" t="s">
        <v>140</v>
      </c>
      <c r="I3" s="24" t="s">
        <v>141</v>
      </c>
      <c r="J3" s="24" t="s">
        <v>142</v>
      </c>
      <c r="K3" s="24"/>
      <c r="L3" s="24"/>
      <c r="M3" s="24" t="s">
        <v>6</v>
      </c>
      <c r="N3" s="24" t="s">
        <v>149</v>
      </c>
      <c r="O3" s="24">
        <v>0</v>
      </c>
      <c r="P3" s="24">
        <v>3</v>
      </c>
      <c r="Q3" s="24" t="s">
        <v>142</v>
      </c>
      <c r="R3" s="24">
        <v>0</v>
      </c>
      <c r="S3" s="24">
        <v>0</v>
      </c>
      <c r="T3" s="24">
        <v>10</v>
      </c>
      <c r="U3" s="24" t="s">
        <v>146</v>
      </c>
    </row>
    <row r="4" spans="1:21" x14ac:dyDescent="0.45">
      <c r="A4" s="24" t="s">
        <v>154</v>
      </c>
      <c r="B4" s="24" t="s">
        <v>127</v>
      </c>
      <c r="C4" s="24">
        <v>17</v>
      </c>
      <c r="D4" s="24">
        <v>18</v>
      </c>
      <c r="E4" s="24" t="s">
        <v>158</v>
      </c>
      <c r="F4" s="24" t="s">
        <v>278</v>
      </c>
      <c r="G4" s="24" t="s">
        <v>158</v>
      </c>
      <c r="H4" s="24" t="s">
        <v>140</v>
      </c>
      <c r="I4" s="24" t="s">
        <v>141</v>
      </c>
      <c r="J4" s="24" t="s">
        <v>142</v>
      </c>
      <c r="K4" s="24"/>
      <c r="L4" s="24"/>
      <c r="M4" s="24" t="s">
        <v>6</v>
      </c>
      <c r="N4" s="24" t="s">
        <v>149</v>
      </c>
      <c r="O4" s="24">
        <v>0</v>
      </c>
      <c r="P4" s="24">
        <v>3</v>
      </c>
      <c r="Q4" s="24" t="s">
        <v>142</v>
      </c>
      <c r="R4" s="24">
        <v>0</v>
      </c>
      <c r="S4" s="24">
        <v>0</v>
      </c>
      <c r="T4" s="24">
        <v>10</v>
      </c>
      <c r="U4" s="24" t="s">
        <v>208</v>
      </c>
    </row>
    <row r="5" spans="1:21" x14ac:dyDescent="0.45">
      <c r="A5" s="24" t="s">
        <v>155</v>
      </c>
      <c r="B5" s="24" t="s">
        <v>145</v>
      </c>
      <c r="C5" s="24">
        <v>17</v>
      </c>
      <c r="D5" s="24">
        <v>18</v>
      </c>
      <c r="E5" s="24" t="s">
        <v>158</v>
      </c>
      <c r="F5" s="24" t="s">
        <v>278</v>
      </c>
      <c r="G5" s="24" t="s">
        <v>158</v>
      </c>
      <c r="H5" s="24" t="s">
        <v>140</v>
      </c>
      <c r="I5" s="24" t="s">
        <v>141</v>
      </c>
      <c r="J5" s="24" t="s">
        <v>142</v>
      </c>
      <c r="K5" s="24"/>
      <c r="L5" s="24"/>
      <c r="M5" s="24" t="s">
        <v>6</v>
      </c>
      <c r="N5" s="24" t="s">
        <v>149</v>
      </c>
      <c r="O5" s="24">
        <v>0</v>
      </c>
      <c r="P5" s="24">
        <v>3</v>
      </c>
      <c r="Q5" s="24" t="s">
        <v>142</v>
      </c>
      <c r="R5" s="24">
        <v>0</v>
      </c>
      <c r="S5" s="24">
        <v>0</v>
      </c>
      <c r="T5" s="24">
        <v>10</v>
      </c>
      <c r="U5" s="24"/>
    </row>
    <row r="6" spans="1:21" x14ac:dyDescent="0.45">
      <c r="A6" s="24" t="s">
        <v>156</v>
      </c>
      <c r="B6" s="24" t="s">
        <v>127</v>
      </c>
      <c r="C6" s="24">
        <v>15</v>
      </c>
      <c r="D6" s="24">
        <v>16</v>
      </c>
      <c r="E6" s="24" t="s">
        <v>158</v>
      </c>
      <c r="F6" s="24" t="s">
        <v>278</v>
      </c>
      <c r="G6" s="24" t="s">
        <v>158</v>
      </c>
      <c r="H6" s="24" t="s">
        <v>140</v>
      </c>
      <c r="I6" s="24" t="s">
        <v>141</v>
      </c>
      <c r="J6" s="24" t="s">
        <v>142</v>
      </c>
      <c r="K6" s="24"/>
      <c r="L6" s="24"/>
      <c r="M6" s="24" t="s">
        <v>6</v>
      </c>
      <c r="N6" s="24" t="s">
        <v>149</v>
      </c>
      <c r="O6" s="24">
        <v>0</v>
      </c>
      <c r="P6" s="24">
        <v>3</v>
      </c>
      <c r="Q6" s="24" t="s">
        <v>142</v>
      </c>
      <c r="R6" s="24">
        <v>0</v>
      </c>
      <c r="S6" s="24">
        <v>0</v>
      </c>
      <c r="T6" s="24">
        <v>10</v>
      </c>
      <c r="U6" s="24"/>
    </row>
    <row r="7" spans="1:21" x14ac:dyDescent="0.45">
      <c r="A7" s="24" t="s">
        <v>157</v>
      </c>
      <c r="B7" s="24" t="s">
        <v>145</v>
      </c>
      <c r="C7" s="24">
        <v>15</v>
      </c>
      <c r="D7" s="24">
        <v>16</v>
      </c>
      <c r="E7" s="24" t="s">
        <v>158</v>
      </c>
      <c r="F7" s="24" t="s">
        <v>278</v>
      </c>
      <c r="G7" s="24" t="s">
        <v>158</v>
      </c>
      <c r="H7" s="24" t="s">
        <v>140</v>
      </c>
      <c r="I7" s="24" t="s">
        <v>141</v>
      </c>
      <c r="J7" s="24" t="s">
        <v>142</v>
      </c>
      <c r="K7" s="24"/>
      <c r="L7" s="24"/>
      <c r="M7" s="24" t="s">
        <v>6</v>
      </c>
      <c r="N7" s="24" t="s">
        <v>149</v>
      </c>
      <c r="O7" s="24">
        <v>0</v>
      </c>
      <c r="P7" s="24">
        <v>3</v>
      </c>
      <c r="Q7" s="24" t="s">
        <v>142</v>
      </c>
      <c r="R7" s="24">
        <v>0</v>
      </c>
      <c r="S7" s="24">
        <v>0</v>
      </c>
      <c r="T7" s="24">
        <v>10</v>
      </c>
      <c r="U7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>
    <tabColor theme="5"/>
  </sheetPr>
  <dimension ref="A1:U5"/>
  <sheetViews>
    <sheetView workbookViewId="0">
      <selection activeCell="E5" sqref="E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124</v>
      </c>
      <c r="B1" s="25" t="s">
        <v>126</v>
      </c>
      <c r="C1" s="25" t="s">
        <v>125</v>
      </c>
      <c r="D1" s="25" t="s">
        <v>9</v>
      </c>
      <c r="E1" s="25" t="s">
        <v>128</v>
      </c>
      <c r="F1" s="25" t="s">
        <v>129</v>
      </c>
      <c r="G1" s="25" t="s">
        <v>130</v>
      </c>
      <c r="H1" s="25" t="s">
        <v>10</v>
      </c>
      <c r="I1" s="25" t="s">
        <v>131</v>
      </c>
      <c r="J1" s="25" t="s">
        <v>133</v>
      </c>
      <c r="K1" s="25" t="s">
        <v>132</v>
      </c>
      <c r="L1" s="25" t="s">
        <v>134</v>
      </c>
      <c r="M1" s="25" t="s">
        <v>135</v>
      </c>
      <c r="N1" s="25" t="s">
        <v>148</v>
      </c>
      <c r="O1" s="25" t="s">
        <v>150</v>
      </c>
      <c r="P1" s="25" t="s">
        <v>151</v>
      </c>
      <c r="Q1" s="25" t="s">
        <v>136</v>
      </c>
      <c r="R1" s="25" t="s">
        <v>137</v>
      </c>
      <c r="S1" s="25" t="s">
        <v>138</v>
      </c>
      <c r="T1" s="25" t="s">
        <v>139</v>
      </c>
      <c r="U1" s="25" t="s">
        <v>144</v>
      </c>
    </row>
    <row r="2" spans="1:21" x14ac:dyDescent="0.45">
      <c r="A2" s="24" t="s">
        <v>268</v>
      </c>
      <c r="B2" s="24" t="s">
        <v>127</v>
      </c>
      <c r="C2" s="24">
        <v>19</v>
      </c>
      <c r="D2" s="24">
        <v>50</v>
      </c>
      <c r="E2" s="24" t="s">
        <v>158</v>
      </c>
      <c r="F2" s="24" t="s">
        <v>270</v>
      </c>
      <c r="G2" s="24" t="s">
        <v>158</v>
      </c>
      <c r="H2" s="24" t="s">
        <v>140</v>
      </c>
      <c r="I2" s="24" t="s">
        <v>141</v>
      </c>
      <c r="J2" s="24" t="s">
        <v>142</v>
      </c>
      <c r="K2" s="24">
        <v>50</v>
      </c>
      <c r="L2" s="24"/>
      <c r="M2" s="24" t="s">
        <v>6</v>
      </c>
      <c r="N2" s="24" t="s">
        <v>149</v>
      </c>
      <c r="O2" s="24">
        <v>0</v>
      </c>
      <c r="P2" s="24">
        <v>3</v>
      </c>
      <c r="Q2" s="24" t="s">
        <v>142</v>
      </c>
      <c r="R2" s="24">
        <v>0</v>
      </c>
      <c r="S2" s="24">
        <v>0</v>
      </c>
      <c r="T2" s="24">
        <v>10</v>
      </c>
      <c r="U2" s="24"/>
    </row>
    <row r="3" spans="1:21" x14ac:dyDescent="0.45">
      <c r="A3" s="24" t="s">
        <v>267</v>
      </c>
      <c r="B3" s="24" t="s">
        <v>145</v>
      </c>
      <c r="C3" s="24">
        <v>19</v>
      </c>
      <c r="D3" s="24">
        <v>50</v>
      </c>
      <c r="E3" s="24" t="s">
        <v>158</v>
      </c>
      <c r="F3" s="24" t="s">
        <v>270</v>
      </c>
      <c r="G3" s="24" t="s">
        <v>158</v>
      </c>
      <c r="H3" s="24" t="s">
        <v>140</v>
      </c>
      <c r="I3" s="24" t="s">
        <v>141</v>
      </c>
      <c r="J3" s="24" t="s">
        <v>142</v>
      </c>
      <c r="K3" s="24">
        <v>50</v>
      </c>
      <c r="L3" s="24"/>
      <c r="M3" s="24" t="s">
        <v>6</v>
      </c>
      <c r="N3" s="24" t="s">
        <v>149</v>
      </c>
      <c r="O3" s="24">
        <v>0</v>
      </c>
      <c r="P3" s="24">
        <v>3</v>
      </c>
      <c r="Q3" s="24" t="s">
        <v>142</v>
      </c>
      <c r="R3" s="24">
        <v>0</v>
      </c>
      <c r="S3" s="24">
        <v>0</v>
      </c>
      <c r="T3" s="24">
        <v>10</v>
      </c>
      <c r="U3" s="24"/>
    </row>
    <row r="4" spans="1:21" x14ac:dyDescent="0.45">
      <c r="A4" s="24" t="s">
        <v>266</v>
      </c>
      <c r="B4" s="24" t="s">
        <v>127</v>
      </c>
      <c r="C4" s="24">
        <v>15</v>
      </c>
      <c r="D4" s="24">
        <v>18</v>
      </c>
      <c r="E4" s="24" t="s">
        <v>158</v>
      </c>
      <c r="F4" s="24" t="s">
        <v>270</v>
      </c>
      <c r="G4" s="24" t="s">
        <v>158</v>
      </c>
      <c r="H4" s="24" t="s">
        <v>140</v>
      </c>
      <c r="I4" s="24" t="s">
        <v>141</v>
      </c>
      <c r="J4" s="24" t="s">
        <v>142</v>
      </c>
      <c r="K4" s="24">
        <v>50</v>
      </c>
      <c r="L4" s="24"/>
      <c r="M4" s="24" t="s">
        <v>7</v>
      </c>
      <c r="N4" s="24" t="s">
        <v>149</v>
      </c>
      <c r="O4" s="24">
        <v>0</v>
      </c>
      <c r="P4" s="24">
        <v>3</v>
      </c>
      <c r="Q4" s="24" t="s">
        <v>142</v>
      </c>
      <c r="R4" s="24">
        <v>0</v>
      </c>
      <c r="S4" s="24">
        <v>0</v>
      </c>
      <c r="T4" s="24">
        <v>10</v>
      </c>
      <c r="U4" s="24"/>
    </row>
    <row r="5" spans="1:21" x14ac:dyDescent="0.45">
      <c r="A5" s="24" t="s">
        <v>269</v>
      </c>
      <c r="B5" s="24" t="s">
        <v>145</v>
      </c>
      <c r="C5" s="24">
        <v>15</v>
      </c>
      <c r="D5" s="24">
        <v>18</v>
      </c>
      <c r="E5" s="24" t="s">
        <v>158</v>
      </c>
      <c r="F5" s="24" t="s">
        <v>270</v>
      </c>
      <c r="G5" s="24" t="s">
        <v>158</v>
      </c>
      <c r="H5" s="24" t="s">
        <v>140</v>
      </c>
      <c r="I5" s="24" t="s">
        <v>141</v>
      </c>
      <c r="J5" s="24" t="s">
        <v>142</v>
      </c>
      <c r="K5" s="24">
        <v>50</v>
      </c>
      <c r="L5" s="24"/>
      <c r="M5" s="24" t="s">
        <v>7</v>
      </c>
      <c r="N5" s="24" t="s">
        <v>149</v>
      </c>
      <c r="O5" s="24">
        <v>0</v>
      </c>
      <c r="P5" s="24">
        <v>3</v>
      </c>
      <c r="Q5" s="24" t="s">
        <v>142</v>
      </c>
      <c r="R5" s="24">
        <v>0</v>
      </c>
      <c r="S5" s="24">
        <v>0</v>
      </c>
      <c r="T5" s="24">
        <v>10</v>
      </c>
      <c r="U5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4" t="s">
        <v>124</v>
      </c>
      <c r="B1" s="24" t="s">
        <v>126</v>
      </c>
      <c r="C1" s="24" t="s">
        <v>161</v>
      </c>
      <c r="D1" s="24" t="s">
        <v>9</v>
      </c>
      <c r="E1" s="24" t="s">
        <v>128</v>
      </c>
      <c r="F1" s="24" t="s">
        <v>129</v>
      </c>
      <c r="G1" s="24" t="s">
        <v>130</v>
      </c>
      <c r="H1" s="24" t="s">
        <v>131</v>
      </c>
      <c r="I1" s="24" t="s">
        <v>133</v>
      </c>
      <c r="J1" s="24" t="s">
        <v>132</v>
      </c>
      <c r="K1" s="24" t="s">
        <v>134</v>
      </c>
      <c r="L1" s="24" t="s">
        <v>139</v>
      </c>
      <c r="M1" s="24" t="s">
        <v>162</v>
      </c>
      <c r="N1" s="24" t="s">
        <v>163</v>
      </c>
      <c r="O1" s="24" t="s">
        <v>164</v>
      </c>
      <c r="P1" s="24" t="s">
        <v>167</v>
      </c>
      <c r="Q1" s="24" t="s">
        <v>166</v>
      </c>
      <c r="R1" s="24" t="s">
        <v>165</v>
      </c>
      <c r="S1" s="24" t="s">
        <v>168</v>
      </c>
      <c r="T1" s="24" t="s">
        <v>169</v>
      </c>
      <c r="U1" s="24" t="s">
        <v>170</v>
      </c>
      <c r="V1" s="24" t="s">
        <v>171</v>
      </c>
      <c r="W1" s="24" t="s">
        <v>172</v>
      </c>
      <c r="X1" s="24" t="s">
        <v>173</v>
      </c>
    </row>
    <row r="2" spans="1:24" x14ac:dyDescent="0.45">
      <c r="A2" s="24" t="s">
        <v>174</v>
      </c>
      <c r="B2" s="24" t="s">
        <v>127</v>
      </c>
      <c r="C2" s="24">
        <v>15</v>
      </c>
      <c r="D2" s="24">
        <v>16</v>
      </c>
      <c r="E2" s="26">
        <v>45658</v>
      </c>
      <c r="F2" s="26">
        <v>46113</v>
      </c>
      <c r="G2" s="26">
        <v>45658</v>
      </c>
      <c r="H2" s="24" t="s">
        <v>141</v>
      </c>
      <c r="I2" s="24" t="s">
        <v>143</v>
      </c>
      <c r="J2" s="24"/>
      <c r="K2" s="24"/>
      <c r="L2" s="24">
        <v>10</v>
      </c>
      <c r="M2" s="27">
        <v>4.8136574074074076E-4</v>
      </c>
      <c r="N2" s="27">
        <v>8.0497685185185186E-4</v>
      </c>
      <c r="O2" s="27">
        <v>1.0570601851851852E-3</v>
      </c>
      <c r="P2" s="27">
        <v>8.5497685185185188E-4</v>
      </c>
      <c r="Q2" s="27">
        <v>2.0892361111111112E-3</v>
      </c>
      <c r="R2" s="27">
        <v>1.8401620370370371E-3</v>
      </c>
      <c r="S2" s="27">
        <v>5.0462962962962961E-4</v>
      </c>
      <c r="T2" s="27">
        <v>8.5474537037037029E-4</v>
      </c>
      <c r="U2" s="27">
        <v>1.1590277777777777E-3</v>
      </c>
      <c r="V2" s="27">
        <v>8.9409722222222223E-4</v>
      </c>
      <c r="W2" s="27">
        <v>2.2304398148148149E-3</v>
      </c>
      <c r="X2" s="27">
        <v>1.9623842592592592E-3</v>
      </c>
    </row>
    <row r="3" spans="1:24" x14ac:dyDescent="0.45">
      <c r="A3" s="24" t="s">
        <v>175</v>
      </c>
      <c r="B3" s="24" t="s">
        <v>145</v>
      </c>
      <c r="C3" s="24">
        <v>15</v>
      </c>
      <c r="D3" s="24">
        <v>16</v>
      </c>
      <c r="E3" s="26">
        <v>45658</v>
      </c>
      <c r="F3" s="26">
        <v>46113</v>
      </c>
      <c r="G3" s="26">
        <v>45658</v>
      </c>
      <c r="H3" s="24" t="s">
        <v>141</v>
      </c>
      <c r="I3" s="24" t="s">
        <v>143</v>
      </c>
      <c r="J3" s="24"/>
      <c r="K3" s="24"/>
      <c r="L3" s="24">
        <v>10</v>
      </c>
      <c r="M3" s="27">
        <v>4.2962962962962958E-4</v>
      </c>
      <c r="N3" s="27">
        <v>7.1435185185185187E-4</v>
      </c>
      <c r="O3" s="27">
        <v>9.710648148148149E-4</v>
      </c>
      <c r="P3" s="27">
        <v>7.6932870370370371E-4</v>
      </c>
      <c r="Q3" s="27">
        <v>1.8946759259259257E-3</v>
      </c>
      <c r="R3" s="27">
        <v>1.6849537037037035E-3</v>
      </c>
      <c r="S3" s="27">
        <v>4.5416666666666668E-4</v>
      </c>
      <c r="T3" s="27">
        <v>7.6006944444444451E-4</v>
      </c>
      <c r="U3" s="27">
        <v>1.0402777777777778E-3</v>
      </c>
      <c r="V3" s="27">
        <v>8.1701388888888893E-4</v>
      </c>
      <c r="W3" s="27">
        <v>2.0715277777777776E-3</v>
      </c>
      <c r="X3" s="27">
        <v>1.8121527777777778E-3</v>
      </c>
    </row>
    <row r="4" spans="1:24" x14ac:dyDescent="0.45">
      <c r="A4" s="24" t="s">
        <v>176</v>
      </c>
      <c r="B4" s="24" t="s">
        <v>127</v>
      </c>
      <c r="C4" s="24">
        <v>17</v>
      </c>
      <c r="D4" s="24">
        <v>18</v>
      </c>
      <c r="E4" s="26">
        <v>45658</v>
      </c>
      <c r="F4" s="26">
        <v>46113</v>
      </c>
      <c r="G4" s="26">
        <v>45658</v>
      </c>
      <c r="H4" s="24" t="s">
        <v>141</v>
      </c>
      <c r="I4" s="24" t="s">
        <v>143</v>
      </c>
      <c r="J4" s="24"/>
      <c r="K4" s="24"/>
      <c r="L4" s="24">
        <v>10</v>
      </c>
      <c r="M4" s="27">
        <v>4.7048611111111108E-4</v>
      </c>
      <c r="N4" s="27">
        <v>7.8125000000000004E-4</v>
      </c>
      <c r="O4" s="27">
        <v>1.0002314814814815E-3</v>
      </c>
      <c r="P4" s="27">
        <v>8.2349537037037048E-4</v>
      </c>
      <c r="Q4" s="27">
        <v>1.9892361111111113E-3</v>
      </c>
      <c r="R4" s="27">
        <v>1.8848379629629629E-3</v>
      </c>
      <c r="S4" s="27">
        <v>5.0428240740740739E-4</v>
      </c>
      <c r="T4" s="27">
        <v>8.2812499999999998E-4</v>
      </c>
      <c r="U4" s="27">
        <v>1.0603009259259259E-3</v>
      </c>
      <c r="V4" s="27">
        <v>8.729166666666667E-4</v>
      </c>
      <c r="W4" s="27">
        <v>2.1085648148148149E-3</v>
      </c>
      <c r="X4" s="27">
        <v>1.9979166666666665E-3</v>
      </c>
    </row>
    <row r="5" spans="1:24" x14ac:dyDescent="0.45">
      <c r="A5" s="24" t="s">
        <v>177</v>
      </c>
      <c r="B5" s="24" t="s">
        <v>145</v>
      </c>
      <c r="C5" s="24">
        <v>17</v>
      </c>
      <c r="D5" s="24">
        <v>18</v>
      </c>
      <c r="E5" s="26">
        <v>45658</v>
      </c>
      <c r="F5" s="26">
        <v>46113</v>
      </c>
      <c r="G5" s="26">
        <v>45658</v>
      </c>
      <c r="H5" s="24" t="s">
        <v>141</v>
      </c>
      <c r="I5" s="24" t="s">
        <v>143</v>
      </c>
      <c r="J5" s="24"/>
      <c r="K5" s="24"/>
      <c r="L5" s="24">
        <v>10</v>
      </c>
      <c r="M5" s="27">
        <v>3.9583333333333338E-4</v>
      </c>
      <c r="N5" s="27">
        <v>6.596064814814815E-4</v>
      </c>
      <c r="O5" s="27">
        <v>8.7384259259259262E-4</v>
      </c>
      <c r="P5" s="27">
        <v>7.2835648148148152E-4</v>
      </c>
      <c r="Q5" s="27">
        <v>1.7810185185185184E-3</v>
      </c>
      <c r="R5" s="27">
        <v>1.6655092592592594E-3</v>
      </c>
      <c r="S5" s="27">
        <v>4.1574074074074077E-4</v>
      </c>
      <c r="T5" s="27">
        <v>6.9918981481481481E-4</v>
      </c>
      <c r="U5" s="27">
        <v>9.2627314814814818E-4</v>
      </c>
      <c r="V5" s="27">
        <v>7.7210648148148136E-4</v>
      </c>
      <c r="W5" s="27">
        <v>1.8949074074074074E-3</v>
      </c>
      <c r="X5" s="27">
        <v>1.7653935185185186E-3</v>
      </c>
    </row>
    <row r="6" spans="1:24" x14ac:dyDescent="0.45">
      <c r="A6" s="24" t="s">
        <v>152</v>
      </c>
      <c r="B6" s="24" t="s">
        <v>127</v>
      </c>
      <c r="C6" s="24">
        <v>19</v>
      </c>
      <c r="D6" s="24">
        <v>100</v>
      </c>
      <c r="E6" s="26">
        <v>45658</v>
      </c>
      <c r="F6" s="26">
        <v>46113</v>
      </c>
      <c r="G6" s="26">
        <v>45658</v>
      </c>
      <c r="H6" s="24" t="s">
        <v>141</v>
      </c>
      <c r="I6" s="24" t="s">
        <v>143</v>
      </c>
      <c r="J6" s="24"/>
      <c r="K6" s="24"/>
      <c r="L6" s="24">
        <v>10</v>
      </c>
      <c r="M6" s="27">
        <v>4.5150462962962961E-4</v>
      </c>
      <c r="N6" s="27">
        <v>7.2407407407407414E-4</v>
      </c>
      <c r="O6" s="27">
        <v>1.0059027777777777E-3</v>
      </c>
      <c r="P6" s="27">
        <v>7.6840277777777779E-4</v>
      </c>
      <c r="Q6" s="27">
        <v>1.9185185185185184E-3</v>
      </c>
      <c r="R6" s="27">
        <v>1.7923611111111113E-3</v>
      </c>
      <c r="S6" s="27">
        <v>4.7858796296296299E-4</v>
      </c>
      <c r="T6" s="27">
        <v>7.6747685185185187E-4</v>
      </c>
      <c r="U6" s="27">
        <v>1.0662037037037038E-3</v>
      </c>
      <c r="V6" s="27">
        <v>8.1446759259259265E-4</v>
      </c>
      <c r="W6" s="27">
        <v>2.0336805555555555E-3</v>
      </c>
      <c r="X6" s="27">
        <v>1.8998842592592594E-3</v>
      </c>
    </row>
    <row r="7" spans="1:24" x14ac:dyDescent="0.45">
      <c r="A7" s="24" t="s">
        <v>153</v>
      </c>
      <c r="B7" s="24" t="s">
        <v>145</v>
      </c>
      <c r="C7" s="24">
        <v>19</v>
      </c>
      <c r="D7" s="24">
        <v>100</v>
      </c>
      <c r="E7" s="26">
        <v>45658</v>
      </c>
      <c r="F7" s="26">
        <v>46113</v>
      </c>
      <c r="G7" s="26">
        <v>45658</v>
      </c>
      <c r="H7" s="24" t="s">
        <v>141</v>
      </c>
      <c r="I7" s="24" t="s">
        <v>143</v>
      </c>
      <c r="J7" s="24"/>
      <c r="K7" s="24"/>
      <c r="L7" s="24">
        <v>10</v>
      </c>
      <c r="M7" s="27">
        <v>3.6493055555555557E-4</v>
      </c>
      <c r="N7" s="27">
        <v>5.7962962962962959E-4</v>
      </c>
      <c r="O7" s="27">
        <v>7.8923611111111111E-4</v>
      </c>
      <c r="P7" s="27">
        <v>6.3819444444444449E-4</v>
      </c>
      <c r="Q7" s="27">
        <v>1.6078703703703706E-3</v>
      </c>
      <c r="R7" s="27">
        <v>1.5675925925925926E-3</v>
      </c>
      <c r="S7" s="27">
        <v>3.8645833333333333E-4</v>
      </c>
      <c r="T7" s="27">
        <v>6.1435185185185182E-4</v>
      </c>
      <c r="U7" s="27">
        <v>8.3657407407407411E-4</v>
      </c>
      <c r="V7" s="27">
        <v>6.7650462962962966E-4</v>
      </c>
      <c r="W7" s="27">
        <v>1.704398148148148E-3</v>
      </c>
      <c r="X7" s="27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C1" zoomScale="83" workbookViewId="0">
      <selection activeCell="G3" sqref="G3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4" t="s">
        <v>124</v>
      </c>
      <c r="B1" s="24" t="s">
        <v>126</v>
      </c>
      <c r="C1" s="24" t="s">
        <v>161</v>
      </c>
      <c r="D1" s="24" t="s">
        <v>9</v>
      </c>
      <c r="E1" s="24" t="s">
        <v>128</v>
      </c>
      <c r="F1" s="24" t="s">
        <v>129</v>
      </c>
      <c r="G1" s="24" t="s">
        <v>130</v>
      </c>
      <c r="H1" s="24" t="s">
        <v>131</v>
      </c>
      <c r="I1" s="24" t="s">
        <v>133</v>
      </c>
      <c r="J1" s="24" t="s">
        <v>132</v>
      </c>
      <c r="K1" s="24" t="s">
        <v>134</v>
      </c>
      <c r="L1" s="24" t="s">
        <v>139</v>
      </c>
      <c r="M1" s="24" t="s">
        <v>162</v>
      </c>
      <c r="N1" s="24" t="s">
        <v>163</v>
      </c>
      <c r="O1" s="24" t="s">
        <v>164</v>
      </c>
      <c r="P1" s="24" t="s">
        <v>167</v>
      </c>
      <c r="Q1" s="24" t="s">
        <v>166</v>
      </c>
      <c r="R1" s="24" t="s">
        <v>165</v>
      </c>
      <c r="S1" s="24" t="s">
        <v>168</v>
      </c>
      <c r="T1" s="24" t="s">
        <v>169</v>
      </c>
      <c r="U1" s="24" t="s">
        <v>170</v>
      </c>
      <c r="V1" s="24" t="s">
        <v>171</v>
      </c>
      <c r="W1" s="24" t="s">
        <v>172</v>
      </c>
      <c r="X1" s="24" t="s">
        <v>173</v>
      </c>
    </row>
    <row r="2" spans="1:24" x14ac:dyDescent="0.45">
      <c r="A2" s="24" t="s">
        <v>265</v>
      </c>
      <c r="B2" s="24" t="s">
        <v>127</v>
      </c>
      <c r="C2" s="24">
        <v>15</v>
      </c>
      <c r="D2" s="24">
        <v>18</v>
      </c>
      <c r="E2" s="26">
        <v>45839</v>
      </c>
      <c r="F2" s="26">
        <v>46193</v>
      </c>
      <c r="G2" s="26">
        <v>46023</v>
      </c>
      <c r="H2" s="24" t="s">
        <v>141</v>
      </c>
      <c r="I2" s="24" t="s">
        <v>142</v>
      </c>
      <c r="J2" s="24"/>
      <c r="K2" s="24"/>
      <c r="L2" s="24">
        <v>10</v>
      </c>
      <c r="M2" s="27">
        <v>4.6817129629629634E-4</v>
      </c>
      <c r="N2" s="27">
        <v>7.4872685185185188E-4</v>
      </c>
      <c r="O2" s="27">
        <v>9.9224537037037033E-4</v>
      </c>
      <c r="P2" s="27">
        <v>7.8888888888888889E-4</v>
      </c>
      <c r="Q2" s="27">
        <v>1.9605324074074074E-3</v>
      </c>
      <c r="R2" s="27">
        <v>1.7837962962962963E-3</v>
      </c>
      <c r="S2" s="27">
        <v>4.803240740740741E-4</v>
      </c>
      <c r="T2" s="27">
        <v>7.8599537037037039E-4</v>
      </c>
      <c r="U2" s="27">
        <v>1.0240740740740742E-3</v>
      </c>
      <c r="V2" s="27">
        <v>8.2766203703703712E-4</v>
      </c>
      <c r="W2" s="27">
        <v>2.0114583333333334E-3</v>
      </c>
      <c r="X2" s="27">
        <v>1.8332175925925925E-3</v>
      </c>
    </row>
    <row r="3" spans="1:24" x14ac:dyDescent="0.45">
      <c r="A3" s="24" t="s">
        <v>264</v>
      </c>
      <c r="B3" s="24" t="s">
        <v>145</v>
      </c>
      <c r="C3" s="24">
        <v>15</v>
      </c>
      <c r="D3" s="24">
        <v>18</v>
      </c>
      <c r="E3" s="26">
        <v>45839</v>
      </c>
      <c r="F3" s="26">
        <v>46193</v>
      </c>
      <c r="G3" s="26">
        <v>46023</v>
      </c>
      <c r="H3" s="24" t="s">
        <v>141</v>
      </c>
      <c r="I3" s="24" t="s">
        <v>142</v>
      </c>
      <c r="J3" s="24"/>
      <c r="K3" s="24"/>
      <c r="L3" s="24">
        <v>10</v>
      </c>
      <c r="M3" s="27">
        <v>3.9178240740740742E-4</v>
      </c>
      <c r="N3" s="27">
        <v>6.310185185185186E-4</v>
      </c>
      <c r="O3" s="27">
        <v>8.5555555555555558E-4</v>
      </c>
      <c r="P3" s="27">
        <v>7.0196759259259257E-4</v>
      </c>
      <c r="Q3" s="27">
        <v>1.7359953703703704E-3</v>
      </c>
      <c r="R3" s="27">
        <v>1.6295138888888889E-3</v>
      </c>
      <c r="S3" s="27">
        <v>4.1747685185185187E-4</v>
      </c>
      <c r="T3" s="27">
        <v>6.7627314814814818E-4</v>
      </c>
      <c r="U3" s="27">
        <v>8.9861111111111109E-4</v>
      </c>
      <c r="V3" s="27">
        <v>7.2384259259259255E-4</v>
      </c>
      <c r="W3" s="27">
        <v>1.8050925925925927E-3</v>
      </c>
      <c r="X3" s="27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32812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</cols>
  <sheetData>
    <row r="1" spans="1:32" x14ac:dyDescent="0.45">
      <c r="A1" s="24" t="s">
        <v>124</v>
      </c>
      <c r="B1" s="24" t="s">
        <v>126</v>
      </c>
      <c r="C1" s="24" t="s">
        <v>161</v>
      </c>
      <c r="D1" s="24" t="s">
        <v>9</v>
      </c>
      <c r="E1" s="24" t="s">
        <v>128</v>
      </c>
      <c r="F1" s="24" t="s">
        <v>129</v>
      </c>
      <c r="G1" s="24" t="s">
        <v>130</v>
      </c>
      <c r="H1" s="24" t="s">
        <v>131</v>
      </c>
      <c r="I1" s="24" t="s">
        <v>133</v>
      </c>
      <c r="J1" s="24" t="s">
        <v>132</v>
      </c>
      <c r="K1" s="24" t="s">
        <v>134</v>
      </c>
      <c r="L1" s="24" t="s">
        <v>139</v>
      </c>
      <c r="M1" s="24" t="s">
        <v>235</v>
      </c>
      <c r="N1" s="24" t="s">
        <v>236</v>
      </c>
      <c r="O1" s="24" t="s">
        <v>237</v>
      </c>
      <c r="P1" s="24" t="s">
        <v>238</v>
      </c>
      <c r="Q1" s="24" t="s">
        <v>239</v>
      </c>
      <c r="R1" s="24" t="s">
        <v>240</v>
      </c>
      <c r="S1" s="24" t="s">
        <v>241</v>
      </c>
      <c r="T1" s="24" t="s">
        <v>242</v>
      </c>
      <c r="U1" s="24" t="s">
        <v>243</v>
      </c>
      <c r="V1" s="24" t="s">
        <v>244</v>
      </c>
      <c r="W1" s="24" t="s">
        <v>246</v>
      </c>
      <c r="X1" s="24" t="s">
        <v>251</v>
      </c>
      <c r="Y1" s="24" t="s">
        <v>252</v>
      </c>
      <c r="Z1" s="24" t="s">
        <v>245</v>
      </c>
      <c r="AA1" s="24" t="s">
        <v>253</v>
      </c>
      <c r="AB1" s="24" t="s">
        <v>254</v>
      </c>
      <c r="AC1" s="24" t="s">
        <v>247</v>
      </c>
      <c r="AD1" s="24" t="s">
        <v>248</v>
      </c>
      <c r="AE1" s="24" t="s">
        <v>249</v>
      </c>
      <c r="AF1" s="24" t="s">
        <v>250</v>
      </c>
    </row>
    <row r="2" spans="1:32" x14ac:dyDescent="0.45">
      <c r="A2" s="24" t="s">
        <v>229</v>
      </c>
      <c r="B2" s="24" t="s">
        <v>127</v>
      </c>
      <c r="C2" s="24">
        <v>18</v>
      </c>
      <c r="D2" s="24">
        <v>18</v>
      </c>
      <c r="E2" s="26">
        <v>46023</v>
      </c>
      <c r="F2" s="26">
        <v>46388</v>
      </c>
      <c r="G2" s="26">
        <v>46023</v>
      </c>
      <c r="H2" s="24" t="s">
        <v>141</v>
      </c>
      <c r="I2" s="24" t="s">
        <v>143</v>
      </c>
      <c r="J2" s="24"/>
      <c r="K2" s="24"/>
      <c r="L2" s="24">
        <v>10</v>
      </c>
      <c r="M2" s="24">
        <v>2</v>
      </c>
      <c r="N2" s="27">
        <f>'NK-LK Transf.'!BQ12</f>
        <v>5.3782870370370367E-4</v>
      </c>
      <c r="O2" s="27">
        <f>'NK-LK Transf.'!BQ14</f>
        <v>8.139814814814815E-4</v>
      </c>
      <c r="P2" s="27">
        <f>'NK-LK Transf.'!BQ13</f>
        <v>1.1029722222222222E-3</v>
      </c>
      <c r="Q2" s="27">
        <f>'NK-LK Transf.'!BQ15</f>
        <v>9.026180555555556E-4</v>
      </c>
      <c r="R2" s="27">
        <f>'NK-LK Transf.'!BQ17</f>
        <v>2.1334236111111111E-3</v>
      </c>
      <c r="S2" s="27">
        <f>'NK-LK Transf.'!BQ16</f>
        <v>1.9327962962962964E-3</v>
      </c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 x14ac:dyDescent="0.45">
      <c r="A3" s="24" t="s">
        <v>229</v>
      </c>
      <c r="B3" s="24" t="s">
        <v>127</v>
      </c>
      <c r="C3" s="24">
        <v>17</v>
      </c>
      <c r="D3" s="24">
        <v>17</v>
      </c>
      <c r="E3" s="26">
        <v>46023</v>
      </c>
      <c r="F3" s="26">
        <v>46388</v>
      </c>
      <c r="G3" s="26">
        <v>46023</v>
      </c>
      <c r="H3" s="24" t="s">
        <v>141</v>
      </c>
      <c r="I3" s="24" t="s">
        <v>143</v>
      </c>
      <c r="J3" s="24"/>
      <c r="K3" s="24"/>
      <c r="L3" s="24">
        <v>10</v>
      </c>
      <c r="M3" s="24">
        <v>2</v>
      </c>
      <c r="N3" s="27">
        <f>'NK-LK Transf.'!BP12</f>
        <v>5.5107638888888893E-4</v>
      </c>
      <c r="O3" s="27">
        <f>'NK-LK Transf.'!BP14</f>
        <v>8.3037037037037031E-4</v>
      </c>
      <c r="P3" s="27">
        <f>'NK-LK Transf.'!BP13</f>
        <v>1.1436712962962963E-3</v>
      </c>
      <c r="Q3" s="27">
        <f>'NK-LK Transf.'!BP15</f>
        <v>9.2269444444444452E-4</v>
      </c>
      <c r="R3" s="27">
        <f>'NK-LK Transf.'!BP17</f>
        <v>2.1813611111111113E-3</v>
      </c>
      <c r="S3" s="27">
        <f>'NK-LK Transf.'!BP16</f>
        <v>1.9621597222222223E-3</v>
      </c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 x14ac:dyDescent="0.45">
      <c r="A4" s="24" t="s">
        <v>229</v>
      </c>
      <c r="B4" s="24" t="s">
        <v>127</v>
      </c>
      <c r="C4" s="24">
        <v>14</v>
      </c>
      <c r="D4" s="24">
        <v>16</v>
      </c>
      <c r="E4" s="26">
        <v>46023</v>
      </c>
      <c r="F4" s="26">
        <v>46388</v>
      </c>
      <c r="G4" s="26">
        <v>46023</v>
      </c>
      <c r="H4" s="24" t="s">
        <v>141</v>
      </c>
      <c r="I4" s="24" t="s">
        <v>143</v>
      </c>
      <c r="J4" s="24"/>
      <c r="K4" s="24"/>
      <c r="L4" s="24">
        <v>10</v>
      </c>
      <c r="M4" s="24">
        <v>2</v>
      </c>
      <c r="N4" s="27">
        <f>'NK-LK Transf.'!BO12</f>
        <v>5.6332031250000002E-4</v>
      </c>
      <c r="O4" s="27">
        <f>'NK-LK Transf.'!BO14</f>
        <v>8.4539351851851854E-4</v>
      </c>
      <c r="P4" s="27">
        <f>'NK-LK Transf.'!BO13</f>
        <v>1.1842337962962965E-3</v>
      </c>
      <c r="Q4" s="27">
        <f>'NK-LK Transf.'!BO15</f>
        <v>9.4126851851851858E-4</v>
      </c>
      <c r="R4" s="27">
        <f>'NK-LK Transf.'!BO17</f>
        <v>2.2291620370370373E-3</v>
      </c>
      <c r="S4" s="27">
        <f>'NK-LK Transf.'!BO16</f>
        <v>1.9916597222222219E-3</v>
      </c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 x14ac:dyDescent="0.45">
      <c r="A5" s="24" t="s">
        <v>222</v>
      </c>
      <c r="B5" s="24" t="s">
        <v>145</v>
      </c>
      <c r="C5" s="24">
        <v>18</v>
      </c>
      <c r="D5" s="24">
        <v>18</v>
      </c>
      <c r="E5" s="26">
        <v>46023</v>
      </c>
      <c r="F5" s="26">
        <v>46388</v>
      </c>
      <c r="G5" s="26">
        <v>46023</v>
      </c>
      <c r="H5" s="24" t="s">
        <v>141</v>
      </c>
      <c r="I5" s="24" t="s">
        <v>143</v>
      </c>
      <c r="J5" s="24"/>
      <c r="K5" s="24"/>
      <c r="L5" s="24">
        <v>10</v>
      </c>
      <c r="M5" s="24">
        <v>2</v>
      </c>
      <c r="N5" s="27">
        <f>'NK-LK Transf.'!BE12</f>
        <v>4.4791666666666667E-4</v>
      </c>
      <c r="O5" s="27">
        <f>'NK-LK Transf.'!BE14</f>
        <v>7.0736111111111108E-4</v>
      </c>
      <c r="P5" s="27">
        <f>'NK-LK Transf.'!BE13</f>
        <v>9.6125000000000019E-4</v>
      </c>
      <c r="Q5" s="27">
        <f>'NK-LK Transf.'!BE15</f>
        <v>8.018055555555555E-4</v>
      </c>
      <c r="R5" s="27">
        <f>'NK-LK Transf.'!BE17</f>
        <v>1.9945833333333335E-3</v>
      </c>
      <c r="S5" s="27">
        <f>'NK-LK Transf.'!BE16</f>
        <v>1.8218055555555552E-3</v>
      </c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 x14ac:dyDescent="0.45">
      <c r="A6" s="24" t="s">
        <v>222</v>
      </c>
      <c r="B6" s="24" t="s">
        <v>145</v>
      </c>
      <c r="C6" s="24">
        <v>17</v>
      </c>
      <c r="D6" s="24">
        <v>17</v>
      </c>
      <c r="E6" s="26">
        <v>46023</v>
      </c>
      <c r="F6" s="26">
        <v>46388</v>
      </c>
      <c r="G6" s="26">
        <v>46023</v>
      </c>
      <c r="H6" s="24" t="s">
        <v>141</v>
      </c>
      <c r="I6" s="24" t="s">
        <v>143</v>
      </c>
      <c r="J6" s="24"/>
      <c r="K6" s="24"/>
      <c r="L6" s="24">
        <v>10</v>
      </c>
      <c r="M6" s="24">
        <v>2</v>
      </c>
      <c r="N6" s="27">
        <f>'NK-LK Transf.'!BD12</f>
        <v>4.6194444444444446E-4</v>
      </c>
      <c r="O6" s="27">
        <f>'NK-LK Transf.'!BD14</f>
        <v>7.2763888888888889E-4</v>
      </c>
      <c r="P6" s="27">
        <f>'NK-LK Transf.'!BD13</f>
        <v>1E-3</v>
      </c>
      <c r="Q6" s="27">
        <f>'NK-LK Transf.'!BD15</f>
        <v>8.3263888888888895E-4</v>
      </c>
      <c r="R6" s="27">
        <f>'NK-LK Transf.'!BD17</f>
        <v>2.0587499999999998E-3</v>
      </c>
      <c r="S6" s="27">
        <f>'NK-LK Transf.'!BD16</f>
        <v>1.8773611111111109E-3</v>
      </c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 x14ac:dyDescent="0.45">
      <c r="A7" s="24" t="s">
        <v>222</v>
      </c>
      <c r="B7" s="24" t="s">
        <v>145</v>
      </c>
      <c r="C7" s="24">
        <v>14</v>
      </c>
      <c r="D7" s="24">
        <v>16</v>
      </c>
      <c r="E7" s="26">
        <v>46023</v>
      </c>
      <c r="F7" s="26">
        <v>46388</v>
      </c>
      <c r="G7" s="26">
        <v>46023</v>
      </c>
      <c r="H7" s="24" t="s">
        <v>141</v>
      </c>
      <c r="I7" s="24" t="s">
        <v>143</v>
      </c>
      <c r="J7" s="24"/>
      <c r="K7" s="24"/>
      <c r="L7" s="24">
        <v>10</v>
      </c>
      <c r="M7" s="24">
        <v>2</v>
      </c>
      <c r="N7" s="27">
        <f>'NK-LK Transf.'!BC12</f>
        <v>4.7138888888888881E-4</v>
      </c>
      <c r="O7" s="27">
        <f>'NK-LK Transf.'!BC14</f>
        <v>7.415277777777778E-4</v>
      </c>
      <c r="P7" s="27">
        <f>'NK-LK Transf.'!BC13</f>
        <v>1.0176388888888889E-3</v>
      </c>
      <c r="Q7" s="27">
        <f>'NK-LK Transf.'!BC15</f>
        <v>8.5375000000000002E-4</v>
      </c>
      <c r="R7" s="27">
        <f>'NK-LK Transf.'!BC17</f>
        <v>2.1025000000000002E-3</v>
      </c>
      <c r="S7" s="27">
        <f>'NK-LK Transf.'!BC16</f>
        <v>1.9152777777777779E-3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 x14ac:dyDescent="0.45">
      <c r="A8" s="24" t="s">
        <v>228</v>
      </c>
      <c r="B8" s="24" t="s">
        <v>127</v>
      </c>
      <c r="C8" s="24">
        <v>23</v>
      </c>
      <c r="D8" s="24">
        <v>50</v>
      </c>
      <c r="E8" s="26">
        <v>46023</v>
      </c>
      <c r="F8" s="26">
        <v>46388</v>
      </c>
      <c r="G8" s="26">
        <v>46023</v>
      </c>
      <c r="H8" s="24" t="s">
        <v>141</v>
      </c>
      <c r="I8" s="24" t="s">
        <v>143</v>
      </c>
      <c r="J8" s="24"/>
      <c r="K8" s="24"/>
      <c r="L8" s="24">
        <v>10</v>
      </c>
      <c r="M8" s="24">
        <v>2</v>
      </c>
      <c r="N8" s="27">
        <f>'NK-LK Transf.'!BV12</f>
        <v>4.7436458333333331E-4</v>
      </c>
      <c r="O8" s="27">
        <f>'NK-LK Transf.'!BV14</f>
        <v>7.3382291666666669E-4</v>
      </c>
      <c r="P8" s="27">
        <f>'NK-LK Transf.'!BV13</f>
        <v>9.7080208333333328E-4</v>
      </c>
      <c r="Q8" s="27">
        <f>'NK-LK Transf.'!BV15</f>
        <v>8.0545833333333326E-4</v>
      </c>
      <c r="R8" s="27">
        <f>'NK-LK Transf.'!BV17</f>
        <v>1.9667916666666666E-3</v>
      </c>
      <c r="S8" s="27">
        <f>'NK-LK Transf.'!BV16</f>
        <v>1.8239270833333334E-3</v>
      </c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 x14ac:dyDescent="0.45">
      <c r="A9" s="24" t="s">
        <v>228</v>
      </c>
      <c r="B9" s="24" t="s">
        <v>127</v>
      </c>
      <c r="C9" s="24">
        <v>20</v>
      </c>
      <c r="D9" s="24">
        <v>22</v>
      </c>
      <c r="E9" s="26">
        <v>46023</v>
      </c>
      <c r="F9" s="26">
        <v>46388</v>
      </c>
      <c r="G9" s="26">
        <v>46023</v>
      </c>
      <c r="H9" s="24" t="s">
        <v>141</v>
      </c>
      <c r="I9" s="24" t="s">
        <v>143</v>
      </c>
      <c r="J9" s="24"/>
      <c r="K9" s="24"/>
      <c r="L9" s="24">
        <v>10</v>
      </c>
      <c r="M9" s="24">
        <v>2</v>
      </c>
      <c r="N9" s="27">
        <f>'NK-LK Transf.'!BU12</f>
        <v>4.9196875E-4</v>
      </c>
      <c r="O9" s="27">
        <f>'NK-LK Transf.'!BU14</f>
        <v>7.5576041666666662E-4</v>
      </c>
      <c r="P9" s="27">
        <f>'NK-LK Transf.'!BU13</f>
        <v>1.0057395833333333E-3</v>
      </c>
      <c r="Q9" s="27">
        <f>'NK-LK Transf.'!BU15</f>
        <v>8.3227083333333341E-4</v>
      </c>
      <c r="R9" s="27">
        <f>'NK-LK Transf.'!BU17</f>
        <v>2.0094479166666668E-3</v>
      </c>
      <c r="S9" s="27">
        <f>'NK-LK Transf.'!BU16</f>
        <v>1.8506041666666666E-3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x14ac:dyDescent="0.45">
      <c r="A10" s="24" t="s">
        <v>228</v>
      </c>
      <c r="B10" s="24" t="s">
        <v>127</v>
      </c>
      <c r="C10" s="24">
        <v>14</v>
      </c>
      <c r="D10" s="24">
        <v>19</v>
      </c>
      <c r="E10" s="26">
        <v>46023</v>
      </c>
      <c r="F10" s="26">
        <v>46388</v>
      </c>
      <c r="G10" s="26">
        <v>46023</v>
      </c>
      <c r="H10" s="24" t="s">
        <v>141</v>
      </c>
      <c r="I10" s="24" t="s">
        <v>143</v>
      </c>
      <c r="J10" s="24"/>
      <c r="K10" s="24"/>
      <c r="L10" s="24">
        <v>10</v>
      </c>
      <c r="M10" s="24">
        <v>2</v>
      </c>
      <c r="N10" s="27">
        <f>'NK-LK Transf.'!BT12</f>
        <v>5.1593750000000001E-4</v>
      </c>
      <c r="O10" s="27">
        <f>'NK-LK Transf.'!BT14</f>
        <v>7.8582291666666677E-4</v>
      </c>
      <c r="P10" s="27">
        <f>'NK-LK Transf.'!BT13</f>
        <v>1.0534062499999999E-3</v>
      </c>
      <c r="Q10" s="27">
        <f>'NK-LK Transf.'!BT15</f>
        <v>8.6883333333333322E-4</v>
      </c>
      <c r="R10" s="27">
        <f>'NK-LK Transf.'!BT17</f>
        <v>2.0678124999999998E-3</v>
      </c>
      <c r="S10" s="27">
        <f>'NK-LK Transf.'!BT16</f>
        <v>1.887166666666667E-3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x14ac:dyDescent="0.45">
      <c r="A11" s="24" t="s">
        <v>227</v>
      </c>
      <c r="B11" s="24" t="s">
        <v>145</v>
      </c>
      <c r="C11" s="24">
        <v>23</v>
      </c>
      <c r="D11" s="24">
        <v>50</v>
      </c>
      <c r="E11" s="26">
        <v>46023</v>
      </c>
      <c r="F11" s="26">
        <v>46388</v>
      </c>
      <c r="G11" s="26">
        <v>46023</v>
      </c>
      <c r="H11" s="24" t="s">
        <v>141</v>
      </c>
      <c r="I11" s="24" t="s">
        <v>143</v>
      </c>
      <c r="J11" s="24"/>
      <c r="K11" s="24"/>
      <c r="L11" s="24">
        <v>10</v>
      </c>
      <c r="M11" s="24">
        <v>2</v>
      </c>
      <c r="N11" s="27">
        <f>'NK-LK Transf.'!BJ12</f>
        <v>3.9324537037037041E-4</v>
      </c>
      <c r="O11" s="27">
        <f>'NK-LK Transf.'!BJ14</f>
        <v>6.2564814814814818E-4</v>
      </c>
      <c r="P11" s="27">
        <f>'NK-LK Transf.'!BJ13</f>
        <v>8.3428703703703703E-4</v>
      </c>
      <c r="Q11" s="27">
        <f>'NK-LK Transf.'!BJ15</f>
        <v>6.8807870370370366E-4</v>
      </c>
      <c r="R11" s="27">
        <f>'NK-LK Transf.'!BJ17</f>
        <v>1.7890046296296298E-3</v>
      </c>
      <c r="S11" s="27">
        <f>'NK-LK Transf.'!BJ16</f>
        <v>1.6026527777777777E-3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</row>
    <row r="12" spans="1:32" x14ac:dyDescent="0.45">
      <c r="A12" s="24" t="s">
        <v>227</v>
      </c>
      <c r="B12" s="24" t="s">
        <v>145</v>
      </c>
      <c r="C12" s="24">
        <v>20</v>
      </c>
      <c r="D12" s="24">
        <v>22</v>
      </c>
      <c r="E12" s="26">
        <v>46023</v>
      </c>
      <c r="F12" s="26">
        <v>46388</v>
      </c>
      <c r="G12" s="26">
        <v>46023</v>
      </c>
      <c r="H12" s="24" t="s">
        <v>141</v>
      </c>
      <c r="I12" s="24" t="s">
        <v>143</v>
      </c>
      <c r="J12" s="24"/>
      <c r="K12" s="24"/>
      <c r="L12" s="24">
        <v>10</v>
      </c>
      <c r="M12" s="24">
        <v>2</v>
      </c>
      <c r="N12" s="27">
        <f>'NK-LK Transf.'!BI12</f>
        <v>4.0693981481481478E-4</v>
      </c>
      <c r="O12" s="27">
        <f>'NK-LK Transf.'!BI14</f>
        <v>6.4565277777777776E-4</v>
      </c>
      <c r="P12" s="27">
        <f>'NK-LK Transf.'!BI13</f>
        <v>8.6691203703703691E-4</v>
      </c>
      <c r="Q12" s="27">
        <f>'NK-LK Transf.'!BI15</f>
        <v>7.1788425925925915E-4</v>
      </c>
      <c r="R12" s="27">
        <f>'NK-LK Transf.'!BI17</f>
        <v>1.845125E-3</v>
      </c>
      <c r="S12" s="27">
        <f>'NK-LK Transf.'!BI16</f>
        <v>1.6571620370370373E-3</v>
      </c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</row>
    <row r="13" spans="1:32" x14ac:dyDescent="0.45">
      <c r="A13" s="24" t="s">
        <v>227</v>
      </c>
      <c r="B13" s="24" t="s">
        <v>145</v>
      </c>
      <c r="C13" s="24">
        <v>14</v>
      </c>
      <c r="D13" s="24">
        <v>19</v>
      </c>
      <c r="E13" s="26">
        <v>46023</v>
      </c>
      <c r="F13" s="26">
        <v>46388</v>
      </c>
      <c r="G13" s="26">
        <v>46023</v>
      </c>
      <c r="H13" s="24" t="s">
        <v>141</v>
      </c>
      <c r="I13" s="24" t="s">
        <v>143</v>
      </c>
      <c r="J13" s="24"/>
      <c r="K13" s="24"/>
      <c r="L13" s="24">
        <v>10</v>
      </c>
      <c r="M13" s="24">
        <v>2</v>
      </c>
      <c r="N13" s="27">
        <f>'NK-LK Transf.'!BH12</f>
        <v>4.1888888888888889E-4</v>
      </c>
      <c r="O13" s="27">
        <f>'NK-LK Transf.'!BH14</f>
        <v>6.6324074074074072E-4</v>
      </c>
      <c r="P13" s="27">
        <f>'NK-LK Transf.'!BH13</f>
        <v>8.9537500000000001E-4</v>
      </c>
      <c r="Q13" s="27">
        <f>'NK-LK Transf.'!BH15</f>
        <v>7.439305555555554E-4</v>
      </c>
      <c r="R13" s="27">
        <f>'NK-LK Transf.'!BH17</f>
        <v>1.8632500000000001E-3</v>
      </c>
      <c r="S13" s="27">
        <f>'NK-LK Transf.'!BH16</f>
        <v>1.7049583333333333E-3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</row>
    <row r="14" spans="1:32" x14ac:dyDescent="0.45">
      <c r="A14" s="24" t="s">
        <v>211</v>
      </c>
      <c r="B14" s="24" t="s">
        <v>127</v>
      </c>
      <c r="C14" s="24">
        <v>18</v>
      </c>
      <c r="D14" s="24">
        <v>18</v>
      </c>
      <c r="E14" s="26">
        <v>45992</v>
      </c>
      <c r="F14" s="26">
        <v>46388</v>
      </c>
      <c r="G14" s="26">
        <v>45992</v>
      </c>
      <c r="H14" s="24" t="s">
        <v>141</v>
      </c>
      <c r="I14" s="24" t="s">
        <v>143</v>
      </c>
      <c r="J14" s="24">
        <v>50</v>
      </c>
      <c r="K14" s="24"/>
      <c r="L14" s="24">
        <v>10</v>
      </c>
      <c r="M14" s="24">
        <v>1</v>
      </c>
      <c r="N14" s="27">
        <f>'NK-LK Transf.'!Q12</f>
        <v>4.5578703703703704E-4</v>
      </c>
      <c r="O14" s="27">
        <f>'NK-LK Transf.'!Q14</f>
        <v>6.8981481481481487E-4</v>
      </c>
      <c r="P14" s="27">
        <f>'NK-LK Transf.'!Q13</f>
        <v>9.3472222222222231E-4</v>
      </c>
      <c r="Q14" s="27">
        <f>'NK-LK Transf.'!Q15</f>
        <v>7.6493055555555559E-4</v>
      </c>
      <c r="R14" s="27">
        <f>'NK-LK Transf.'!Q17</f>
        <v>1.8079861111111111E-3</v>
      </c>
      <c r="S14" s="27">
        <f>'NK-LK Transf.'!Q16</f>
        <v>1.637962962962963E-3</v>
      </c>
      <c r="T14" s="105"/>
      <c r="U14" s="105"/>
      <c r="V14" s="105"/>
      <c r="W14" s="105"/>
      <c r="X14" s="105" t="s">
        <v>260</v>
      </c>
      <c r="Y14" s="105" t="s">
        <v>259</v>
      </c>
      <c r="Z14" s="105" t="s">
        <v>262</v>
      </c>
      <c r="AA14" s="105"/>
      <c r="AB14" s="105"/>
      <c r="AC14" s="105"/>
      <c r="AD14" s="105"/>
      <c r="AE14" s="105" t="s">
        <v>263</v>
      </c>
      <c r="AF14" s="105" t="s">
        <v>263</v>
      </c>
    </row>
    <row r="15" spans="1:32" x14ac:dyDescent="0.45">
      <c r="A15" s="24" t="s">
        <v>211</v>
      </c>
      <c r="B15" s="24" t="s">
        <v>127</v>
      </c>
      <c r="C15" s="24">
        <v>17</v>
      </c>
      <c r="D15" s="24">
        <v>17</v>
      </c>
      <c r="E15" s="26">
        <v>45992</v>
      </c>
      <c r="F15" s="26">
        <v>46388</v>
      </c>
      <c r="G15" s="26">
        <v>45992</v>
      </c>
      <c r="H15" s="24" t="s">
        <v>141</v>
      </c>
      <c r="I15" s="24" t="s">
        <v>143</v>
      </c>
      <c r="J15" s="24">
        <v>50</v>
      </c>
      <c r="K15" s="24"/>
      <c r="L15" s="24">
        <v>10</v>
      </c>
      <c r="M15" s="24">
        <v>1</v>
      </c>
      <c r="N15" s="27">
        <f>'NK-LK Transf.'!P12</f>
        <v>4.6701388888888888E-4</v>
      </c>
      <c r="O15" s="27">
        <f>'NK-LK Transf.'!P14</f>
        <v>7.0370370370370367E-4</v>
      </c>
      <c r="P15" s="27">
        <f>'NK-LK Transf.'!P13</f>
        <v>9.6921296296296295E-4</v>
      </c>
      <c r="Q15" s="27">
        <f>'NK-LK Transf.'!P15</f>
        <v>7.8194444444444448E-4</v>
      </c>
      <c r="R15" s="27">
        <f>'NK-LK Transf.'!P17</f>
        <v>1.8486111111111112E-3</v>
      </c>
      <c r="S15" s="27">
        <f>'NK-LK Transf.'!P16</f>
        <v>1.6628472222222225E-3</v>
      </c>
      <c r="T15" s="105"/>
      <c r="U15" s="105" t="s">
        <v>258</v>
      </c>
      <c r="V15" s="105"/>
      <c r="W15" s="105"/>
      <c r="X15" s="105" t="s">
        <v>260</v>
      </c>
      <c r="Y15" s="105" t="s">
        <v>259</v>
      </c>
      <c r="Z15" s="105" t="s">
        <v>262</v>
      </c>
      <c r="AA15" s="105"/>
      <c r="AB15" s="105"/>
      <c r="AC15" s="105"/>
      <c r="AD15" s="105"/>
      <c r="AE15" s="105" t="s">
        <v>263</v>
      </c>
      <c r="AF15" s="105" t="s">
        <v>263</v>
      </c>
    </row>
    <row r="16" spans="1:32" x14ac:dyDescent="0.45">
      <c r="A16" s="24" t="s">
        <v>211</v>
      </c>
      <c r="B16" s="24" t="s">
        <v>127</v>
      </c>
      <c r="C16" s="24">
        <v>14</v>
      </c>
      <c r="D16" s="24">
        <v>16</v>
      </c>
      <c r="E16" s="26">
        <v>45992</v>
      </c>
      <c r="F16" s="26">
        <v>46388</v>
      </c>
      <c r="G16" s="26">
        <v>45992</v>
      </c>
      <c r="H16" s="24" t="s">
        <v>141</v>
      </c>
      <c r="I16" s="24" t="s">
        <v>143</v>
      </c>
      <c r="J16" s="24">
        <v>50</v>
      </c>
      <c r="K16" s="24"/>
      <c r="L16" s="24">
        <v>10</v>
      </c>
      <c r="M16" s="24">
        <v>1</v>
      </c>
      <c r="N16" s="27">
        <f>'NK-LK Transf.'!O12</f>
        <v>4.7743055555555554E-4</v>
      </c>
      <c r="O16" s="27">
        <f>'NK-LK Transf.'!O14</f>
        <v>7.1643518518518519E-4</v>
      </c>
      <c r="P16" s="27">
        <f>'NK-LK Transf.'!O13</f>
        <v>1.0035879629629631E-3</v>
      </c>
      <c r="Q16" s="27">
        <f>'NK-LK Transf.'!O15</f>
        <v>7.9768518518518524E-4</v>
      </c>
      <c r="R16" s="27">
        <f>'NK-LK Transf.'!O17</f>
        <v>1.8891203703703704E-3</v>
      </c>
      <c r="S16" s="27">
        <f>'NK-LK Transf.'!O16</f>
        <v>1.6878472222222221E-3</v>
      </c>
      <c r="T16" s="105"/>
      <c r="U16" s="105" t="s">
        <v>258</v>
      </c>
      <c r="V16" s="105"/>
      <c r="W16" s="105"/>
      <c r="X16" s="105" t="s">
        <v>260</v>
      </c>
      <c r="Y16" s="105" t="s">
        <v>259</v>
      </c>
      <c r="Z16" s="105" t="s">
        <v>262</v>
      </c>
      <c r="AA16" s="105"/>
      <c r="AB16" s="105"/>
      <c r="AC16" s="105"/>
      <c r="AD16" s="105"/>
      <c r="AE16" s="105" t="s">
        <v>263</v>
      </c>
      <c r="AF16" s="105" t="s">
        <v>263</v>
      </c>
    </row>
    <row r="17" spans="1:32" x14ac:dyDescent="0.45">
      <c r="A17" s="24" t="s">
        <v>209</v>
      </c>
      <c r="B17" s="24" t="s">
        <v>145</v>
      </c>
      <c r="C17" s="24">
        <v>18</v>
      </c>
      <c r="D17" s="24">
        <v>18</v>
      </c>
      <c r="E17" s="26">
        <v>45992</v>
      </c>
      <c r="F17" s="26">
        <v>46388</v>
      </c>
      <c r="G17" s="26">
        <v>45992</v>
      </c>
      <c r="H17" s="24" t="s">
        <v>141</v>
      </c>
      <c r="I17" s="24" t="s">
        <v>143</v>
      </c>
      <c r="J17" s="24">
        <v>50</v>
      </c>
      <c r="K17" s="24"/>
      <c r="L17" s="24">
        <v>10</v>
      </c>
      <c r="M17" s="24">
        <v>1</v>
      </c>
      <c r="N17" s="27">
        <f>'NK-LK Transf.'!E12</f>
        <v>3.7326388888888891E-4</v>
      </c>
      <c r="O17" s="27">
        <f>'NK-LK Transf.'!E14</f>
        <v>5.894675925925926E-4</v>
      </c>
      <c r="P17" s="27">
        <f>'NK-LK Transf.'!E13</f>
        <v>8.0104166666666681E-4</v>
      </c>
      <c r="Q17" s="27">
        <f>'NK-LK Transf.'!E15</f>
        <v>6.6817129629629626E-4</v>
      </c>
      <c r="R17" s="27">
        <f>'NK-LK Transf.'!E17</f>
        <v>1.662152777777778E-3</v>
      </c>
      <c r="S17" s="27">
        <f>'NK-LK Transf.'!E16</f>
        <v>1.5181712962962961E-3</v>
      </c>
      <c r="T17" s="105"/>
      <c r="U17" s="105"/>
      <c r="V17" s="105"/>
      <c r="W17" s="105"/>
      <c r="X17" s="105" t="s">
        <v>260</v>
      </c>
      <c r="Y17" s="105" t="s">
        <v>259</v>
      </c>
      <c r="Z17" s="105" t="s">
        <v>262</v>
      </c>
      <c r="AA17" s="105"/>
      <c r="AB17" s="105"/>
      <c r="AC17" s="105"/>
      <c r="AD17" s="105"/>
      <c r="AE17" s="105" t="s">
        <v>263</v>
      </c>
      <c r="AF17" s="105" t="s">
        <v>263</v>
      </c>
    </row>
    <row r="18" spans="1:32" x14ac:dyDescent="0.45">
      <c r="A18" s="24" t="s">
        <v>209</v>
      </c>
      <c r="B18" s="24" t="s">
        <v>145</v>
      </c>
      <c r="C18" s="24">
        <v>17</v>
      </c>
      <c r="D18" s="24">
        <v>17</v>
      </c>
      <c r="E18" s="26">
        <v>45992</v>
      </c>
      <c r="F18" s="26">
        <v>46388</v>
      </c>
      <c r="G18" s="26">
        <v>45992</v>
      </c>
      <c r="H18" s="24" t="s">
        <v>141</v>
      </c>
      <c r="I18" s="24" t="s">
        <v>143</v>
      </c>
      <c r="J18" s="24">
        <v>50</v>
      </c>
      <c r="K18" s="24"/>
      <c r="L18" s="24">
        <v>10</v>
      </c>
      <c r="M18" s="24">
        <v>1</v>
      </c>
      <c r="N18" s="27">
        <f>'NK-LK Transf.'!D12</f>
        <v>3.8495370370370371E-4</v>
      </c>
      <c r="O18" s="27">
        <f>'NK-LK Transf.'!D14</f>
        <v>6.0636574074074076E-4</v>
      </c>
      <c r="P18" s="27">
        <f>'NK-LK Transf.'!D13</f>
        <v>8.3333333333333339E-4</v>
      </c>
      <c r="Q18" s="27">
        <f>'NK-LK Transf.'!D15</f>
        <v>6.9386574074074077E-4</v>
      </c>
      <c r="R18" s="27">
        <f>'NK-LK Transf.'!D17</f>
        <v>1.7156249999999999E-3</v>
      </c>
      <c r="S18" s="27">
        <f>'NK-LK Transf.'!D16</f>
        <v>1.5644675925925923E-3</v>
      </c>
      <c r="T18" s="105"/>
      <c r="U18" s="105" t="s">
        <v>258</v>
      </c>
      <c r="V18" s="105"/>
      <c r="W18" s="105"/>
      <c r="X18" s="105" t="s">
        <v>260</v>
      </c>
      <c r="Y18" s="105" t="s">
        <v>259</v>
      </c>
      <c r="Z18" s="105" t="s">
        <v>262</v>
      </c>
      <c r="AA18" s="105"/>
      <c r="AB18" s="105"/>
      <c r="AC18" s="105"/>
      <c r="AD18" s="105"/>
      <c r="AE18" s="105" t="s">
        <v>263</v>
      </c>
      <c r="AF18" s="105" t="s">
        <v>263</v>
      </c>
    </row>
    <row r="19" spans="1:32" x14ac:dyDescent="0.45">
      <c r="A19" s="24" t="s">
        <v>209</v>
      </c>
      <c r="B19" s="24" t="s">
        <v>145</v>
      </c>
      <c r="C19" s="24">
        <v>14</v>
      </c>
      <c r="D19" s="24">
        <v>16</v>
      </c>
      <c r="E19" s="26">
        <v>45992</v>
      </c>
      <c r="F19" s="26">
        <v>46388</v>
      </c>
      <c r="G19" s="26">
        <v>45992</v>
      </c>
      <c r="H19" s="24" t="s">
        <v>141</v>
      </c>
      <c r="I19" s="24" t="s">
        <v>143</v>
      </c>
      <c r="J19" s="24">
        <v>50</v>
      </c>
      <c r="K19" s="24"/>
      <c r="L19" s="24">
        <v>10</v>
      </c>
      <c r="M19" s="24">
        <v>1</v>
      </c>
      <c r="N19" s="27">
        <f>'NK-LK Transf.'!C12</f>
        <v>3.9282407407407403E-4</v>
      </c>
      <c r="O19" s="27">
        <f>'NK-LK Transf.'!C14</f>
        <v>6.1793981481481487E-4</v>
      </c>
      <c r="P19" s="27">
        <f>'NK-LK Transf.'!C13</f>
        <v>8.4803240740740737E-4</v>
      </c>
      <c r="Q19" s="27">
        <f>'NK-LK Transf.'!C15</f>
        <v>7.1145833333333337E-4</v>
      </c>
      <c r="R19" s="27">
        <f>'NK-LK Transf.'!C17</f>
        <v>1.7520833333333334E-3</v>
      </c>
      <c r="S19" s="27">
        <f>'NK-LK Transf.'!C16</f>
        <v>1.5960648148148149E-3</v>
      </c>
      <c r="T19" s="105"/>
      <c r="U19" s="105" t="s">
        <v>258</v>
      </c>
      <c r="V19" s="105"/>
      <c r="W19" s="105"/>
      <c r="X19" s="105" t="s">
        <v>260</v>
      </c>
      <c r="Y19" s="105" t="s">
        <v>259</v>
      </c>
      <c r="Z19" s="105" t="s">
        <v>262</v>
      </c>
      <c r="AA19" s="105"/>
      <c r="AB19" s="105"/>
      <c r="AC19" s="105"/>
      <c r="AD19" s="105"/>
      <c r="AE19" s="105" t="s">
        <v>263</v>
      </c>
      <c r="AF19" s="105" t="s">
        <v>263</v>
      </c>
    </row>
    <row r="20" spans="1:32" x14ac:dyDescent="0.45">
      <c r="A20" s="24" t="s">
        <v>231</v>
      </c>
      <c r="B20" s="24" t="s">
        <v>127</v>
      </c>
      <c r="C20" s="24">
        <v>23</v>
      </c>
      <c r="D20" s="24">
        <v>24</v>
      </c>
      <c r="E20" s="26">
        <v>45992</v>
      </c>
      <c r="F20" s="26">
        <v>46388</v>
      </c>
      <c r="G20" s="26">
        <v>45992</v>
      </c>
      <c r="H20" s="24" t="s">
        <v>141</v>
      </c>
      <c r="I20" s="24" t="s">
        <v>143</v>
      </c>
      <c r="J20" s="24">
        <v>50</v>
      </c>
      <c r="K20" s="24"/>
      <c r="L20" s="24">
        <v>10</v>
      </c>
      <c r="M20" s="24">
        <v>1</v>
      </c>
      <c r="N20" s="27">
        <f>'NK-LK Transf.'!V12</f>
        <v>4.054398148148148E-4</v>
      </c>
      <c r="O20" s="27">
        <f>'NK-LK Transf.'!V14</f>
        <v>6.2719907407407407E-4</v>
      </c>
      <c r="P20" s="27">
        <f>'NK-LK Transf.'!V13</f>
        <v>8.2974537037037034E-4</v>
      </c>
      <c r="Q20" s="27">
        <f>'NK-LK Transf.'!V15</f>
        <v>6.8842592592592588E-4</v>
      </c>
      <c r="R20" s="27">
        <f>'NK-LK Transf.'!V17</f>
        <v>1.6810185185185185E-3</v>
      </c>
      <c r="S20" s="27">
        <f>'NK-LK Transf.'!V16</f>
        <v>1.558912037037037E-3</v>
      </c>
      <c r="T20" s="105"/>
      <c r="U20" s="105"/>
      <c r="V20" s="105"/>
      <c r="W20" s="105"/>
      <c r="X20" s="105" t="s">
        <v>260</v>
      </c>
      <c r="Y20" s="105" t="s">
        <v>259</v>
      </c>
      <c r="Z20" s="105"/>
      <c r="AA20" s="105" t="s">
        <v>261</v>
      </c>
      <c r="AB20" s="105" t="s">
        <v>258</v>
      </c>
      <c r="AC20" s="105"/>
      <c r="AD20" s="105" t="s">
        <v>255</v>
      </c>
      <c r="AE20" s="105"/>
      <c r="AF20" s="105"/>
    </row>
    <row r="21" spans="1:32" x14ac:dyDescent="0.45">
      <c r="A21" s="24" t="s">
        <v>231</v>
      </c>
      <c r="B21" s="24" t="s">
        <v>127</v>
      </c>
      <c r="C21" s="24">
        <v>20</v>
      </c>
      <c r="D21" s="24">
        <v>22</v>
      </c>
      <c r="E21" s="26">
        <v>45992</v>
      </c>
      <c r="F21" s="26">
        <v>46388</v>
      </c>
      <c r="G21" s="26">
        <v>45992</v>
      </c>
      <c r="H21" s="24" t="s">
        <v>141</v>
      </c>
      <c r="I21" s="24" t="s">
        <v>143</v>
      </c>
      <c r="J21" s="24">
        <v>50</v>
      </c>
      <c r="K21" s="24"/>
      <c r="L21" s="24">
        <v>10</v>
      </c>
      <c r="M21" s="24">
        <v>1</v>
      </c>
      <c r="N21" s="27">
        <f>'NK-LK Transf.'!U12</f>
        <v>4.2048611111111111E-4</v>
      </c>
      <c r="O21" s="27">
        <f>'NK-LK Transf.'!U14</f>
        <v>6.4594907407407407E-4</v>
      </c>
      <c r="P21" s="27">
        <f>'NK-LK Transf.'!U13</f>
        <v>8.5960648148148148E-4</v>
      </c>
      <c r="Q21" s="27">
        <f>'NK-LK Transf.'!U15</f>
        <v>7.1134259259259263E-4</v>
      </c>
      <c r="R21" s="27">
        <f>'NK-LK Transf.'!U17</f>
        <v>1.7174768518518518E-3</v>
      </c>
      <c r="S21" s="27">
        <f>'NK-LK Transf.'!U16</f>
        <v>1.5817129629629629E-3</v>
      </c>
      <c r="T21" s="105"/>
      <c r="U21" s="105"/>
      <c r="V21" s="105"/>
      <c r="W21" s="105"/>
      <c r="X21" s="105" t="s">
        <v>260</v>
      </c>
      <c r="Y21" s="105" t="s">
        <v>259</v>
      </c>
      <c r="Z21" s="105"/>
      <c r="AA21" s="105" t="s">
        <v>261</v>
      </c>
      <c r="AB21" s="105" t="s">
        <v>258</v>
      </c>
      <c r="AC21" s="105"/>
      <c r="AD21" s="105" t="s">
        <v>255</v>
      </c>
      <c r="AE21" s="105"/>
      <c r="AF21" s="105"/>
    </row>
    <row r="22" spans="1:32" x14ac:dyDescent="0.45">
      <c r="A22" s="24" t="s">
        <v>231</v>
      </c>
      <c r="B22" s="24" t="s">
        <v>127</v>
      </c>
      <c r="C22" s="24">
        <v>19</v>
      </c>
      <c r="D22" s="24">
        <v>19</v>
      </c>
      <c r="E22" s="26">
        <v>45992</v>
      </c>
      <c r="F22" s="26">
        <v>46388</v>
      </c>
      <c r="G22" s="26">
        <v>45992</v>
      </c>
      <c r="H22" s="24" t="s">
        <v>141</v>
      </c>
      <c r="I22" s="24" t="s">
        <v>143</v>
      </c>
      <c r="J22" s="24">
        <v>50</v>
      </c>
      <c r="K22" s="24"/>
      <c r="L22" s="24">
        <v>10</v>
      </c>
      <c r="M22" s="24">
        <v>1</v>
      </c>
      <c r="N22" s="27">
        <f>'NK-LK Transf.'!T12</f>
        <v>4.4097222222222226E-4</v>
      </c>
      <c r="O22" s="27">
        <f>'NK-LK Transf.'!T14</f>
        <v>6.7164351851851857E-4</v>
      </c>
      <c r="P22" s="27">
        <f>'NK-LK Transf.'!T13</f>
        <v>9.0034722222222209E-4</v>
      </c>
      <c r="Q22" s="27">
        <f>'NK-LK Transf.'!T15</f>
        <v>7.4259259259259254E-4</v>
      </c>
      <c r="R22" s="27">
        <f>'NK-LK Transf.'!T17</f>
        <v>1.767361111111111E-3</v>
      </c>
      <c r="S22" s="27">
        <f>'NK-LK Transf.'!T16</f>
        <v>1.6129629629629632E-3</v>
      </c>
      <c r="T22" s="105"/>
      <c r="U22" s="105" t="s">
        <v>258</v>
      </c>
      <c r="V22" s="105"/>
      <c r="W22" s="105"/>
      <c r="X22" s="105" t="s">
        <v>258</v>
      </c>
      <c r="Y22" s="105" t="s">
        <v>257</v>
      </c>
      <c r="Z22" s="105"/>
      <c r="AA22" s="105" t="s">
        <v>261</v>
      </c>
      <c r="AB22" s="105" t="s">
        <v>262</v>
      </c>
      <c r="AC22" s="105"/>
      <c r="AD22" s="105"/>
      <c r="AE22" s="105" t="s">
        <v>262</v>
      </c>
      <c r="AF22" s="105" t="s">
        <v>262</v>
      </c>
    </row>
    <row r="23" spans="1:32" x14ac:dyDescent="0.45">
      <c r="A23" s="24" t="s">
        <v>231</v>
      </c>
      <c r="B23" s="24" t="s">
        <v>127</v>
      </c>
      <c r="C23" s="24">
        <v>18</v>
      </c>
      <c r="D23" s="24">
        <v>18</v>
      </c>
      <c r="E23" s="26">
        <v>45992</v>
      </c>
      <c r="F23" s="26">
        <v>46388</v>
      </c>
      <c r="G23" s="26">
        <v>45992</v>
      </c>
      <c r="H23" s="24" t="s">
        <v>141</v>
      </c>
      <c r="I23" s="24" t="s">
        <v>143</v>
      </c>
      <c r="J23" s="24">
        <v>50</v>
      </c>
      <c r="K23" s="24"/>
      <c r="L23" s="24">
        <v>10</v>
      </c>
      <c r="M23" s="24">
        <v>1</v>
      </c>
      <c r="N23" s="27">
        <f>'NK-LK Transf.'!S12</f>
        <v>4.5138888888888887E-4</v>
      </c>
      <c r="O23" s="27">
        <f>'NK-LK Transf.'!S14</f>
        <v>6.8449074074074072E-4</v>
      </c>
      <c r="P23" s="27">
        <f>'NK-LK Transf.'!S13</f>
        <v>9.2094907407407403E-4</v>
      </c>
      <c r="Q23" s="27">
        <f>'NK-LK Transf.'!S15</f>
        <v>7.583333333333333E-4</v>
      </c>
      <c r="R23" s="27">
        <f>'NK-LK Transf.'!S17</f>
        <v>1.7916666666666669E-3</v>
      </c>
      <c r="S23" s="27">
        <f>'NK-LK Transf.'!S16</f>
        <v>1.6278935185185185E-3</v>
      </c>
      <c r="T23" s="105"/>
      <c r="U23" s="105" t="s">
        <v>258</v>
      </c>
      <c r="V23" s="105"/>
      <c r="W23" s="105"/>
      <c r="X23" s="105" t="s">
        <v>258</v>
      </c>
      <c r="Y23" s="105" t="s">
        <v>257</v>
      </c>
      <c r="Z23" s="105"/>
      <c r="AA23" s="105" t="s">
        <v>261</v>
      </c>
      <c r="AB23" s="105" t="s">
        <v>262</v>
      </c>
      <c r="AC23" s="105"/>
      <c r="AD23" s="105"/>
      <c r="AE23" s="105" t="s">
        <v>262</v>
      </c>
      <c r="AF23" s="105" t="s">
        <v>262</v>
      </c>
    </row>
    <row r="24" spans="1:32" x14ac:dyDescent="0.45">
      <c r="A24" s="24" t="s">
        <v>231</v>
      </c>
      <c r="B24" s="24" t="s">
        <v>127</v>
      </c>
      <c r="C24" s="24">
        <v>14</v>
      </c>
      <c r="D24" s="24">
        <v>17</v>
      </c>
      <c r="E24" s="26">
        <v>45992</v>
      </c>
      <c r="F24" s="26">
        <v>46388</v>
      </c>
      <c r="G24" s="26">
        <v>45992</v>
      </c>
      <c r="H24" s="24" t="s">
        <v>141</v>
      </c>
      <c r="I24" s="24" t="s">
        <v>143</v>
      </c>
      <c r="J24" s="24">
        <v>50</v>
      </c>
      <c r="K24" s="24"/>
      <c r="L24" s="24">
        <v>10</v>
      </c>
      <c r="M24" s="24">
        <v>1</v>
      </c>
      <c r="N24" s="27">
        <f>'NK-LK Transf.'!R12</f>
        <v>4.586805555555556E-4</v>
      </c>
      <c r="O24" s="27">
        <f>'NK-LK Transf.'!R14</f>
        <v>6.9837962962962963E-4</v>
      </c>
      <c r="P24" s="27">
        <f>'NK-LK Transf.'!R13</f>
        <v>9.4340277777777782E-4</v>
      </c>
      <c r="Q24" s="27">
        <f>'NK-LK Transf.'!R15</f>
        <v>7.7534722222222219E-4</v>
      </c>
      <c r="R24" s="27">
        <f>'NK-LK Transf.'!R17</f>
        <v>1.8180555555555554E-3</v>
      </c>
      <c r="S24" s="27">
        <f>'NK-LK Transf.'!R16</f>
        <v>1.644212962962963E-3</v>
      </c>
      <c r="T24" s="105"/>
      <c r="U24" s="105"/>
      <c r="V24" s="105"/>
      <c r="W24" s="105"/>
      <c r="X24" s="105" t="s">
        <v>258</v>
      </c>
      <c r="Y24" s="105" t="s">
        <v>257</v>
      </c>
      <c r="Z24" s="105"/>
      <c r="AA24" s="105" t="s">
        <v>261</v>
      </c>
      <c r="AB24" s="105" t="s">
        <v>262</v>
      </c>
      <c r="AC24" s="105"/>
      <c r="AD24" s="105"/>
      <c r="AE24" s="105" t="s">
        <v>262</v>
      </c>
      <c r="AF24" s="105" t="s">
        <v>262</v>
      </c>
    </row>
    <row r="25" spans="1:32" x14ac:dyDescent="0.45">
      <c r="A25" s="24" t="s">
        <v>232</v>
      </c>
      <c r="B25" s="24" t="s">
        <v>145</v>
      </c>
      <c r="C25" s="24">
        <v>23</v>
      </c>
      <c r="D25" s="24">
        <v>24</v>
      </c>
      <c r="E25" s="26">
        <v>45992</v>
      </c>
      <c r="F25" s="26">
        <v>46388</v>
      </c>
      <c r="G25" s="26">
        <v>45992</v>
      </c>
      <c r="H25" s="24" t="s">
        <v>141</v>
      </c>
      <c r="I25" s="24" t="s">
        <v>143</v>
      </c>
      <c r="J25" s="24">
        <v>50</v>
      </c>
      <c r="K25" s="24"/>
      <c r="L25" s="24">
        <v>10</v>
      </c>
      <c r="M25" s="24">
        <v>1</v>
      </c>
      <c r="N25" s="27">
        <f>'NK-LK Transf.'!J12</f>
        <v>3.3900462962962964E-4</v>
      </c>
      <c r="O25" s="27">
        <f>'NK-LK Transf.'!J14</f>
        <v>5.3935185185185184E-4</v>
      </c>
      <c r="P25" s="27">
        <f>'NK-LK Transf.'!J13</f>
        <v>7.1921296296296295E-4</v>
      </c>
      <c r="Q25" s="27">
        <f>'NK-LK Transf.'!J15</f>
        <v>5.9317129629629629E-4</v>
      </c>
      <c r="R25" s="27">
        <f>'NK-LK Transf.'!J17</f>
        <v>1.5422453703703705E-3</v>
      </c>
      <c r="S25" s="27">
        <f>'NK-LK Transf.'!J16</f>
        <v>1.3815972222222222E-3</v>
      </c>
      <c r="T25" s="105"/>
      <c r="U25" s="105"/>
      <c r="V25" s="105"/>
      <c r="W25" s="105"/>
      <c r="X25" s="105" t="s">
        <v>260</v>
      </c>
      <c r="Y25" s="105" t="s">
        <v>259</v>
      </c>
      <c r="Z25" s="105"/>
      <c r="AA25" s="105" t="s">
        <v>261</v>
      </c>
      <c r="AB25" s="105" t="s">
        <v>258</v>
      </c>
      <c r="AC25" s="105"/>
      <c r="AD25" s="105" t="s">
        <v>255</v>
      </c>
      <c r="AE25" s="105"/>
      <c r="AF25" s="105"/>
    </row>
    <row r="26" spans="1:32" x14ac:dyDescent="0.45">
      <c r="A26" s="24" t="s">
        <v>232</v>
      </c>
      <c r="B26" s="24" t="s">
        <v>145</v>
      </c>
      <c r="C26" s="24">
        <v>20</v>
      </c>
      <c r="D26" s="24">
        <v>22</v>
      </c>
      <c r="E26" s="26">
        <v>45992</v>
      </c>
      <c r="F26" s="26">
        <v>46388</v>
      </c>
      <c r="G26" s="26">
        <v>45992</v>
      </c>
      <c r="H26" s="24" t="s">
        <v>141</v>
      </c>
      <c r="I26" s="24" t="s">
        <v>143</v>
      </c>
      <c r="J26" s="24">
        <v>50</v>
      </c>
      <c r="K26" s="24"/>
      <c r="L26" s="24">
        <v>10</v>
      </c>
      <c r="M26" s="24">
        <v>1</v>
      </c>
      <c r="N26" s="27">
        <f>'NK-LK Transf.'!I12</f>
        <v>3.5081018518518518E-4</v>
      </c>
      <c r="O26" s="27">
        <f>'NK-LK Transf.'!I14</f>
        <v>5.5659722222222222E-4</v>
      </c>
      <c r="P26" s="27">
        <f>'NK-LK Transf.'!I13</f>
        <v>7.4733796296296289E-4</v>
      </c>
      <c r="Q26" s="27">
        <f>'NK-LK Transf.'!I15</f>
        <v>6.1886574074074068E-4</v>
      </c>
      <c r="R26" s="27">
        <f>'NK-LK Transf.'!I17</f>
        <v>1.590625E-3</v>
      </c>
      <c r="S26" s="27">
        <f>'NK-LK Transf.'!I16</f>
        <v>1.4285879629629631E-3</v>
      </c>
      <c r="T26" s="105"/>
      <c r="U26" s="105"/>
      <c r="V26" s="105"/>
      <c r="W26" s="105"/>
      <c r="X26" s="105" t="s">
        <v>260</v>
      </c>
      <c r="Y26" s="105" t="s">
        <v>259</v>
      </c>
      <c r="Z26" s="105"/>
      <c r="AA26" s="105" t="s">
        <v>261</v>
      </c>
      <c r="AB26" s="105" t="s">
        <v>258</v>
      </c>
      <c r="AC26" s="105"/>
      <c r="AD26" s="105" t="s">
        <v>255</v>
      </c>
      <c r="AE26" s="105"/>
      <c r="AF26" s="105"/>
    </row>
    <row r="27" spans="1:32" x14ac:dyDescent="0.45">
      <c r="A27" s="24" t="s">
        <v>232</v>
      </c>
      <c r="B27" s="24" t="s">
        <v>145</v>
      </c>
      <c r="C27" s="24">
        <v>19</v>
      </c>
      <c r="D27" s="24">
        <v>19</v>
      </c>
      <c r="E27" s="26">
        <v>45992</v>
      </c>
      <c r="F27" s="26">
        <v>46388</v>
      </c>
      <c r="G27" s="26">
        <v>45992</v>
      </c>
      <c r="H27" s="24" t="s">
        <v>141</v>
      </c>
      <c r="I27" s="24" t="s">
        <v>143</v>
      </c>
      <c r="J27" s="24">
        <v>50</v>
      </c>
      <c r="K27" s="24"/>
      <c r="L27" s="24">
        <v>10</v>
      </c>
      <c r="M27" s="24">
        <v>1</v>
      </c>
      <c r="N27" s="27">
        <f>'NK-LK Transf.'!H12</f>
        <v>3.6111111111111109E-4</v>
      </c>
      <c r="O27" s="27">
        <f>'NK-LK Transf.'!H14</f>
        <v>5.7175925925925927E-4</v>
      </c>
      <c r="P27" s="27">
        <f>'NK-LK Transf.'!H13</f>
        <v>7.7187499999999999E-4</v>
      </c>
      <c r="Q27" s="27">
        <f>'NK-LK Transf.'!H15</f>
        <v>6.4131944444444436E-4</v>
      </c>
      <c r="R27" s="27">
        <f>'NK-LK Transf.'!H17</f>
        <v>1.60625E-3</v>
      </c>
      <c r="S27" s="27">
        <f>'NK-LK Transf.'!H16</f>
        <v>1.4697916666666666E-3</v>
      </c>
      <c r="T27" s="105"/>
      <c r="U27" s="105" t="s">
        <v>258</v>
      </c>
      <c r="V27" s="105"/>
      <c r="W27" s="105"/>
      <c r="X27" s="105" t="s">
        <v>258</v>
      </c>
      <c r="Y27" s="105" t="s">
        <v>257</v>
      </c>
      <c r="Z27" s="105"/>
      <c r="AA27" s="105" t="s">
        <v>261</v>
      </c>
      <c r="AB27" s="105" t="s">
        <v>262</v>
      </c>
      <c r="AC27" s="105"/>
      <c r="AD27" s="105"/>
      <c r="AE27" s="105" t="s">
        <v>262</v>
      </c>
      <c r="AF27" s="105" t="s">
        <v>262</v>
      </c>
    </row>
    <row r="28" spans="1:32" x14ac:dyDescent="0.45">
      <c r="A28" s="24" t="s">
        <v>232</v>
      </c>
      <c r="B28" s="24" t="s">
        <v>145</v>
      </c>
      <c r="C28" s="24">
        <v>18</v>
      </c>
      <c r="D28" s="24">
        <v>18</v>
      </c>
      <c r="E28" s="26">
        <v>45992</v>
      </c>
      <c r="F28" s="26">
        <v>46388</v>
      </c>
      <c r="G28" s="26">
        <v>45992</v>
      </c>
      <c r="H28" s="24" t="s">
        <v>141</v>
      </c>
      <c r="I28" s="24" t="s">
        <v>143</v>
      </c>
      <c r="J28" s="24">
        <v>50</v>
      </c>
      <c r="K28" s="24"/>
      <c r="L28" s="24">
        <v>10</v>
      </c>
      <c r="M28" s="24">
        <v>1</v>
      </c>
      <c r="N28" s="27">
        <f>'NK-LK Transf.'!G12</f>
        <v>3.6747685185185185E-4</v>
      </c>
      <c r="O28" s="27">
        <f>'NK-LK Transf.'!G14</f>
        <v>5.8101851851851858E-4</v>
      </c>
      <c r="P28" s="27">
        <f>'NK-LK Transf.'!G13</f>
        <v>7.8715277777777779E-4</v>
      </c>
      <c r="Q28" s="27">
        <f>'NK-LK Transf.'!G15</f>
        <v>6.5532407407407401E-4</v>
      </c>
      <c r="R28" s="27">
        <f>'NK-LK Transf.'!G17</f>
        <v>1.6241898148148146E-3</v>
      </c>
      <c r="S28" s="27">
        <f>'NK-LK Transf.'!G16</f>
        <v>1.4950231481481481E-3</v>
      </c>
      <c r="T28" s="105"/>
      <c r="U28" s="105" t="s">
        <v>258</v>
      </c>
      <c r="V28" s="105"/>
      <c r="W28" s="105"/>
      <c r="X28" s="105" t="s">
        <v>258</v>
      </c>
      <c r="Y28" s="105" t="s">
        <v>257</v>
      </c>
      <c r="Z28" s="105"/>
      <c r="AA28" s="105" t="s">
        <v>261</v>
      </c>
      <c r="AB28" s="105" t="s">
        <v>262</v>
      </c>
      <c r="AC28" s="105"/>
      <c r="AD28" s="105"/>
      <c r="AE28" s="105" t="s">
        <v>262</v>
      </c>
      <c r="AF28" s="105" t="s">
        <v>262</v>
      </c>
    </row>
    <row r="29" spans="1:32" x14ac:dyDescent="0.45">
      <c r="A29" s="24" t="s">
        <v>232</v>
      </c>
      <c r="B29" s="24" t="s">
        <v>145</v>
      </c>
      <c r="C29" s="24">
        <v>14</v>
      </c>
      <c r="D29" s="24">
        <v>17</v>
      </c>
      <c r="E29" s="26">
        <v>45992</v>
      </c>
      <c r="F29" s="26">
        <v>46388</v>
      </c>
      <c r="G29" s="26">
        <v>45992</v>
      </c>
      <c r="H29" s="24" t="s">
        <v>141</v>
      </c>
      <c r="I29" s="24" t="s">
        <v>143</v>
      </c>
      <c r="J29" s="24">
        <v>50</v>
      </c>
      <c r="K29" s="24"/>
      <c r="L29" s="24">
        <v>10</v>
      </c>
      <c r="M29" s="24">
        <v>1</v>
      </c>
      <c r="N29" s="27">
        <f>'NK-LK Transf.'!F12</f>
        <v>3.7430555555555562E-4</v>
      </c>
      <c r="O29" s="27">
        <f>'NK-LK Transf.'!F14</f>
        <v>5.9097222222222222E-4</v>
      </c>
      <c r="P29" s="27">
        <f>'NK-LK Transf.'!F13</f>
        <v>8.0358796296296309E-4</v>
      </c>
      <c r="Q29" s="27">
        <f>'NK-LK Transf.'!F15</f>
        <v>6.7048611111111107E-4</v>
      </c>
      <c r="R29" s="27">
        <f>'NK-LK Transf.'!F17</f>
        <v>1.6435185185185185E-3</v>
      </c>
      <c r="S29" s="27">
        <f>'NK-LK Transf.'!F16</f>
        <v>1.522337962962963E-3</v>
      </c>
      <c r="T29" s="105"/>
      <c r="U29" s="105"/>
      <c r="V29" s="105"/>
      <c r="W29" s="105"/>
      <c r="X29" s="105" t="s">
        <v>258</v>
      </c>
      <c r="Y29" s="105" t="s">
        <v>257</v>
      </c>
      <c r="Z29" s="105"/>
      <c r="AA29" s="105" t="s">
        <v>261</v>
      </c>
      <c r="AB29" s="105" t="s">
        <v>262</v>
      </c>
      <c r="AC29" s="105"/>
      <c r="AD29" s="105"/>
      <c r="AE29" s="105" t="s">
        <v>262</v>
      </c>
      <c r="AF29" s="105" t="s">
        <v>262</v>
      </c>
    </row>
    <row r="30" spans="1:32" x14ac:dyDescent="0.45">
      <c r="A30" s="24" t="s">
        <v>233</v>
      </c>
      <c r="B30" s="24" t="s">
        <v>127</v>
      </c>
      <c r="C30" s="24">
        <v>25</v>
      </c>
      <c r="D30" s="24">
        <v>50</v>
      </c>
      <c r="E30" s="26">
        <v>45992</v>
      </c>
      <c r="F30" s="26">
        <v>46388</v>
      </c>
      <c r="G30" s="26">
        <v>45992</v>
      </c>
      <c r="H30" s="24" t="s">
        <v>141</v>
      </c>
      <c r="I30" s="24" t="s">
        <v>143</v>
      </c>
      <c r="J30" s="24">
        <v>50</v>
      </c>
      <c r="K30" s="24"/>
      <c r="L30" s="24">
        <v>10</v>
      </c>
      <c r="M30" s="24">
        <v>1</v>
      </c>
      <c r="N30" s="27">
        <f>'NK-LK Transf.'!Z12</f>
        <v>4.0069444444444441E-4</v>
      </c>
      <c r="O30" s="27">
        <f>'NK-LK Transf.'!Z14</f>
        <v>6.2129629629629633E-4</v>
      </c>
      <c r="P30" s="27">
        <f>'NK-LK Transf.'!Z13</f>
        <v>8.2037037037037029E-4</v>
      </c>
      <c r="Q30" s="27">
        <f>'NK-LK Transf.'!Z15</f>
        <v>6.8125E-4</v>
      </c>
      <c r="R30" s="27">
        <f>'NK-LK Transf.'!Z17</f>
        <v>1.6695601851851852E-3</v>
      </c>
      <c r="S30" s="27">
        <f>'NK-LK Transf.'!Z16</f>
        <v>1.5517361111111109E-3</v>
      </c>
      <c r="T30" s="105"/>
      <c r="U30" s="105"/>
      <c r="V30" s="105"/>
      <c r="W30" s="105"/>
      <c r="X30" s="105" t="s">
        <v>258</v>
      </c>
      <c r="Y30" s="105" t="s">
        <v>257</v>
      </c>
      <c r="Z30" s="105"/>
      <c r="AA30" s="105" t="s">
        <v>257</v>
      </c>
      <c r="AB30" s="105"/>
      <c r="AC30" s="105" t="s">
        <v>255</v>
      </c>
      <c r="AD30" s="105" t="s">
        <v>256</v>
      </c>
      <c r="AE30" s="105"/>
      <c r="AF30" s="105"/>
    </row>
    <row r="31" spans="1:32" x14ac:dyDescent="0.45">
      <c r="A31" s="24" t="s">
        <v>233</v>
      </c>
      <c r="B31" s="24" t="s">
        <v>127</v>
      </c>
      <c r="C31" s="24">
        <v>22</v>
      </c>
      <c r="D31" s="24">
        <v>24</v>
      </c>
      <c r="E31" s="26">
        <v>45992</v>
      </c>
      <c r="F31" s="26">
        <v>46388</v>
      </c>
      <c r="G31" s="26">
        <v>45992</v>
      </c>
      <c r="H31" s="24" t="s">
        <v>141</v>
      </c>
      <c r="I31" s="24" t="s">
        <v>143</v>
      </c>
      <c r="J31" s="24">
        <v>50</v>
      </c>
      <c r="K31" s="24"/>
      <c r="L31" s="24">
        <v>10</v>
      </c>
      <c r="M31" s="24">
        <v>1</v>
      </c>
      <c r="N31" s="27">
        <f>'NK-LK Transf.'!Y12</f>
        <v>4.0381944444444444E-4</v>
      </c>
      <c r="O31" s="27">
        <f>'NK-LK Transf.'!Y14</f>
        <v>6.2523148148148149E-4</v>
      </c>
      <c r="P31" s="27">
        <f>'NK-LK Transf.'!Y13</f>
        <v>8.2662037037037036E-4</v>
      </c>
      <c r="Q31" s="27">
        <f>'NK-LK Transf.'!Y15</f>
        <v>6.8611111111111108E-4</v>
      </c>
      <c r="R31" s="27">
        <f>'NK-LK Transf.'!Y17</f>
        <v>1.677199074074074E-3</v>
      </c>
      <c r="S31" s="27">
        <f>'NK-LK Transf.'!Y16</f>
        <v>1.5564814814814814E-3</v>
      </c>
      <c r="T31" s="105"/>
      <c r="U31" s="105"/>
      <c r="V31" s="105"/>
      <c r="W31" s="105"/>
      <c r="X31" s="105" t="s">
        <v>258</v>
      </c>
      <c r="Y31" s="105" t="s">
        <v>257</v>
      </c>
      <c r="Z31" s="105"/>
      <c r="AA31" s="105" t="s">
        <v>257</v>
      </c>
      <c r="AB31" s="105"/>
      <c r="AC31" s="105" t="s">
        <v>255</v>
      </c>
      <c r="AD31" s="105" t="s">
        <v>256</v>
      </c>
      <c r="AE31" s="105"/>
      <c r="AF31" s="105"/>
    </row>
    <row r="32" spans="1:32" x14ac:dyDescent="0.45">
      <c r="A32" s="24" t="s">
        <v>233</v>
      </c>
      <c r="B32" s="24" t="s">
        <v>127</v>
      </c>
      <c r="C32" s="24">
        <v>21</v>
      </c>
      <c r="D32" s="24">
        <v>21</v>
      </c>
      <c r="E32" s="26">
        <v>45992</v>
      </c>
      <c r="F32" s="26">
        <v>46388</v>
      </c>
      <c r="G32" s="26">
        <v>45992</v>
      </c>
      <c r="H32" s="24" t="s">
        <v>141</v>
      </c>
      <c r="I32" s="24" t="s">
        <v>143</v>
      </c>
      <c r="J32" s="24">
        <v>50</v>
      </c>
      <c r="K32" s="24"/>
      <c r="L32" s="24">
        <v>10</v>
      </c>
      <c r="M32" s="24">
        <v>1</v>
      </c>
      <c r="N32" s="27">
        <f>'NK-LK Transf.'!X12</f>
        <v>4.1331018518518518E-4</v>
      </c>
      <c r="O32" s="27">
        <f>'NK-LK Transf.'!X14</f>
        <v>6.3703703703703698E-4</v>
      </c>
      <c r="P32" s="27">
        <f>'NK-LK Transf.'!X13</f>
        <v>8.4548611111111109E-4</v>
      </c>
      <c r="Q32" s="27">
        <f>'NK-LK Transf.'!X15</f>
        <v>7.0046296296296295E-4</v>
      </c>
      <c r="R32" s="27">
        <f>'NK-LK Transf.'!X17</f>
        <v>1.7002314814814816E-3</v>
      </c>
      <c r="S32" s="27">
        <f>'NK-LK Transf.'!X16</f>
        <v>1.570949074074074E-3</v>
      </c>
      <c r="T32" s="105"/>
      <c r="U32" s="105"/>
      <c r="V32" s="105"/>
      <c r="W32" s="105"/>
      <c r="X32" s="105" t="s">
        <v>258</v>
      </c>
      <c r="Y32" s="105" t="s">
        <v>257</v>
      </c>
      <c r="Z32" s="105"/>
      <c r="AA32" s="105" t="s">
        <v>257</v>
      </c>
      <c r="AB32" s="105"/>
      <c r="AC32" s="105" t="s">
        <v>255</v>
      </c>
      <c r="AD32" s="105" t="s">
        <v>256</v>
      </c>
      <c r="AE32" s="105"/>
      <c r="AF32" s="105"/>
    </row>
    <row r="33" spans="1:32" x14ac:dyDescent="0.45">
      <c r="A33" s="24" t="s">
        <v>233</v>
      </c>
      <c r="B33" s="24" t="s">
        <v>127</v>
      </c>
      <c r="C33" s="24">
        <v>20</v>
      </c>
      <c r="D33" s="24">
        <v>20</v>
      </c>
      <c r="E33" s="26">
        <v>45992</v>
      </c>
      <c r="F33" s="26">
        <v>46388</v>
      </c>
      <c r="G33" s="26">
        <v>45992</v>
      </c>
      <c r="H33" s="24" t="s">
        <v>141</v>
      </c>
      <c r="I33" s="24" t="s">
        <v>143</v>
      </c>
      <c r="J33" s="24">
        <v>50</v>
      </c>
      <c r="K33" s="24"/>
      <c r="L33" s="24">
        <v>10</v>
      </c>
      <c r="M33" s="24">
        <v>1</v>
      </c>
      <c r="N33" s="27">
        <f>'NK-LK Transf.'!W12</f>
        <v>4.2118055555555555E-4</v>
      </c>
      <c r="O33" s="27">
        <f>'NK-LK Transf.'!W14</f>
        <v>6.4699074074074073E-4</v>
      </c>
      <c r="P33" s="27">
        <f>'NK-LK Transf.'!W13</f>
        <v>8.6111111111111121E-4</v>
      </c>
      <c r="Q33" s="27">
        <f>'NK-LK Transf.'!W15</f>
        <v>7.1250000000000003E-4</v>
      </c>
      <c r="R33" s="27">
        <f>'NK-LK Transf.'!W17</f>
        <v>1.7194444444444444E-3</v>
      </c>
      <c r="S33" s="27">
        <f>'NK-LK Transf.'!W16</f>
        <v>1.5829861111111112E-3</v>
      </c>
      <c r="T33" s="105"/>
      <c r="U33" s="105"/>
      <c r="V33" s="105"/>
      <c r="W33" s="105"/>
      <c r="X33" s="105" t="s">
        <v>258</v>
      </c>
      <c r="Y33" s="105" t="s">
        <v>257</v>
      </c>
      <c r="Z33" s="105"/>
      <c r="AA33" s="105" t="s">
        <v>257</v>
      </c>
      <c r="AB33" s="105"/>
      <c r="AC33" s="105" t="s">
        <v>255</v>
      </c>
      <c r="AD33" s="105" t="s">
        <v>256</v>
      </c>
      <c r="AE33" s="105"/>
      <c r="AF33" s="105"/>
    </row>
    <row r="34" spans="1:32" x14ac:dyDescent="0.45">
      <c r="A34" s="24" t="s">
        <v>234</v>
      </c>
      <c r="B34" s="24" t="s">
        <v>145</v>
      </c>
      <c r="C34" s="24">
        <v>25</v>
      </c>
      <c r="D34" s="24">
        <v>50</v>
      </c>
      <c r="E34" s="26">
        <v>45992</v>
      </c>
      <c r="F34" s="26">
        <v>46388</v>
      </c>
      <c r="G34" s="26">
        <v>45992</v>
      </c>
      <c r="H34" s="24" t="s">
        <v>141</v>
      </c>
      <c r="I34" s="24" t="s">
        <v>143</v>
      </c>
      <c r="J34" s="24">
        <v>50</v>
      </c>
      <c r="K34" s="24"/>
      <c r="L34" s="24">
        <v>10</v>
      </c>
      <c r="M34" s="24">
        <v>1</v>
      </c>
      <c r="N34" s="27">
        <f>'NK-LK Transf.'!N12</f>
        <v>3.359953703703704E-4</v>
      </c>
      <c r="O34" s="27">
        <f>'NK-LK Transf.'!N14</f>
        <v>5.3506944444444446E-4</v>
      </c>
      <c r="P34" s="27">
        <f>'NK-LK Transf.'!N13</f>
        <v>7.1215277777777781E-4</v>
      </c>
      <c r="Q34" s="27">
        <f>'NK-LK Transf.'!N15</f>
        <v>5.8680555555555558E-4</v>
      </c>
      <c r="R34" s="27">
        <f>'NK-LK Transf.'!N17</f>
        <v>1.4912037037037038E-3</v>
      </c>
      <c r="S34" s="27">
        <f>'NK-LK Transf.'!N16</f>
        <v>1.3697916666666665E-3</v>
      </c>
      <c r="T34" s="105"/>
      <c r="U34" s="105"/>
      <c r="V34" s="105"/>
      <c r="W34" s="105"/>
      <c r="X34" s="105" t="s">
        <v>258</v>
      </c>
      <c r="Y34" s="105" t="s">
        <v>257</v>
      </c>
      <c r="Z34" s="105"/>
      <c r="AA34" s="105" t="s">
        <v>257</v>
      </c>
      <c r="AB34" s="105"/>
      <c r="AC34" s="105" t="s">
        <v>255</v>
      </c>
      <c r="AD34" s="105" t="s">
        <v>256</v>
      </c>
      <c r="AE34" s="105"/>
      <c r="AF34" s="105"/>
    </row>
    <row r="35" spans="1:32" x14ac:dyDescent="0.45">
      <c r="A35" s="24" t="s">
        <v>234</v>
      </c>
      <c r="B35" s="24" t="s">
        <v>145</v>
      </c>
      <c r="C35" s="24">
        <v>22</v>
      </c>
      <c r="D35" s="24">
        <v>24</v>
      </c>
      <c r="E35" s="26">
        <v>45992</v>
      </c>
      <c r="F35" s="26">
        <v>46388</v>
      </c>
      <c r="G35" s="26">
        <v>45992</v>
      </c>
      <c r="H35" s="24" t="s">
        <v>141</v>
      </c>
      <c r="I35" s="24" t="s">
        <v>143</v>
      </c>
      <c r="J35" s="24">
        <v>50</v>
      </c>
      <c r="K35" s="24"/>
      <c r="L35" s="24">
        <v>10</v>
      </c>
      <c r="M35" s="24">
        <v>1</v>
      </c>
      <c r="N35" s="27">
        <f>'NK-LK Transf.'!M12</f>
        <v>3.3796296296296298E-4</v>
      </c>
      <c r="O35" s="27">
        <f>'NK-LK Transf.'!M14</f>
        <v>5.3796296296296296E-4</v>
      </c>
      <c r="P35" s="27">
        <f>'NK-LK Transf.'!M13</f>
        <v>7.1678240740740741E-4</v>
      </c>
      <c r="Q35" s="27">
        <f>'NK-LK Transf.'!M15</f>
        <v>5.9108796296296296E-4</v>
      </c>
      <c r="R35" s="27">
        <f>'NK-LK Transf.'!M17</f>
        <v>1.5002314814814815E-3</v>
      </c>
      <c r="S35" s="27">
        <f>'NK-LK Transf.'!M16</f>
        <v>1.377662037037037E-3</v>
      </c>
      <c r="T35" s="105"/>
      <c r="U35" s="105"/>
      <c r="V35" s="105"/>
      <c r="W35" s="105"/>
      <c r="X35" s="105" t="s">
        <v>258</v>
      </c>
      <c r="Y35" s="105" t="s">
        <v>257</v>
      </c>
      <c r="Z35" s="105"/>
      <c r="AA35" s="105" t="s">
        <v>257</v>
      </c>
      <c r="AB35" s="105"/>
      <c r="AC35" s="105" t="s">
        <v>255</v>
      </c>
      <c r="AD35" s="105" t="s">
        <v>256</v>
      </c>
      <c r="AE35" s="105"/>
      <c r="AF35" s="105"/>
    </row>
    <row r="36" spans="1:32" x14ac:dyDescent="0.45">
      <c r="A36" s="24" t="s">
        <v>234</v>
      </c>
      <c r="B36" s="24" t="s">
        <v>145</v>
      </c>
      <c r="C36" s="24">
        <v>21</v>
      </c>
      <c r="D36" s="24">
        <v>21</v>
      </c>
      <c r="E36" s="26">
        <v>45992</v>
      </c>
      <c r="F36" s="26">
        <v>46388</v>
      </c>
      <c r="G36" s="26">
        <v>45992</v>
      </c>
      <c r="H36" s="24" t="s">
        <v>141</v>
      </c>
      <c r="I36" s="24" t="s">
        <v>143</v>
      </c>
      <c r="J36" s="24">
        <v>50</v>
      </c>
      <c r="K36" s="24"/>
      <c r="L36" s="24">
        <v>10</v>
      </c>
      <c r="M36" s="24">
        <v>1</v>
      </c>
      <c r="N36" s="27">
        <f>'NK-LK Transf.'!L12</f>
        <v>3.4386574074074077E-4</v>
      </c>
      <c r="O36" s="27">
        <f>'NK-LK Transf.'!L14</f>
        <v>5.4652777777777772E-4</v>
      </c>
      <c r="P36" s="27">
        <f>'NK-LK Transf.'!L13</f>
        <v>7.309027777777778E-4</v>
      </c>
      <c r="Q36" s="27">
        <f>'NK-LK Transf.'!L15</f>
        <v>6.0393518518518522E-4</v>
      </c>
      <c r="R36" s="27">
        <f>'NK-LK Transf.'!L17</f>
        <v>1.5273148148148149E-3</v>
      </c>
      <c r="S36" s="27">
        <f>'NK-LK Transf.'!L16</f>
        <v>1.4011574074074074E-3</v>
      </c>
      <c r="T36" s="105"/>
      <c r="U36" s="105"/>
      <c r="V36" s="105"/>
      <c r="W36" s="105"/>
      <c r="X36" s="105" t="s">
        <v>258</v>
      </c>
      <c r="Y36" s="105" t="s">
        <v>257</v>
      </c>
      <c r="Z36" s="105"/>
      <c r="AA36" s="105" t="s">
        <v>257</v>
      </c>
      <c r="AB36" s="105"/>
      <c r="AC36" s="105" t="s">
        <v>255</v>
      </c>
      <c r="AD36" s="105" t="s">
        <v>256</v>
      </c>
      <c r="AE36" s="105"/>
      <c r="AF36" s="105"/>
    </row>
    <row r="37" spans="1:32" x14ac:dyDescent="0.45">
      <c r="A37" s="24" t="s">
        <v>234</v>
      </c>
      <c r="B37" s="24" t="s">
        <v>145</v>
      </c>
      <c r="C37" s="24">
        <v>20</v>
      </c>
      <c r="D37" s="24">
        <v>20</v>
      </c>
      <c r="E37" s="26">
        <v>45992</v>
      </c>
      <c r="F37" s="26">
        <v>46388</v>
      </c>
      <c r="G37" s="26">
        <v>45992</v>
      </c>
      <c r="H37" s="24" t="s">
        <v>141</v>
      </c>
      <c r="I37" s="24" t="s">
        <v>143</v>
      </c>
      <c r="J37" s="24">
        <v>50</v>
      </c>
      <c r="K37" s="24"/>
      <c r="L37" s="24">
        <v>10</v>
      </c>
      <c r="M37" s="24">
        <v>1</v>
      </c>
      <c r="N37" s="27">
        <f>'NK-LK Transf.'!K12</f>
        <v>3.488425925925926E-4</v>
      </c>
      <c r="O37" s="27">
        <f>'NK-LK Transf.'!K14</f>
        <v>5.5381944444444445E-4</v>
      </c>
      <c r="P37" s="27">
        <f>'NK-LK Transf.'!K13</f>
        <v>7.4259259259259254E-4</v>
      </c>
      <c r="Q37" s="27">
        <f>'NK-LK Transf.'!K15</f>
        <v>6.145833333333333E-4</v>
      </c>
      <c r="R37" s="27">
        <f>'NK-LK Transf.'!K17</f>
        <v>1.5498842592592593E-3</v>
      </c>
      <c r="S37" s="27">
        <f>'NK-LK Transf.'!K16</f>
        <v>1.4207175925925926E-3</v>
      </c>
      <c r="T37" s="105"/>
      <c r="U37" s="105"/>
      <c r="V37" s="105"/>
      <c r="W37" s="105"/>
      <c r="X37" s="105" t="s">
        <v>258</v>
      </c>
      <c r="Y37" s="105" t="s">
        <v>257</v>
      </c>
      <c r="Z37" s="105"/>
      <c r="AA37" s="105" t="s">
        <v>257</v>
      </c>
      <c r="AB37" s="105"/>
      <c r="AC37" s="105" t="s">
        <v>255</v>
      </c>
      <c r="AD37" s="105" t="s">
        <v>256</v>
      </c>
      <c r="AE37" s="105"/>
      <c r="AF37" s="105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zoomScaleNormal="100" workbookViewId="0">
      <selection activeCell="K23" sqref="K23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39" customFormat="1" ht="18" customHeight="1" x14ac:dyDescent="0.5">
      <c r="A1" s="108">
        <v>2025</v>
      </c>
      <c r="B1" s="44" t="str">
        <f ca="1">CONCATENATE("in: ",YEAR(TODAY())-1," für: ", YEAR(TODAY()))</f>
        <v>in: 2025 für: 2026</v>
      </c>
      <c r="C1" s="109" t="s">
        <v>209</v>
      </c>
      <c r="D1" s="109"/>
      <c r="E1" s="110"/>
      <c r="F1" s="111" t="s">
        <v>210</v>
      </c>
      <c r="G1" s="112"/>
      <c r="H1" s="112"/>
      <c r="I1" s="112"/>
      <c r="J1" s="113"/>
      <c r="K1" s="114" t="s">
        <v>214</v>
      </c>
      <c r="L1" s="115"/>
      <c r="M1" s="115"/>
      <c r="N1" s="116"/>
      <c r="O1" s="134" t="s">
        <v>211</v>
      </c>
      <c r="P1" s="134"/>
      <c r="Q1" s="135"/>
      <c r="R1" s="136" t="s">
        <v>212</v>
      </c>
      <c r="S1" s="137"/>
      <c r="T1" s="137"/>
      <c r="U1" s="137"/>
      <c r="V1" s="138"/>
      <c r="W1" s="139" t="s">
        <v>215</v>
      </c>
      <c r="X1" s="140"/>
      <c r="Y1" s="140"/>
      <c r="Z1" s="141"/>
      <c r="AA1"/>
      <c r="AB1" s="44" t="str">
        <f ca="1">CONCATENATE("in: ",YEAR(TODAY())-1," für: ", YEAR(TODAY()))</f>
        <v>in: 2025 für: 2026</v>
      </c>
      <c r="AC1" s="117" t="s">
        <v>216</v>
      </c>
      <c r="AD1" s="117"/>
      <c r="AE1" s="118"/>
      <c r="AF1" s="119" t="s">
        <v>217</v>
      </c>
      <c r="AG1" s="120"/>
      <c r="AH1" s="120"/>
      <c r="AI1" s="120"/>
      <c r="AJ1" s="121"/>
      <c r="AK1" s="122" t="s">
        <v>218</v>
      </c>
      <c r="AL1" s="123"/>
      <c r="AM1" s="123"/>
      <c r="AN1" s="124"/>
      <c r="AO1" s="125" t="s">
        <v>219</v>
      </c>
      <c r="AP1" s="126"/>
      <c r="AQ1" s="127"/>
      <c r="AR1" s="128" t="s">
        <v>220</v>
      </c>
      <c r="AS1" s="129"/>
      <c r="AT1" s="129"/>
      <c r="AU1" s="129"/>
      <c r="AV1" s="130"/>
      <c r="AW1" s="131" t="s">
        <v>221</v>
      </c>
      <c r="AX1" s="132"/>
      <c r="AY1" s="132"/>
      <c r="AZ1" s="133"/>
      <c r="BB1" s="44" t="str">
        <f ca="1">CONCATENATE("in: ",YEAR(TODAY())-1," für: ", YEAR(TODAY()))</f>
        <v>in: 2025 für: 2026</v>
      </c>
      <c r="BC1" s="109" t="s">
        <v>222</v>
      </c>
      <c r="BD1" s="109"/>
      <c r="BE1" s="110"/>
      <c r="BF1" s="111" t="s">
        <v>223</v>
      </c>
      <c r="BG1" s="112"/>
      <c r="BH1" s="112"/>
      <c r="BI1" s="112"/>
      <c r="BJ1" s="113"/>
      <c r="BK1" s="114" t="s">
        <v>224</v>
      </c>
      <c r="BL1" s="115"/>
      <c r="BM1" s="115"/>
      <c r="BN1" s="116"/>
      <c r="BO1" s="134" t="s">
        <v>229</v>
      </c>
      <c r="BP1" s="134"/>
      <c r="BQ1" s="135"/>
      <c r="BR1" s="136" t="s">
        <v>230</v>
      </c>
      <c r="BS1" s="137"/>
      <c r="BT1" s="137"/>
      <c r="BU1" s="137"/>
      <c r="BV1" s="138"/>
      <c r="BW1" s="139" t="s">
        <v>225</v>
      </c>
      <c r="BX1" s="140"/>
      <c r="BY1" s="140"/>
      <c r="BZ1" s="141"/>
    </row>
    <row r="2" spans="1:78" s="93" customFormat="1" ht="21.4" thickBot="1" x14ac:dyDescent="0.55000000000000004">
      <c r="A2" s="108"/>
      <c r="B2" s="45" t="s">
        <v>213</v>
      </c>
      <c r="C2" s="40" t="str">
        <f ca="1">CONCATENATE("≤",YEAR(TODAY())-15-1)</f>
        <v>≤2010</v>
      </c>
      <c r="D2" s="40">
        <f ca="1">YEAR(TODAY())-16-1</f>
        <v>2009</v>
      </c>
      <c r="E2" s="47">
        <f ca="1">YEAR(TODAY())-17-1</f>
        <v>2008</v>
      </c>
      <c r="F2" s="41">
        <f ca="1">YEAR(TODAY())-16-1</f>
        <v>2009</v>
      </c>
      <c r="G2" s="41">
        <f ca="1">YEAR(TODAY())-17-1</f>
        <v>2008</v>
      </c>
      <c r="H2" s="41">
        <f ca="1">YEAR(TODAY())-18-1</f>
        <v>2007</v>
      </c>
      <c r="I2" s="56" t="str">
        <f ca="1">CONCATENATE(YEAR(TODAY())-1-19,"-",YEAR(TODAY())-1-21)</f>
        <v>2006-2004</v>
      </c>
      <c r="J2" s="56" t="str">
        <f ca="1">CONCATENATE(YEAR(TODAY())-1-22,"-",YEAR(TODAY())-1-23)</f>
        <v>2003-2002</v>
      </c>
      <c r="K2" s="69" t="str">
        <f ca="1">CONCATENATE(YEAR(TODAY())-1-15,"-",YEAR(TODAY())-1-19)</f>
        <v>2010-2006</v>
      </c>
      <c r="L2" s="70">
        <f ca="1">YEAR(TODAY())-20-1</f>
        <v>2005</v>
      </c>
      <c r="M2" s="70" t="str">
        <f ca="1">CONCATENATE(YEAR(TODAY())-1-21,"-",YEAR(TODAY())-1-23)</f>
        <v>2004-2002</v>
      </c>
      <c r="N2" s="70" t="str">
        <f ca="1">CONCATENATE(YEAR(TODAY())-1-24,"-",YEAR(TODAY())-40-1)</f>
        <v>2001-1985</v>
      </c>
      <c r="O2" s="75" t="str">
        <f ca="1">CONCATENATE("≤",YEAR(TODAY())-15-1)</f>
        <v>≤2010</v>
      </c>
      <c r="P2" s="42">
        <f ca="1">YEAR(TODAY())-16-1</f>
        <v>2009</v>
      </c>
      <c r="Q2" s="48">
        <f ca="1">YEAR(TODAY())-17-1</f>
        <v>2008</v>
      </c>
      <c r="R2" s="43">
        <f ca="1">YEAR(TODAY())-16-1</f>
        <v>2009</v>
      </c>
      <c r="S2" s="43">
        <f ca="1">YEAR(TODAY())-17-1</f>
        <v>2008</v>
      </c>
      <c r="T2" s="43">
        <f ca="1">YEAR(TODAY())-18-1</f>
        <v>2007</v>
      </c>
      <c r="U2" s="63" t="str">
        <f ca="1">CONCATENATE(YEAR(TODAY())-1-19,"-",YEAR(TODAY())-1-21)</f>
        <v>2006-2004</v>
      </c>
      <c r="V2" s="64" t="str">
        <f ca="1">CONCATENATE(YEAR(TODAY())-1-22,"-",YEAR(TODAY())-1-23)</f>
        <v>2003-2002</v>
      </c>
      <c r="W2" s="73" t="str">
        <f ca="1">CONCATENATE(YEAR(TODAY())-1-15,"-",YEAR(TODAY())-1-19)</f>
        <v>2010-2006</v>
      </c>
      <c r="X2" s="71">
        <f ca="1">YEAR(TODAY())-20-1</f>
        <v>2005</v>
      </c>
      <c r="Y2" s="73" t="str">
        <f ca="1">CONCATENATE(YEAR(TODAY())-1-21,"-",YEAR(TODAY())-1-23)</f>
        <v>2004-2002</v>
      </c>
      <c r="Z2" s="74" t="str">
        <f ca="1">CONCATENATE(YEAR(TODAY())-1-24,"-",YEAR(TODAY())-50-1)</f>
        <v>2001-1975</v>
      </c>
      <c r="AA2"/>
      <c r="AB2" s="45" t="s">
        <v>213</v>
      </c>
      <c r="AC2" s="79" t="str">
        <f ca="1">CONCATENATE("≤",YEAR(TODAY())-15)</f>
        <v>≤2011</v>
      </c>
      <c r="AD2" s="79">
        <f ca="1">YEAR(TODAY())-16</f>
        <v>2010</v>
      </c>
      <c r="AE2" s="80">
        <f ca="1">YEAR(TODAY())-17</f>
        <v>2009</v>
      </c>
      <c r="AF2" s="81">
        <f ca="1">YEAR(TODAY())-16</f>
        <v>2010</v>
      </c>
      <c r="AG2" s="81">
        <f ca="1">YEAR(TODAY())-17</f>
        <v>2009</v>
      </c>
      <c r="AH2" s="81">
        <f ca="1">YEAR(TODAY())-18</f>
        <v>2008</v>
      </c>
      <c r="AI2" s="81" t="str">
        <f ca="1">CONCATENATE(YEAR(TODAY())-19,"-",YEAR(TODAY())-21)</f>
        <v>2007-2005</v>
      </c>
      <c r="AJ2" s="81" t="str">
        <f ca="1">CONCATENATE(YEAR(TODAY())-22,"-",YEAR(TODAY())-50)</f>
        <v>2004-1976</v>
      </c>
      <c r="AK2" s="82" t="str">
        <f ca="1">CONCATENATE(YEAR(TODAY())-15,"-",YEAR(TODAY())-19)</f>
        <v>2011-2007</v>
      </c>
      <c r="AL2" s="83">
        <f ca="1">YEAR(TODAY())-20</f>
        <v>2006</v>
      </c>
      <c r="AM2" s="83" t="str">
        <f ca="1">CONCATENATE(YEAR(TODAY())-21,"-",YEAR(TODAY())-23)</f>
        <v>2005-2003</v>
      </c>
      <c r="AN2" s="84" t="str">
        <f ca="1">CONCATENATE(YEAR(TODAY())-24,"-",YEAR(TODAY())-40)</f>
        <v>2002-1986</v>
      </c>
      <c r="AO2" s="85" t="str">
        <f ca="1">CONCATENATE("≤",YEAR(TODAY())-15)</f>
        <v>≤2011</v>
      </c>
      <c r="AP2" s="85">
        <f ca="1">YEAR(TODAY())-16</f>
        <v>2010</v>
      </c>
      <c r="AQ2" s="86">
        <f ca="1">YEAR(TODAY())-17</f>
        <v>2009</v>
      </c>
      <c r="AR2" s="76">
        <f ca="1">YEAR(TODAY())-16</f>
        <v>2010</v>
      </c>
      <c r="AS2" s="76">
        <f ca="1">YEAR(TODAY())-17</f>
        <v>2009</v>
      </c>
      <c r="AT2" s="76">
        <f ca="1">YEAR(TODAY())-18</f>
        <v>2008</v>
      </c>
      <c r="AU2" s="76" t="str">
        <f ca="1">CONCATENATE(YEAR(TODAY())-19,"-",YEAR(TODAY())-21)</f>
        <v>2007-2005</v>
      </c>
      <c r="AV2" s="77" t="str">
        <f ca="1">CONCATENATE(YEAR(TODAY())-22,"-",YEAR(TODAY())-50)</f>
        <v>2004-1976</v>
      </c>
      <c r="AW2" s="87" t="str">
        <f ca="1">CONCATENATE(YEAR(TODAY())-15,"-",YEAR(TODAY())-19)</f>
        <v>2011-2007</v>
      </c>
      <c r="AX2" s="87">
        <f ca="1">YEAR(TODAY())-20</f>
        <v>2006</v>
      </c>
      <c r="AY2" s="87" t="str">
        <f ca="1">CONCATENATE(YEAR(TODAY())-21,"-",YEAR(TODAY())-23)</f>
        <v>2005-2003</v>
      </c>
      <c r="AZ2" s="78" t="str">
        <f ca="1">CONCATENATE(YEAR(TODAY())-24,"-",YEAR(TODAY())-40)</f>
        <v>2002-1986</v>
      </c>
      <c r="BB2" s="45" t="s">
        <v>213</v>
      </c>
      <c r="BC2" s="57" t="str">
        <f ca="1">CONCATENATE("≤",YEAR(TODAY())-15-1)</f>
        <v>≤2010</v>
      </c>
      <c r="BD2" s="57">
        <f ca="1">YEAR(TODAY())-16-1</f>
        <v>2009</v>
      </c>
      <c r="BE2" s="58">
        <f ca="1">YEAR(TODAY())-17-1</f>
        <v>2008</v>
      </c>
      <c r="BF2" s="59">
        <f ca="1">YEAR(TODAY())-16-1</f>
        <v>2009</v>
      </c>
      <c r="BG2" s="59">
        <f ca="1">YEAR(TODAY())-17-1</f>
        <v>2008</v>
      </c>
      <c r="BH2" s="59">
        <f ca="1">YEAR(TODAY())-18-1</f>
        <v>2007</v>
      </c>
      <c r="BI2" s="88" t="str">
        <f ca="1">CONCATENATE(YEAR(TODAY())-1-19,"-",YEAR(TODAY())-1-21)</f>
        <v>2006-2004</v>
      </c>
      <c r="BJ2" s="88" t="str">
        <f ca="1">CONCATENATE(YEAR(TODAY())-1-22,"-",YEAR(TODAY())-1-50)</f>
        <v>2003-1975</v>
      </c>
      <c r="BK2" s="89" t="str">
        <f ca="1">CONCATENATE(YEAR(TODAY())-1-15,"-",YEAR(TODAY())-1-19)</f>
        <v>2010-2006</v>
      </c>
      <c r="BL2" s="90">
        <f ca="1">YEAR(TODAY())-20-1</f>
        <v>2005</v>
      </c>
      <c r="BM2" s="90" t="str">
        <f ca="1">CONCATENATE(YEAR(TODAY())-1-21,"-",YEAR(TODAY())-1-23)</f>
        <v>2004-2002</v>
      </c>
      <c r="BN2" s="90" t="str">
        <f ca="1">CONCATENATE(YEAR(TODAY())-1-24,"-",YEAR(TODAY())-40-1)</f>
        <v>2001-1985</v>
      </c>
      <c r="BO2" s="104" t="str">
        <f ca="1">CONCATENATE("≤",YEAR(TODAY())-15-1)</f>
        <v>≤2010</v>
      </c>
      <c r="BP2" s="60">
        <f ca="1">YEAR(TODAY())-16-1</f>
        <v>2009</v>
      </c>
      <c r="BQ2" s="61">
        <f ca="1">YEAR(TODAY())-17-1</f>
        <v>2008</v>
      </c>
      <c r="BR2" s="62">
        <f ca="1">YEAR(TODAY())-16-1</f>
        <v>2009</v>
      </c>
      <c r="BS2" s="62">
        <f ca="1">YEAR(TODAY())-17-1</f>
        <v>2008</v>
      </c>
      <c r="BT2" s="62">
        <f ca="1">YEAR(TODAY())-18-1</f>
        <v>2007</v>
      </c>
      <c r="BU2" s="63" t="str">
        <f ca="1">CONCATENATE(YEAR(TODAY())-1-19,"-",YEAR(TODAY())-1-21)</f>
        <v>2006-2004</v>
      </c>
      <c r="BV2" s="64" t="str">
        <f ca="1">CONCATENATE(YEAR(TODAY())-1-22,"-",YEAR(TODAY())-1-50)</f>
        <v>2003-1975</v>
      </c>
      <c r="BW2" s="72" t="str">
        <f ca="1">CONCATENATE(YEAR(TODAY())-1-15,"-",YEAR(TODAY())-1-19)</f>
        <v>2010-2006</v>
      </c>
      <c r="BX2" s="92">
        <f ca="1">YEAR(TODAY())-20-1</f>
        <v>2005</v>
      </c>
      <c r="BY2" s="72" t="str">
        <f ca="1">CONCATENATE(YEAR(TODAY())-1-21,"-",YEAR(TODAY())-1-23)</f>
        <v>2004-2002</v>
      </c>
      <c r="BZ2" s="74" t="str">
        <f ca="1">CONCATENATE(YEAR(TODAY())-1-24,"-",YEAR(TODAY())-40-1)</f>
        <v>2001-1985</v>
      </c>
    </row>
    <row r="3" spans="1:78" ht="14.65" thickTop="1" x14ac:dyDescent="0.45">
      <c r="A3" s="108"/>
      <c r="B3" s="46" t="s">
        <v>0</v>
      </c>
      <c r="C3" s="50">
        <v>3.7384259259259255E-4</v>
      </c>
      <c r="D3" s="51">
        <v>3.7025462962962961E-4</v>
      </c>
      <c r="E3" s="52">
        <v>3.6620370370370371E-4</v>
      </c>
      <c r="F3" s="51">
        <v>3.6863425925925925E-4</v>
      </c>
      <c r="G3" s="51">
        <v>3.6469907407407409E-4</v>
      </c>
      <c r="H3" s="51">
        <v>3.6111111111111109E-4</v>
      </c>
      <c r="I3" s="51">
        <v>3.5787037037037037E-4</v>
      </c>
      <c r="J3" s="52">
        <v>3.4803240740740742E-4</v>
      </c>
      <c r="K3" s="51">
        <v>3.5381944444444447E-4</v>
      </c>
      <c r="L3" s="51">
        <v>3.5092592592592592E-4</v>
      </c>
      <c r="M3" s="51">
        <v>3.4745370370370372E-4</v>
      </c>
      <c r="N3" s="52">
        <v>3.4629629629629632E-4</v>
      </c>
      <c r="O3" s="51">
        <v>4.708333333333333E-4</v>
      </c>
      <c r="P3" s="51">
        <v>4.621527777777778E-4</v>
      </c>
      <c r="Q3" s="52">
        <v>4.5300925925925928E-4</v>
      </c>
      <c r="R3" s="65">
        <v>4.586805555555556E-4</v>
      </c>
      <c r="S3" s="66">
        <v>4.4942129629629629E-4</v>
      </c>
      <c r="T3" s="51">
        <v>4.4097222222222226E-4</v>
      </c>
      <c r="U3" s="51">
        <v>4.3379629629629627E-4</v>
      </c>
      <c r="V3" s="68">
        <v>4.1157407407407408E-4</v>
      </c>
      <c r="W3" s="51">
        <v>4.2465277777777776E-4</v>
      </c>
      <c r="X3" s="51">
        <v>4.1805555555555552E-4</v>
      </c>
      <c r="Y3" s="51">
        <v>4.1030092592592594E-4</v>
      </c>
      <c r="Z3" s="52">
        <v>4.0763888888888886E-4</v>
      </c>
      <c r="AA3" s="34"/>
      <c r="AB3" s="46" t="s">
        <v>0</v>
      </c>
      <c r="AC3" s="103">
        <v>0.2</v>
      </c>
      <c r="AD3" s="94">
        <v>0.2</v>
      </c>
      <c r="AE3" s="95">
        <v>0.2</v>
      </c>
      <c r="AF3" s="94">
        <v>0</v>
      </c>
      <c r="AG3" s="94">
        <v>0</v>
      </c>
      <c r="AH3" s="94">
        <v>0.16</v>
      </c>
      <c r="AI3" s="94">
        <v>0.16</v>
      </c>
      <c r="AJ3" s="95">
        <v>0.16</v>
      </c>
      <c r="AK3" s="96">
        <v>0</v>
      </c>
      <c r="AL3" s="96">
        <v>0</v>
      </c>
      <c r="AM3" s="96">
        <v>0</v>
      </c>
      <c r="AN3" s="95">
        <v>0</v>
      </c>
      <c r="AO3" s="94">
        <v>0.18</v>
      </c>
      <c r="AP3" s="94">
        <v>0.18</v>
      </c>
      <c r="AQ3" s="95">
        <v>0.18</v>
      </c>
      <c r="AR3" s="94">
        <v>0</v>
      </c>
      <c r="AS3" s="97">
        <v>0</v>
      </c>
      <c r="AT3" s="94">
        <v>0.17</v>
      </c>
      <c r="AU3" s="94">
        <v>0.17</v>
      </c>
      <c r="AV3" s="98">
        <v>0.17</v>
      </c>
      <c r="AW3" s="94">
        <v>0</v>
      </c>
      <c r="AX3" s="94">
        <v>0</v>
      </c>
      <c r="AY3" s="94">
        <v>0</v>
      </c>
      <c r="AZ3" s="95">
        <v>0</v>
      </c>
      <c r="BB3" s="46" t="s">
        <v>0</v>
      </c>
      <c r="BC3" s="50">
        <f>IF(AC3=0,"",C3+C3*AC3)</f>
        <v>4.4861111111111105E-4</v>
      </c>
      <c r="BD3" s="51">
        <f t="shared" ref="BD3:BD8" si="0">IF(AD3=0,"",D3+D3*AD3)</f>
        <v>4.4430555555555553E-4</v>
      </c>
      <c r="BE3" s="52">
        <f t="shared" ref="BE3:BE8" si="1">IF(AE3=0,"",E3+E3*AE3)</f>
        <v>4.3944444444444445E-4</v>
      </c>
      <c r="BF3" s="51" t="str">
        <f t="shared" ref="BF3:BF8" si="2">IF(AF3=0,"",F3+F3*AF3)</f>
        <v/>
      </c>
      <c r="BG3" s="51" t="str">
        <f t="shared" ref="BG3:BG8" si="3">IF(AG3=0,"",G3+G3*AG3)</f>
        <v/>
      </c>
      <c r="BH3" s="51">
        <f t="shared" ref="BH3:BH8" si="4">IF(AH3=0,"",H3+H3*AH3)</f>
        <v>4.1888888888888889E-4</v>
      </c>
      <c r="BI3" s="51">
        <f t="shared" ref="BI3:BI8" si="5">IF(AI3=0,"",I3+I3*AI3)</f>
        <v>4.1512962962962966E-4</v>
      </c>
      <c r="BJ3" s="52">
        <f t="shared" ref="BJ3:BJ8" si="6">IF(AJ3=0,"",J3+J3*AJ3)</f>
        <v>4.0371759259259262E-4</v>
      </c>
      <c r="BK3" s="51" t="str">
        <f t="shared" ref="BK3:BK8" si="7">IF(AK3=0,"",K3+K3*AK3)</f>
        <v/>
      </c>
      <c r="BL3" s="51" t="str">
        <f t="shared" ref="BL3:BL8" si="8">IF(AL3=0,"",L3+L3*AL3)</f>
        <v/>
      </c>
      <c r="BM3" s="51" t="str">
        <f t="shared" ref="BM3:BM8" si="9">IF(AM3=0,"",M3+M3*AM3)</f>
        <v/>
      </c>
      <c r="BN3" s="52" t="str">
        <f t="shared" ref="BN3:BN8" si="10">IF(AN3=0,"",N3+N3*AN3)</f>
        <v/>
      </c>
      <c r="BO3" s="51">
        <f t="shared" ref="BO3:BO8" si="11">IF(AO3=0,"",O3+O3*AO3)</f>
        <v>5.5558333333333328E-4</v>
      </c>
      <c r="BP3" s="51">
        <f t="shared" ref="BP3:BP8" si="12">IF(AP3=0,"",P3+P3*AP3)</f>
        <v>5.4534027777777784E-4</v>
      </c>
      <c r="BQ3" s="52">
        <f t="shared" ref="BQ3:BQ8" si="13">IF(AQ3=0,"",Q3+Q3*AQ3)</f>
        <v>5.3455092592592595E-4</v>
      </c>
      <c r="BR3" s="65" t="str">
        <f t="shared" ref="BR3:BR8" si="14">IF(AR3=0,"",R3+R3*AR3)</f>
        <v/>
      </c>
      <c r="BS3" s="66" t="str">
        <f t="shared" ref="BS3:BS8" si="15">IF(AS3=0,"",S3+S3*AS3)</f>
        <v/>
      </c>
      <c r="BT3" s="51">
        <f t="shared" ref="BT3:BT8" si="16">IF(AT3=0,"",T3+T3*AT3)</f>
        <v>5.1593750000000001E-4</v>
      </c>
      <c r="BU3" s="51">
        <f t="shared" ref="BU3:BU8" si="17">IF(AU3=0,"",U3+U3*AU3)</f>
        <v>5.0754166666666667E-4</v>
      </c>
      <c r="BV3" s="68">
        <f t="shared" ref="BV3:BV8" si="18">IF(AV3=0,"",V3+V3*AV3)</f>
        <v>4.8154166666666668E-4</v>
      </c>
      <c r="BW3" s="51" t="str">
        <f t="shared" ref="BW3:BW8" si="19">IF(AW3=0,"",W3+W3*AW3)</f>
        <v/>
      </c>
      <c r="BX3" s="51" t="str">
        <f t="shared" ref="BX3:BX8" si="20">IF(AX3=0,"",X3+X3*AX3)</f>
        <v/>
      </c>
      <c r="BY3" s="51" t="str">
        <f t="shared" ref="BY3:BY8" si="21">IF(AY3=0,"",Y3+Y3*AY3)</f>
        <v/>
      </c>
      <c r="BZ3" s="52" t="str">
        <f t="shared" ref="BZ3:BZ8" si="22">IF(AZ3=0,"",Z3+Z3*AZ3)</f>
        <v/>
      </c>
    </row>
    <row r="4" spans="1:78" x14ac:dyDescent="0.45">
      <c r="A4" s="108"/>
      <c r="B4" s="46" t="s">
        <v>181</v>
      </c>
      <c r="C4" s="51">
        <v>8.0902777777777787E-4</v>
      </c>
      <c r="D4" s="51">
        <v>7.9837962962962968E-4</v>
      </c>
      <c r="E4" s="52">
        <v>7.869212962962962E-4</v>
      </c>
      <c r="F4" s="51">
        <v>7.9398148148148145E-4</v>
      </c>
      <c r="G4" s="51">
        <v>7.8252314814814818E-4</v>
      </c>
      <c r="H4" s="51">
        <v>7.7187499999999999E-4</v>
      </c>
      <c r="I4" s="51">
        <v>7.6273148148148153E-4</v>
      </c>
      <c r="J4" s="52">
        <v>7.3425925925925926E-4</v>
      </c>
      <c r="K4" s="51">
        <v>7.5104166666666668E-4</v>
      </c>
      <c r="L4" s="51">
        <v>7.4259259259259254E-4</v>
      </c>
      <c r="M4" s="51">
        <v>7.326388888888889E-4</v>
      </c>
      <c r="N4" s="52">
        <v>7.2928240740740733E-4</v>
      </c>
      <c r="O4" s="51">
        <v>9.5381944444444442E-4</v>
      </c>
      <c r="P4" s="51">
        <v>9.3854166666666673E-4</v>
      </c>
      <c r="Q4" s="52">
        <v>9.2199074074074069E-4</v>
      </c>
      <c r="R4" s="67">
        <v>9.3217592592592582E-4</v>
      </c>
      <c r="S4" s="51">
        <v>9.1562499999999999E-4</v>
      </c>
      <c r="T4" s="51">
        <v>9.0034722222222209E-4</v>
      </c>
      <c r="U4" s="51">
        <v>8.8726851851851846E-4</v>
      </c>
      <c r="V4" s="52">
        <v>8.4699074074074082E-4</v>
      </c>
      <c r="W4" s="51">
        <v>8.7071759259259264E-4</v>
      </c>
      <c r="X4" s="51">
        <v>8.587962962962963E-4</v>
      </c>
      <c r="Y4" s="51">
        <v>8.4456018518518517E-4</v>
      </c>
      <c r="Z4" s="52">
        <v>8.3981481481481483E-4</v>
      </c>
      <c r="AB4" s="46" t="s">
        <v>181</v>
      </c>
      <c r="AC4" s="94">
        <v>0.2</v>
      </c>
      <c r="AD4" s="94">
        <v>0.2</v>
      </c>
      <c r="AE4" s="95">
        <v>0.2</v>
      </c>
      <c r="AF4" s="94">
        <v>0</v>
      </c>
      <c r="AG4" s="94">
        <v>0</v>
      </c>
      <c r="AH4" s="94">
        <v>0.16</v>
      </c>
      <c r="AI4" s="94">
        <v>0.16</v>
      </c>
      <c r="AJ4" s="95">
        <v>0.16</v>
      </c>
      <c r="AK4" s="96">
        <v>0</v>
      </c>
      <c r="AL4" s="96">
        <v>0</v>
      </c>
      <c r="AM4" s="96">
        <v>0</v>
      </c>
      <c r="AN4" s="95">
        <v>0</v>
      </c>
      <c r="AO4" s="94">
        <v>0.18</v>
      </c>
      <c r="AP4" s="94">
        <v>0.18</v>
      </c>
      <c r="AQ4" s="95">
        <v>0.18</v>
      </c>
      <c r="AR4" s="99">
        <v>0</v>
      </c>
      <c r="AS4" s="96">
        <v>0</v>
      </c>
      <c r="AT4" s="94">
        <v>0.17</v>
      </c>
      <c r="AU4" s="94">
        <v>0.17</v>
      </c>
      <c r="AV4" s="95">
        <v>0.17</v>
      </c>
      <c r="AW4" s="94">
        <v>0</v>
      </c>
      <c r="AX4" s="94">
        <v>0</v>
      </c>
      <c r="AY4" s="94">
        <v>0</v>
      </c>
      <c r="AZ4" s="95">
        <v>0</v>
      </c>
      <c r="BB4" s="46" t="s">
        <v>181</v>
      </c>
      <c r="BC4" s="51">
        <f t="shared" ref="BC4:BC8" si="23">IF(AC4=0,"",C4+C4*AC4)</f>
        <v>9.7083333333333342E-4</v>
      </c>
      <c r="BD4" s="51">
        <f t="shared" si="0"/>
        <v>9.5805555555555564E-4</v>
      </c>
      <c r="BE4" s="52">
        <f t="shared" si="1"/>
        <v>9.4430555555555544E-4</v>
      </c>
      <c r="BF4" s="51" t="str">
        <f t="shared" si="2"/>
        <v/>
      </c>
      <c r="BG4" s="51" t="str">
        <f t="shared" si="3"/>
        <v/>
      </c>
      <c r="BH4" s="51">
        <f t="shared" si="4"/>
        <v>8.9537500000000001E-4</v>
      </c>
      <c r="BI4" s="51">
        <f t="shared" si="5"/>
        <v>8.8476851851851856E-4</v>
      </c>
      <c r="BJ4" s="52">
        <f t="shared" si="6"/>
        <v>8.517407407407408E-4</v>
      </c>
      <c r="BK4" s="51" t="str">
        <f t="shared" si="7"/>
        <v/>
      </c>
      <c r="BL4" s="51" t="str">
        <f t="shared" si="8"/>
        <v/>
      </c>
      <c r="BM4" s="51" t="str">
        <f t="shared" si="9"/>
        <v/>
      </c>
      <c r="BN4" s="52" t="str">
        <f t="shared" si="10"/>
        <v/>
      </c>
      <c r="BO4" s="51">
        <f t="shared" si="11"/>
        <v>1.1255069444444444E-3</v>
      </c>
      <c r="BP4" s="51">
        <f t="shared" si="12"/>
        <v>1.1074791666666668E-3</v>
      </c>
      <c r="BQ4" s="52">
        <f t="shared" si="13"/>
        <v>1.0879490740740741E-3</v>
      </c>
      <c r="BR4" s="67" t="str">
        <f t="shared" si="14"/>
        <v/>
      </c>
      <c r="BS4" s="51" t="str">
        <f t="shared" si="15"/>
        <v/>
      </c>
      <c r="BT4" s="51">
        <f t="shared" si="16"/>
        <v>1.0534062499999999E-3</v>
      </c>
      <c r="BU4" s="51">
        <f t="shared" si="17"/>
        <v>1.0381041666666666E-3</v>
      </c>
      <c r="BV4" s="52">
        <f t="shared" si="18"/>
        <v>9.909791666666667E-4</v>
      </c>
      <c r="BW4" s="51" t="str">
        <f t="shared" si="19"/>
        <v/>
      </c>
      <c r="BX4" s="51" t="str">
        <f t="shared" si="20"/>
        <v/>
      </c>
      <c r="BY4" s="51" t="str">
        <f t="shared" si="21"/>
        <v/>
      </c>
      <c r="BZ4" s="52" t="str">
        <f t="shared" si="22"/>
        <v/>
      </c>
    </row>
    <row r="5" spans="1:78" x14ac:dyDescent="0.45">
      <c r="A5" s="108"/>
      <c r="B5" s="46" t="s">
        <v>182</v>
      </c>
      <c r="C5" s="51">
        <v>5.9027777777777778E-4</v>
      </c>
      <c r="D5" s="51">
        <v>5.8495370370370374E-4</v>
      </c>
      <c r="E5" s="52">
        <v>5.7928240740740737E-4</v>
      </c>
      <c r="F5" s="51">
        <v>5.8275462962962968E-4</v>
      </c>
      <c r="G5" s="51">
        <v>5.7708333333333331E-4</v>
      </c>
      <c r="H5" s="51">
        <v>5.7175925925925927E-4</v>
      </c>
      <c r="I5" s="51">
        <v>5.6712962962962967E-4</v>
      </c>
      <c r="J5" s="52">
        <v>5.5266203703703705E-4</v>
      </c>
      <c r="K5" s="51">
        <v>5.6111111111111108E-4</v>
      </c>
      <c r="L5" s="51">
        <v>5.5694444444444444E-4</v>
      </c>
      <c r="M5" s="51">
        <v>5.5185185185185187E-4</v>
      </c>
      <c r="N5" s="52">
        <v>5.5011574074074077E-4</v>
      </c>
      <c r="O5" s="51">
        <v>6.9664351851851853E-4</v>
      </c>
      <c r="P5" s="51">
        <v>6.8946759259259265E-4</v>
      </c>
      <c r="Q5" s="52">
        <v>6.8171296296296296E-4</v>
      </c>
      <c r="R5" s="67">
        <v>6.8657407407407404E-4</v>
      </c>
      <c r="S5" s="51">
        <v>6.7881944444444446E-4</v>
      </c>
      <c r="T5" s="51">
        <v>6.7164351851851857E-4</v>
      </c>
      <c r="U5" s="51">
        <v>6.653935185185185E-4</v>
      </c>
      <c r="V5" s="52">
        <v>6.4606481481481481E-4</v>
      </c>
      <c r="W5" s="51">
        <v>6.5740740740740733E-4</v>
      </c>
      <c r="X5" s="51">
        <v>6.5173611111111118E-4</v>
      </c>
      <c r="Y5" s="51">
        <v>6.4490740740740741E-4</v>
      </c>
      <c r="Z5" s="52">
        <v>6.4259259259259261E-4</v>
      </c>
      <c r="AB5" s="46" t="s">
        <v>182</v>
      </c>
      <c r="AC5" s="94">
        <v>0.2</v>
      </c>
      <c r="AD5" s="94">
        <v>0.2</v>
      </c>
      <c r="AE5" s="95">
        <v>0.2</v>
      </c>
      <c r="AF5" s="94">
        <v>0</v>
      </c>
      <c r="AG5" s="94">
        <v>0</v>
      </c>
      <c r="AH5" s="94">
        <v>0.16</v>
      </c>
      <c r="AI5" s="94">
        <v>0.16</v>
      </c>
      <c r="AJ5" s="95">
        <v>0.16</v>
      </c>
      <c r="AK5" s="96">
        <v>0</v>
      </c>
      <c r="AL5" s="96">
        <v>0</v>
      </c>
      <c r="AM5" s="96">
        <v>0</v>
      </c>
      <c r="AN5" s="95">
        <v>0</v>
      </c>
      <c r="AO5" s="94">
        <v>0.18</v>
      </c>
      <c r="AP5" s="94">
        <v>0.18</v>
      </c>
      <c r="AQ5" s="95">
        <v>0.18</v>
      </c>
      <c r="AR5" s="99">
        <v>0</v>
      </c>
      <c r="AS5" s="96">
        <v>0</v>
      </c>
      <c r="AT5" s="94">
        <v>0.17</v>
      </c>
      <c r="AU5" s="94">
        <v>0.17</v>
      </c>
      <c r="AV5" s="95">
        <v>0.17</v>
      </c>
      <c r="AW5" s="94">
        <v>0</v>
      </c>
      <c r="AX5" s="94">
        <v>0</v>
      </c>
      <c r="AY5" s="94">
        <v>0</v>
      </c>
      <c r="AZ5" s="95">
        <v>0</v>
      </c>
      <c r="BB5" s="46" t="s">
        <v>182</v>
      </c>
      <c r="BC5" s="51">
        <f t="shared" si="23"/>
        <v>7.0833333333333338E-4</v>
      </c>
      <c r="BD5" s="51">
        <f t="shared" si="0"/>
        <v>7.0194444444444449E-4</v>
      </c>
      <c r="BE5" s="52">
        <f t="shared" si="1"/>
        <v>6.951388888888888E-4</v>
      </c>
      <c r="BF5" s="51" t="str">
        <f t="shared" si="2"/>
        <v/>
      </c>
      <c r="BG5" s="51" t="str">
        <f t="shared" si="3"/>
        <v/>
      </c>
      <c r="BH5" s="51">
        <f t="shared" si="4"/>
        <v>6.6324074074074072E-4</v>
      </c>
      <c r="BI5" s="51">
        <f t="shared" si="5"/>
        <v>6.578703703703704E-4</v>
      </c>
      <c r="BJ5" s="52">
        <f t="shared" si="6"/>
        <v>6.4108796296296299E-4</v>
      </c>
      <c r="BK5" s="51" t="str">
        <f t="shared" si="7"/>
        <v/>
      </c>
      <c r="BL5" s="51" t="str">
        <f t="shared" si="8"/>
        <v/>
      </c>
      <c r="BM5" s="51" t="str">
        <f t="shared" si="9"/>
        <v/>
      </c>
      <c r="BN5" s="52" t="str">
        <f t="shared" si="10"/>
        <v/>
      </c>
      <c r="BO5" s="51">
        <f t="shared" si="11"/>
        <v>8.220393518518519E-4</v>
      </c>
      <c r="BP5" s="51">
        <f t="shared" si="12"/>
        <v>8.1357175925925933E-4</v>
      </c>
      <c r="BQ5" s="52">
        <f t="shared" si="13"/>
        <v>8.0442129629629635E-4</v>
      </c>
      <c r="BR5" s="67" t="str">
        <f t="shared" si="14"/>
        <v/>
      </c>
      <c r="BS5" s="51" t="str">
        <f t="shared" si="15"/>
        <v/>
      </c>
      <c r="BT5" s="51">
        <f t="shared" si="16"/>
        <v>7.8582291666666677E-4</v>
      </c>
      <c r="BU5" s="51">
        <f t="shared" si="17"/>
        <v>7.7851041666666672E-4</v>
      </c>
      <c r="BV5" s="52">
        <f t="shared" si="18"/>
        <v>7.5589583333333335E-4</v>
      </c>
      <c r="BW5" s="51" t="str">
        <f t="shared" si="19"/>
        <v/>
      </c>
      <c r="BX5" s="51" t="str">
        <f t="shared" si="20"/>
        <v/>
      </c>
      <c r="BY5" s="51" t="str">
        <f t="shared" si="21"/>
        <v/>
      </c>
      <c r="BZ5" s="52" t="str">
        <f t="shared" si="22"/>
        <v/>
      </c>
    </row>
    <row r="6" spans="1:78" x14ac:dyDescent="0.45">
      <c r="A6" s="108"/>
      <c r="B6" s="46" t="s">
        <v>183</v>
      </c>
      <c r="C6" s="51">
        <v>6.8726851851851859E-4</v>
      </c>
      <c r="D6" s="51">
        <v>6.7418981481481486E-4</v>
      </c>
      <c r="E6" s="52">
        <v>6.5995370370370372E-4</v>
      </c>
      <c r="F6" s="51">
        <v>6.6874999999999997E-4</v>
      </c>
      <c r="G6" s="51">
        <v>6.5451388888888883E-4</v>
      </c>
      <c r="H6" s="51">
        <v>6.4131944444444436E-4</v>
      </c>
      <c r="I6" s="51">
        <v>6.3020833333333331E-4</v>
      </c>
      <c r="J6" s="52">
        <v>5.9594907407407405E-4</v>
      </c>
      <c r="K6" s="51">
        <v>6.1608796296296292E-4</v>
      </c>
      <c r="L6" s="51">
        <v>6.0601851851851854E-4</v>
      </c>
      <c r="M6" s="51">
        <v>5.9398148148148147E-4</v>
      </c>
      <c r="N6" s="52">
        <v>5.8993055555555556E-4</v>
      </c>
      <c r="O6" s="51">
        <v>7.7847222222222228E-4</v>
      </c>
      <c r="P6" s="51">
        <v>7.6828703703703694E-4</v>
      </c>
      <c r="Q6" s="52">
        <v>7.571759259259259E-4</v>
      </c>
      <c r="R6" s="67">
        <v>7.6400462962962967E-4</v>
      </c>
      <c r="S6" s="51">
        <v>7.5289351851851852E-4</v>
      </c>
      <c r="T6" s="51">
        <v>7.4259259259259254E-4</v>
      </c>
      <c r="U6" s="51">
        <v>7.3368055555555556E-4</v>
      </c>
      <c r="V6" s="52">
        <v>7.0625000000000006E-4</v>
      </c>
      <c r="W6" s="51">
        <v>7.2233796296296293E-4</v>
      </c>
      <c r="X6" s="51">
        <v>7.1435185185185187E-4</v>
      </c>
      <c r="Y6" s="51">
        <v>7.046296296296297E-4</v>
      </c>
      <c r="Z6" s="52">
        <v>7.0138888888888887E-4</v>
      </c>
      <c r="AB6" s="46" t="s">
        <v>183</v>
      </c>
      <c r="AC6" s="94">
        <v>0.2</v>
      </c>
      <c r="AD6" s="94">
        <v>0.2</v>
      </c>
      <c r="AE6" s="95">
        <v>0.2</v>
      </c>
      <c r="AF6" s="94">
        <v>0</v>
      </c>
      <c r="AG6" s="94">
        <v>0</v>
      </c>
      <c r="AH6" s="94">
        <v>0.16</v>
      </c>
      <c r="AI6" s="94">
        <v>0.16</v>
      </c>
      <c r="AJ6" s="95">
        <v>0.16</v>
      </c>
      <c r="AK6" s="96">
        <v>0</v>
      </c>
      <c r="AL6" s="96">
        <v>0</v>
      </c>
      <c r="AM6" s="96">
        <v>0</v>
      </c>
      <c r="AN6" s="95">
        <v>0</v>
      </c>
      <c r="AO6" s="94">
        <v>0.18</v>
      </c>
      <c r="AP6" s="94">
        <v>0.18</v>
      </c>
      <c r="AQ6" s="95">
        <v>0.18</v>
      </c>
      <c r="AR6" s="99">
        <v>0</v>
      </c>
      <c r="AS6" s="96">
        <v>0</v>
      </c>
      <c r="AT6" s="94">
        <v>0.17</v>
      </c>
      <c r="AU6" s="94">
        <v>0.17</v>
      </c>
      <c r="AV6" s="95">
        <v>0.17</v>
      </c>
      <c r="AW6" s="94">
        <v>0</v>
      </c>
      <c r="AX6" s="94">
        <v>0</v>
      </c>
      <c r="AY6" s="94">
        <v>0</v>
      </c>
      <c r="AZ6" s="95">
        <v>0</v>
      </c>
      <c r="BB6" s="46" t="s">
        <v>183</v>
      </c>
      <c r="BC6" s="51">
        <f t="shared" si="23"/>
        <v>8.2472222222222235E-4</v>
      </c>
      <c r="BD6" s="51">
        <f t="shared" si="0"/>
        <v>8.0902777777777787E-4</v>
      </c>
      <c r="BE6" s="52">
        <f t="shared" si="1"/>
        <v>7.9194444444444451E-4</v>
      </c>
      <c r="BF6" s="51" t="str">
        <f t="shared" si="2"/>
        <v/>
      </c>
      <c r="BG6" s="51" t="str">
        <f t="shared" si="3"/>
        <v/>
      </c>
      <c r="BH6" s="51">
        <f t="shared" si="4"/>
        <v>7.439305555555554E-4</v>
      </c>
      <c r="BI6" s="51">
        <f t="shared" si="5"/>
        <v>7.3104166666666662E-4</v>
      </c>
      <c r="BJ6" s="52">
        <f t="shared" si="6"/>
        <v>6.9130092592592594E-4</v>
      </c>
      <c r="BK6" s="51" t="str">
        <f t="shared" si="7"/>
        <v/>
      </c>
      <c r="BL6" s="51" t="str">
        <f t="shared" si="8"/>
        <v/>
      </c>
      <c r="BM6" s="51" t="str">
        <f t="shared" si="9"/>
        <v/>
      </c>
      <c r="BN6" s="52" t="str">
        <f t="shared" si="10"/>
        <v/>
      </c>
      <c r="BO6" s="51">
        <f t="shared" si="11"/>
        <v>9.1859722222222234E-4</v>
      </c>
      <c r="BP6" s="51">
        <f t="shared" si="12"/>
        <v>9.065787037037036E-4</v>
      </c>
      <c r="BQ6" s="52">
        <f t="shared" si="13"/>
        <v>8.9346759259259262E-4</v>
      </c>
      <c r="BR6" s="67" t="str">
        <f t="shared" si="14"/>
        <v/>
      </c>
      <c r="BS6" s="51" t="str">
        <f t="shared" si="15"/>
        <v/>
      </c>
      <c r="BT6" s="51">
        <f t="shared" si="16"/>
        <v>8.6883333333333322E-4</v>
      </c>
      <c r="BU6" s="51">
        <f t="shared" si="17"/>
        <v>8.5840625000000001E-4</v>
      </c>
      <c r="BV6" s="52">
        <f t="shared" si="18"/>
        <v>8.2631250000000012E-4</v>
      </c>
      <c r="BW6" s="51" t="str">
        <f t="shared" si="19"/>
        <v/>
      </c>
      <c r="BX6" s="51" t="str">
        <f t="shared" si="20"/>
        <v/>
      </c>
      <c r="BY6" s="51" t="str">
        <f t="shared" si="21"/>
        <v/>
      </c>
      <c r="BZ6" s="52" t="str">
        <f t="shared" si="22"/>
        <v/>
      </c>
    </row>
    <row r="7" spans="1:78" x14ac:dyDescent="0.45">
      <c r="A7" s="108"/>
      <c r="B7" s="46" t="s">
        <v>184</v>
      </c>
      <c r="C7" s="51">
        <v>1.5266203703703705E-3</v>
      </c>
      <c r="D7" s="51">
        <v>1.5104166666666666E-3</v>
      </c>
      <c r="E7" s="52">
        <v>1.4928240740740739E-3</v>
      </c>
      <c r="F7" s="51">
        <v>1.5037037037037035E-3</v>
      </c>
      <c r="G7" s="51">
        <v>1.4859953703703702E-3</v>
      </c>
      <c r="H7" s="51">
        <v>1.4697916666666666E-3</v>
      </c>
      <c r="I7" s="51">
        <v>1.4555555555555556E-3</v>
      </c>
      <c r="J7" s="52">
        <v>1.411574074074074E-3</v>
      </c>
      <c r="K7" s="51">
        <v>1.4375E-3</v>
      </c>
      <c r="L7" s="51">
        <v>1.4245370370370371E-3</v>
      </c>
      <c r="M7" s="51">
        <v>1.4090277777777777E-3</v>
      </c>
      <c r="N7" s="52">
        <v>1.4038194444444445E-3</v>
      </c>
      <c r="O7" s="51">
        <v>1.6328703703703702E-3</v>
      </c>
      <c r="P7" s="51">
        <v>1.6271990740740741E-3</v>
      </c>
      <c r="Q7" s="52">
        <v>1.6210648148148148E-3</v>
      </c>
      <c r="R7" s="67">
        <v>1.6247685185185184E-3</v>
      </c>
      <c r="S7" s="51">
        <v>1.6186342592592591E-3</v>
      </c>
      <c r="T7" s="51">
        <v>1.6129629629629632E-3</v>
      </c>
      <c r="U7" s="51">
        <v>1.6078703703703706E-3</v>
      </c>
      <c r="V7" s="52">
        <v>1.5918981481481481E-3</v>
      </c>
      <c r="W7" s="51">
        <v>1.6012731481481481E-3</v>
      </c>
      <c r="X7" s="51">
        <v>1.5966435185185183E-3</v>
      </c>
      <c r="Y7" s="51">
        <v>1.5909722222222224E-3</v>
      </c>
      <c r="Z7" s="52">
        <v>1.5891203703703705E-3</v>
      </c>
      <c r="AB7" s="46" t="s">
        <v>184</v>
      </c>
      <c r="AC7" s="94">
        <v>0.2</v>
      </c>
      <c r="AD7" s="94">
        <v>0.2</v>
      </c>
      <c r="AE7" s="95">
        <v>0.2</v>
      </c>
      <c r="AF7" s="94">
        <v>0</v>
      </c>
      <c r="AG7" s="94">
        <v>0</v>
      </c>
      <c r="AH7" s="94">
        <v>0.16</v>
      </c>
      <c r="AI7" s="94">
        <v>0.16</v>
      </c>
      <c r="AJ7" s="95">
        <v>0.16</v>
      </c>
      <c r="AK7" s="96">
        <v>0</v>
      </c>
      <c r="AL7" s="96">
        <v>0</v>
      </c>
      <c r="AM7" s="96">
        <v>0</v>
      </c>
      <c r="AN7" s="95">
        <v>0</v>
      </c>
      <c r="AO7" s="94">
        <v>0.18</v>
      </c>
      <c r="AP7" s="94">
        <v>0.18</v>
      </c>
      <c r="AQ7" s="95">
        <v>0.18</v>
      </c>
      <c r="AR7" s="99">
        <v>0</v>
      </c>
      <c r="AS7" s="96">
        <v>0</v>
      </c>
      <c r="AT7" s="94">
        <v>0.17</v>
      </c>
      <c r="AU7" s="94">
        <v>0.17</v>
      </c>
      <c r="AV7" s="95">
        <v>0.17</v>
      </c>
      <c r="AW7" s="94">
        <v>0</v>
      </c>
      <c r="AX7" s="94">
        <v>0</v>
      </c>
      <c r="AY7" s="94">
        <v>0</v>
      </c>
      <c r="AZ7" s="95">
        <v>0</v>
      </c>
      <c r="BB7" s="46" t="s">
        <v>184</v>
      </c>
      <c r="BC7" s="51">
        <f t="shared" si="23"/>
        <v>1.8319444444444446E-3</v>
      </c>
      <c r="BD7" s="51">
        <f t="shared" si="0"/>
        <v>1.8124999999999999E-3</v>
      </c>
      <c r="BE7" s="52">
        <f t="shared" si="1"/>
        <v>1.7913888888888888E-3</v>
      </c>
      <c r="BF7" s="51" t="str">
        <f t="shared" si="2"/>
        <v/>
      </c>
      <c r="BG7" s="51" t="str">
        <f t="shared" si="3"/>
        <v/>
      </c>
      <c r="BH7" s="51">
        <f t="shared" si="4"/>
        <v>1.7049583333333333E-3</v>
      </c>
      <c r="BI7" s="51">
        <f t="shared" si="5"/>
        <v>1.6884444444444445E-3</v>
      </c>
      <c r="BJ7" s="52">
        <f t="shared" si="6"/>
        <v>1.6374259259259259E-3</v>
      </c>
      <c r="BK7" s="51" t="str">
        <f t="shared" si="7"/>
        <v/>
      </c>
      <c r="BL7" s="51" t="str">
        <f t="shared" si="8"/>
        <v/>
      </c>
      <c r="BM7" s="51" t="str">
        <f t="shared" si="9"/>
        <v/>
      </c>
      <c r="BN7" s="52" t="str">
        <f t="shared" si="10"/>
        <v/>
      </c>
      <c r="BO7" s="51">
        <f t="shared" si="11"/>
        <v>1.9267870370370367E-3</v>
      </c>
      <c r="BP7" s="51">
        <f t="shared" si="12"/>
        <v>1.9200949074074075E-3</v>
      </c>
      <c r="BQ7" s="52">
        <f t="shared" si="13"/>
        <v>1.9128564814814815E-3</v>
      </c>
      <c r="BR7" s="67" t="str">
        <f t="shared" si="14"/>
        <v/>
      </c>
      <c r="BS7" s="51" t="str">
        <f t="shared" si="15"/>
        <v/>
      </c>
      <c r="BT7" s="51">
        <f t="shared" si="16"/>
        <v>1.887166666666667E-3</v>
      </c>
      <c r="BU7" s="51">
        <f t="shared" si="17"/>
        <v>1.8812083333333337E-3</v>
      </c>
      <c r="BV7" s="52">
        <f t="shared" si="18"/>
        <v>1.8625208333333332E-3</v>
      </c>
      <c r="BW7" s="51" t="str">
        <f t="shared" si="19"/>
        <v/>
      </c>
      <c r="BX7" s="51" t="str">
        <f t="shared" si="20"/>
        <v/>
      </c>
      <c r="BY7" s="51" t="str">
        <f t="shared" si="21"/>
        <v/>
      </c>
      <c r="BZ7" s="52" t="str">
        <f t="shared" si="22"/>
        <v/>
      </c>
    </row>
    <row r="8" spans="1:78" ht="14.65" thickBot="1" x14ac:dyDescent="0.5">
      <c r="A8" s="108"/>
      <c r="B8" s="49" t="s">
        <v>4</v>
      </c>
      <c r="C8" s="53">
        <v>1.6688657407407407E-3</v>
      </c>
      <c r="D8" s="53">
        <v>1.6509259259259257E-3</v>
      </c>
      <c r="E8" s="54">
        <v>1.6315972222222222E-3</v>
      </c>
      <c r="F8" s="55">
        <v>1.6435185185185185E-3</v>
      </c>
      <c r="G8" s="53">
        <v>1.6241898148148146E-3</v>
      </c>
      <c r="H8" s="53">
        <v>1.60625E-3</v>
      </c>
      <c r="I8" s="53">
        <v>1.590625E-3</v>
      </c>
      <c r="J8" s="54">
        <v>1.5422453703703705E-3</v>
      </c>
      <c r="K8" s="53">
        <v>1.5707175925925927E-3</v>
      </c>
      <c r="L8" s="53">
        <v>1.5564814814814814E-3</v>
      </c>
      <c r="M8" s="53">
        <v>1.5393518518518519E-3</v>
      </c>
      <c r="N8" s="53">
        <v>1.5336805555555555E-3</v>
      </c>
      <c r="O8" s="55">
        <v>1.8101851851851853E-3</v>
      </c>
      <c r="P8" s="53">
        <v>1.7979166666666666E-3</v>
      </c>
      <c r="Q8" s="54">
        <v>1.784722222222222E-3</v>
      </c>
      <c r="R8" s="53">
        <v>1.7928240740740741E-3</v>
      </c>
      <c r="S8" s="53">
        <v>1.7796296296296295E-3</v>
      </c>
      <c r="T8" s="53">
        <v>1.767361111111111E-3</v>
      </c>
      <c r="U8" s="53">
        <v>1.7564814814814815E-3</v>
      </c>
      <c r="V8" s="54">
        <v>1.7228009259259258E-3</v>
      </c>
      <c r="W8" s="55">
        <v>1.7425925925925927E-3</v>
      </c>
      <c r="X8" s="53">
        <v>1.7327546296296297E-3</v>
      </c>
      <c r="Y8" s="53">
        <v>1.7208333333333333E-3</v>
      </c>
      <c r="Z8" s="54">
        <v>1.7168981481481482E-3</v>
      </c>
      <c r="AB8" s="49" t="s">
        <v>4</v>
      </c>
      <c r="AC8" s="100">
        <v>0.2</v>
      </c>
      <c r="AD8" s="100">
        <v>0.2</v>
      </c>
      <c r="AE8" s="101">
        <v>0.2</v>
      </c>
      <c r="AF8" s="102">
        <v>0</v>
      </c>
      <c r="AG8" s="100">
        <v>0</v>
      </c>
      <c r="AH8" s="100">
        <v>0.16</v>
      </c>
      <c r="AI8" s="100">
        <v>0.16</v>
      </c>
      <c r="AJ8" s="101">
        <v>0.16</v>
      </c>
      <c r="AK8" s="100">
        <v>0</v>
      </c>
      <c r="AL8" s="100">
        <v>0</v>
      </c>
      <c r="AM8" s="100">
        <v>0</v>
      </c>
      <c r="AN8" s="100">
        <v>0</v>
      </c>
      <c r="AO8" s="102">
        <v>0.18</v>
      </c>
      <c r="AP8" s="100">
        <v>0.18</v>
      </c>
      <c r="AQ8" s="101">
        <v>0.18</v>
      </c>
      <c r="AR8" s="100">
        <v>0</v>
      </c>
      <c r="AS8" s="100">
        <v>0</v>
      </c>
      <c r="AT8" s="100">
        <v>0.17</v>
      </c>
      <c r="AU8" s="100">
        <v>0.17</v>
      </c>
      <c r="AV8" s="101">
        <v>0.17</v>
      </c>
      <c r="AW8" s="102">
        <v>0</v>
      </c>
      <c r="AX8" s="100">
        <v>0</v>
      </c>
      <c r="AY8" s="100">
        <v>0</v>
      </c>
      <c r="AZ8" s="101">
        <v>0</v>
      </c>
      <c r="BB8" s="49" t="s">
        <v>4</v>
      </c>
      <c r="BC8" s="53">
        <f t="shared" si="23"/>
        <v>2.0026388888888889E-3</v>
      </c>
      <c r="BD8" s="53">
        <f t="shared" si="0"/>
        <v>1.981111111111111E-3</v>
      </c>
      <c r="BE8" s="54">
        <f t="shared" si="1"/>
        <v>1.9579166666666668E-3</v>
      </c>
      <c r="BF8" s="55" t="str">
        <f t="shared" si="2"/>
        <v/>
      </c>
      <c r="BG8" s="53" t="str">
        <f t="shared" si="3"/>
        <v/>
      </c>
      <c r="BH8" s="53">
        <f t="shared" si="4"/>
        <v>1.8632500000000001E-3</v>
      </c>
      <c r="BI8" s="53">
        <f t="shared" si="5"/>
        <v>1.845125E-3</v>
      </c>
      <c r="BJ8" s="54">
        <f t="shared" si="6"/>
        <v>1.7890046296296298E-3</v>
      </c>
      <c r="BK8" s="53" t="str">
        <f t="shared" si="7"/>
        <v/>
      </c>
      <c r="BL8" s="53" t="str">
        <f t="shared" si="8"/>
        <v/>
      </c>
      <c r="BM8" s="53" t="str">
        <f t="shared" si="9"/>
        <v/>
      </c>
      <c r="BN8" s="53" t="str">
        <f t="shared" si="10"/>
        <v/>
      </c>
      <c r="BO8" s="55">
        <f t="shared" si="11"/>
        <v>2.1360185185185189E-3</v>
      </c>
      <c r="BP8" s="53">
        <f t="shared" si="12"/>
        <v>2.1215416666666665E-3</v>
      </c>
      <c r="BQ8" s="54">
        <f t="shared" si="13"/>
        <v>2.1059722222222222E-3</v>
      </c>
      <c r="BR8" s="53" t="str">
        <f t="shared" si="14"/>
        <v/>
      </c>
      <c r="BS8" s="53" t="str">
        <f t="shared" si="15"/>
        <v/>
      </c>
      <c r="BT8" s="53">
        <f t="shared" si="16"/>
        <v>2.0678124999999998E-3</v>
      </c>
      <c r="BU8" s="53">
        <f t="shared" si="17"/>
        <v>2.0550833333333332E-3</v>
      </c>
      <c r="BV8" s="54">
        <f t="shared" si="18"/>
        <v>2.0156770833333333E-3</v>
      </c>
      <c r="BW8" s="55" t="str">
        <f t="shared" si="19"/>
        <v/>
      </c>
      <c r="BX8" s="53" t="str">
        <f t="shared" si="20"/>
        <v/>
      </c>
      <c r="BY8" s="53" t="str">
        <f t="shared" si="21"/>
        <v/>
      </c>
      <c r="BZ8" s="54" t="str">
        <f t="shared" si="22"/>
        <v/>
      </c>
    </row>
    <row r="9" spans="1:78" ht="14.65" thickTop="1" x14ac:dyDescent="0.45"/>
    <row r="10" spans="1:78" ht="18" x14ac:dyDescent="0.45">
      <c r="A10" s="108">
        <v>2026</v>
      </c>
      <c r="B10" s="44" t="str">
        <f ca="1">CONCATENATE("in: ",YEAR(TODAY())," für: ", YEAR(TODAY())+1)</f>
        <v>in: 2026 für: 2027</v>
      </c>
      <c r="C10" s="109" t="s">
        <v>209</v>
      </c>
      <c r="D10" s="109"/>
      <c r="E10" s="110"/>
      <c r="F10" s="111" t="s">
        <v>210</v>
      </c>
      <c r="G10" s="112"/>
      <c r="H10" s="112"/>
      <c r="I10" s="112"/>
      <c r="J10" s="113"/>
      <c r="K10" s="114" t="s">
        <v>214</v>
      </c>
      <c r="L10" s="115"/>
      <c r="M10" s="115"/>
      <c r="N10" s="116"/>
      <c r="O10" s="134" t="s">
        <v>211</v>
      </c>
      <c r="P10" s="134"/>
      <c r="Q10" s="135"/>
      <c r="R10" s="136" t="s">
        <v>212</v>
      </c>
      <c r="S10" s="137"/>
      <c r="T10" s="137"/>
      <c r="U10" s="137"/>
      <c r="V10" s="138"/>
      <c r="W10" s="139" t="s">
        <v>215</v>
      </c>
      <c r="X10" s="140"/>
      <c r="Y10" s="140"/>
      <c r="Z10" s="141"/>
      <c r="AB10" s="44" t="str">
        <f ca="1">CONCATENATE("in: ",YEAR(TODAY())," für: ", YEAR(TODAY())+1)</f>
        <v>in: 2026 für: 2027</v>
      </c>
      <c r="AC10" s="117" t="s">
        <v>216</v>
      </c>
      <c r="AD10" s="117"/>
      <c r="AE10" s="118"/>
      <c r="AF10" s="119" t="s">
        <v>217</v>
      </c>
      <c r="AG10" s="120"/>
      <c r="AH10" s="120"/>
      <c r="AI10" s="120"/>
      <c r="AJ10" s="121"/>
      <c r="AK10" s="122" t="s">
        <v>218</v>
      </c>
      <c r="AL10" s="123"/>
      <c r="AM10" s="123"/>
      <c r="AN10" s="124"/>
      <c r="AO10" s="125" t="s">
        <v>219</v>
      </c>
      <c r="AP10" s="126"/>
      <c r="AQ10" s="127"/>
      <c r="AR10" s="128" t="s">
        <v>220</v>
      </c>
      <c r="AS10" s="129"/>
      <c r="AT10" s="129"/>
      <c r="AU10" s="129"/>
      <c r="AV10" s="130"/>
      <c r="AW10" s="131" t="s">
        <v>221</v>
      </c>
      <c r="AX10" s="132"/>
      <c r="AY10" s="132"/>
      <c r="AZ10" s="133"/>
      <c r="BB10" s="44" t="str">
        <f ca="1">CONCATENATE("in: ",YEAR(TODAY())," für: ", YEAR(TODAY())+1)</f>
        <v>in: 2026 für: 2027</v>
      </c>
      <c r="BC10" s="109" t="s">
        <v>222</v>
      </c>
      <c r="BD10" s="109"/>
      <c r="BE10" s="110"/>
      <c r="BF10" s="111" t="s">
        <v>223</v>
      </c>
      <c r="BG10" s="112"/>
      <c r="BH10" s="112"/>
      <c r="BI10" s="112"/>
      <c r="BJ10" s="113"/>
      <c r="BK10" s="114" t="s">
        <v>224</v>
      </c>
      <c r="BL10" s="115"/>
      <c r="BM10" s="115"/>
      <c r="BN10" s="116"/>
      <c r="BO10" s="134" t="s">
        <v>229</v>
      </c>
      <c r="BP10" s="134"/>
      <c r="BQ10" s="135"/>
      <c r="BR10" s="136" t="s">
        <v>230</v>
      </c>
      <c r="BS10" s="137"/>
      <c r="BT10" s="137"/>
      <c r="BU10" s="137"/>
      <c r="BV10" s="138"/>
      <c r="BW10" s="139" t="s">
        <v>225</v>
      </c>
      <c r="BX10" s="140"/>
      <c r="BY10" s="140"/>
      <c r="BZ10" s="141"/>
    </row>
    <row r="11" spans="1:78" ht="21.4" thickBot="1" x14ac:dyDescent="0.5">
      <c r="A11" s="108"/>
      <c r="B11" s="45" t="s">
        <v>213</v>
      </c>
      <c r="C11" s="57" t="str">
        <f ca="1">CONCATENATE("≤",YEAR(TODAY())-15)</f>
        <v>≤2011</v>
      </c>
      <c r="D11" s="57">
        <f ca="1">YEAR(TODAY())-16</f>
        <v>2010</v>
      </c>
      <c r="E11" s="58">
        <f ca="1">YEAR(TODAY())-17</f>
        <v>2009</v>
      </c>
      <c r="F11" s="59">
        <f ca="1">YEAR(TODAY())-16</f>
        <v>2010</v>
      </c>
      <c r="G11" s="59">
        <f ca="1">YEAR(TODAY())-17</f>
        <v>2009</v>
      </c>
      <c r="H11" s="59">
        <f ca="1">YEAR(TODAY())-18</f>
        <v>2008</v>
      </c>
      <c r="I11" s="88" t="str">
        <f ca="1">CONCATENATE(YEAR(TODAY())-19,"-",YEAR(TODAY())-21)</f>
        <v>2007-2005</v>
      </c>
      <c r="J11" s="88" t="str">
        <f ca="1">CONCATENATE(YEAR(TODAY())-22,"-",YEAR(TODAY())-23)</f>
        <v>2004-2003</v>
      </c>
      <c r="K11" s="89" t="str">
        <f ca="1">CONCATENATE(YEAR(TODAY())-15,"-",YEAR(TODAY())-19)</f>
        <v>2011-2007</v>
      </c>
      <c r="L11" s="90">
        <f ca="1">YEAR(TODAY())-20</f>
        <v>2006</v>
      </c>
      <c r="M11" s="90" t="str">
        <f ca="1">CONCATENATE(YEAR(TODAY())-21,"-",YEAR(TODAY())-23)</f>
        <v>2005-2003</v>
      </c>
      <c r="N11" s="91" t="str">
        <f ca="1">CONCATENATE(YEAR(TODAY())-24,"-",YEAR(TODAY())-40)</f>
        <v>2002-1986</v>
      </c>
      <c r="O11" s="60" t="str">
        <f ca="1">CONCATENATE("≤",YEAR(TODAY())-15)</f>
        <v>≤2011</v>
      </c>
      <c r="P11" s="60">
        <f ca="1">YEAR(TODAY())-16</f>
        <v>2010</v>
      </c>
      <c r="Q11" s="61">
        <f ca="1">YEAR(TODAY())-17</f>
        <v>2009</v>
      </c>
      <c r="R11" s="62">
        <f ca="1">YEAR(TODAY())-16</f>
        <v>2010</v>
      </c>
      <c r="S11" s="62">
        <f ca="1">YEAR(TODAY())-17</f>
        <v>2009</v>
      </c>
      <c r="T11" s="62">
        <f ca="1">YEAR(TODAY())-18</f>
        <v>2008</v>
      </c>
      <c r="U11" s="63" t="str">
        <f ca="1">CONCATENATE(YEAR(TODAY())-19,"-",YEAR(TODAY())-21)</f>
        <v>2007-2005</v>
      </c>
      <c r="V11" s="64" t="str">
        <f ca="1">CONCATENATE(YEAR(TODAY())-22,"-",YEAR(TODAY())-23)</f>
        <v>2004-2003</v>
      </c>
      <c r="W11" s="72" t="str">
        <f ca="1">CONCATENATE(YEAR(TODAY())-15,"-",YEAR(TODAY())-19)</f>
        <v>2011-2007</v>
      </c>
      <c r="X11" s="92">
        <f ca="1">YEAR(TODAY())-20</f>
        <v>2006</v>
      </c>
      <c r="Y11" s="72" t="str">
        <f ca="1">CONCATENATE(YEAR(TODAY())-21,"-",YEAR(TODAY())-23)</f>
        <v>2005-2003</v>
      </c>
      <c r="Z11" s="74" t="str">
        <f ca="1">CONCATENATE(YEAR(TODAY())-24,"-",YEAR(TODAY())-50)</f>
        <v>2002-1976</v>
      </c>
      <c r="AA11" s="38"/>
      <c r="AB11" s="45" t="s">
        <v>213</v>
      </c>
      <c r="AC11" s="79" t="str">
        <f ca="1">CONCATENATE("≤",YEAR(TODAY())-15)</f>
        <v>≤2011</v>
      </c>
      <c r="AD11" s="79">
        <f ca="1">YEAR(TODAY())-16</f>
        <v>2010</v>
      </c>
      <c r="AE11" s="80">
        <f ca="1">YEAR(TODAY())-17</f>
        <v>2009</v>
      </c>
      <c r="AF11" s="81">
        <f ca="1">YEAR(TODAY())-16</f>
        <v>2010</v>
      </c>
      <c r="AG11" s="81">
        <f ca="1">YEAR(TODAY())-17</f>
        <v>2009</v>
      </c>
      <c r="AH11" s="81">
        <f ca="1">YEAR(TODAY())-18</f>
        <v>2008</v>
      </c>
      <c r="AI11" s="81" t="str">
        <f ca="1">CONCATENATE(YEAR(TODAY())-19,"-",YEAR(TODAY())-21)</f>
        <v>2007-2005</v>
      </c>
      <c r="AJ11" s="81" t="str">
        <f ca="1">CONCATENATE(YEAR(TODAY())-22,"-",YEAR(TODAY())-50)</f>
        <v>2004-1976</v>
      </c>
      <c r="AK11" s="82" t="str">
        <f ca="1">CONCATENATE(YEAR(TODAY())-15,"-",YEAR(TODAY())-19)</f>
        <v>2011-2007</v>
      </c>
      <c r="AL11" s="83">
        <f ca="1">YEAR(TODAY())-20</f>
        <v>2006</v>
      </c>
      <c r="AM11" s="83" t="str">
        <f ca="1">CONCATENATE(YEAR(TODAY())-21,"-",YEAR(TODAY())-23)</f>
        <v>2005-2003</v>
      </c>
      <c r="AN11" s="84" t="str">
        <f ca="1">CONCATENATE(YEAR(TODAY())-24,"-",YEAR(TODAY())-40)</f>
        <v>2002-1986</v>
      </c>
      <c r="AO11" s="85" t="str">
        <f ca="1">CONCATENATE("≤",YEAR(TODAY())-15)</f>
        <v>≤2011</v>
      </c>
      <c r="AP11" s="85">
        <f ca="1">YEAR(TODAY())-16</f>
        <v>2010</v>
      </c>
      <c r="AQ11" s="86">
        <f ca="1">YEAR(TODAY())-17</f>
        <v>2009</v>
      </c>
      <c r="AR11" s="76">
        <f ca="1">YEAR(TODAY())-16</f>
        <v>2010</v>
      </c>
      <c r="AS11" s="76">
        <f ca="1">YEAR(TODAY())-17</f>
        <v>2009</v>
      </c>
      <c r="AT11" s="76">
        <f ca="1">YEAR(TODAY())-18</f>
        <v>2008</v>
      </c>
      <c r="AU11" s="76" t="str">
        <f ca="1">CONCATENATE(YEAR(TODAY())-19,"-",YEAR(TODAY())-21)</f>
        <v>2007-2005</v>
      </c>
      <c r="AV11" s="77" t="str">
        <f ca="1">CONCATENATE(YEAR(TODAY())-22,"-",YEAR(TODAY())-50)</f>
        <v>2004-1976</v>
      </c>
      <c r="AW11" s="87" t="str">
        <f ca="1">CONCATENATE(YEAR(TODAY())-15,"-",YEAR(TODAY())-19)</f>
        <v>2011-2007</v>
      </c>
      <c r="AX11" s="87">
        <f ca="1">YEAR(TODAY())-20</f>
        <v>2006</v>
      </c>
      <c r="AY11" s="87" t="str">
        <f ca="1">CONCATENATE(YEAR(TODAY())-21,"-",YEAR(TODAY())-23)</f>
        <v>2005-2003</v>
      </c>
      <c r="AZ11" s="78" t="str">
        <f ca="1">CONCATENATE(YEAR(TODAY())-24,"-",YEAR(TODAY())-40)</f>
        <v>2002-1986</v>
      </c>
      <c r="BB11" s="45" t="s">
        <v>213</v>
      </c>
      <c r="BC11" s="57" t="str">
        <f ca="1">CONCATENATE("≤",YEAR(TODAY())-15-1)</f>
        <v>≤2010</v>
      </c>
      <c r="BD11" s="57">
        <f ca="1">YEAR(TODAY())-16-1</f>
        <v>2009</v>
      </c>
      <c r="BE11" s="58">
        <f ca="1">YEAR(TODAY())-17-1</f>
        <v>2008</v>
      </c>
      <c r="BF11" s="59">
        <f ca="1">YEAR(TODAY())-16-1</f>
        <v>2009</v>
      </c>
      <c r="BG11" s="59">
        <f ca="1">YEAR(TODAY())-17-1</f>
        <v>2008</v>
      </c>
      <c r="BH11" s="59">
        <f ca="1">YEAR(TODAY())-18-1</f>
        <v>2007</v>
      </c>
      <c r="BI11" s="88" t="str">
        <f ca="1">CONCATENATE(YEAR(TODAY())-1-19,"-",YEAR(TODAY())-1-21)</f>
        <v>2006-2004</v>
      </c>
      <c r="BJ11" s="88" t="str">
        <f ca="1">CONCATENATE(YEAR(TODAY())-1-22,"-",YEAR(TODAY())-1-50)</f>
        <v>2003-1975</v>
      </c>
      <c r="BK11" s="89" t="str">
        <f ca="1">CONCATENATE(YEAR(TODAY())-1-15,"-",YEAR(TODAY())-1-19)</f>
        <v>2010-2006</v>
      </c>
      <c r="BL11" s="90">
        <f ca="1">YEAR(TODAY())-20-1</f>
        <v>2005</v>
      </c>
      <c r="BM11" s="90" t="str">
        <f ca="1">CONCATENATE(YEAR(TODAY())-1-21,"-",YEAR(TODAY())-1-23)</f>
        <v>2004-2002</v>
      </c>
      <c r="BN11" s="90" t="str">
        <f ca="1">CONCATENATE(YEAR(TODAY())-1-24,"-",YEAR(TODAY())-40-1)</f>
        <v>2001-1985</v>
      </c>
      <c r="BO11" s="104" t="str">
        <f ca="1">CONCATENATE("≤",YEAR(TODAY())-15-1)</f>
        <v>≤2010</v>
      </c>
      <c r="BP11" s="60">
        <f ca="1">YEAR(TODAY())-16-1</f>
        <v>2009</v>
      </c>
      <c r="BQ11" s="61">
        <f ca="1">YEAR(TODAY())-17-1</f>
        <v>2008</v>
      </c>
      <c r="BR11" s="62">
        <f ca="1">YEAR(TODAY())-16-1</f>
        <v>2009</v>
      </c>
      <c r="BS11" s="62">
        <f ca="1">YEAR(TODAY())-17-1</f>
        <v>2008</v>
      </c>
      <c r="BT11" s="62">
        <f ca="1">YEAR(TODAY())-18-1</f>
        <v>2007</v>
      </c>
      <c r="BU11" s="63" t="str">
        <f ca="1">CONCATENATE(YEAR(TODAY())-1-19,"-",YEAR(TODAY())-1-21)</f>
        <v>2006-2004</v>
      </c>
      <c r="BV11" s="64" t="str">
        <f ca="1">CONCATENATE(YEAR(TODAY())-1-22,"-",YEAR(TODAY())-1-50)</f>
        <v>2003-1975</v>
      </c>
      <c r="BW11" s="72" t="str">
        <f ca="1">CONCATENATE(YEAR(TODAY())-1-15,"-",YEAR(TODAY())-1-19)</f>
        <v>2010-2006</v>
      </c>
      <c r="BX11" s="92">
        <f ca="1">YEAR(TODAY())-20-1</f>
        <v>2005</v>
      </c>
      <c r="BY11" s="72" t="str">
        <f ca="1">CONCATENATE(YEAR(TODAY())-1-21,"-",YEAR(TODAY())-1-23)</f>
        <v>2004-2002</v>
      </c>
      <c r="BZ11" s="74" t="str">
        <f ca="1">CONCATENATE(YEAR(TODAY())-1-24,"-",YEAR(TODAY())-40-1)</f>
        <v>2001-1985</v>
      </c>
    </row>
    <row r="12" spans="1:78" ht="14.65" thickTop="1" x14ac:dyDescent="0.45">
      <c r="A12" s="108"/>
      <c r="B12" s="46" t="s">
        <v>0</v>
      </c>
      <c r="C12" s="50">
        <v>3.9282407407407403E-4</v>
      </c>
      <c r="D12" s="51">
        <v>3.8495370370370371E-4</v>
      </c>
      <c r="E12" s="52">
        <v>3.7326388888888891E-4</v>
      </c>
      <c r="F12" s="51">
        <v>3.7430555555555562E-4</v>
      </c>
      <c r="G12" s="51">
        <v>3.6747685185185185E-4</v>
      </c>
      <c r="H12" s="51">
        <v>3.6111111111111109E-4</v>
      </c>
      <c r="I12" s="51">
        <v>3.5081018518518518E-4</v>
      </c>
      <c r="J12" s="52">
        <v>3.3900462962962964E-4</v>
      </c>
      <c r="K12" s="51">
        <v>3.488425925925926E-4</v>
      </c>
      <c r="L12" s="51">
        <v>3.4386574074074077E-4</v>
      </c>
      <c r="M12" s="51">
        <v>3.3796296296296298E-4</v>
      </c>
      <c r="N12" s="52">
        <v>3.359953703703704E-4</v>
      </c>
      <c r="O12" s="51">
        <v>4.7743055555555554E-4</v>
      </c>
      <c r="P12" s="51">
        <v>4.6701388888888888E-4</v>
      </c>
      <c r="Q12" s="52">
        <v>4.5578703703703704E-4</v>
      </c>
      <c r="R12" s="65">
        <v>4.586805555555556E-4</v>
      </c>
      <c r="S12" s="66">
        <v>4.5138888888888887E-4</v>
      </c>
      <c r="T12" s="51">
        <v>4.4097222222222226E-4</v>
      </c>
      <c r="U12" s="51">
        <v>4.2048611111111111E-4</v>
      </c>
      <c r="V12" s="68">
        <v>4.054398148148148E-4</v>
      </c>
      <c r="W12" s="51">
        <v>4.2118055555555555E-4</v>
      </c>
      <c r="X12" s="51">
        <v>4.1331018518518518E-4</v>
      </c>
      <c r="Y12" s="51">
        <v>4.0381944444444444E-4</v>
      </c>
      <c r="Z12" s="52">
        <v>4.0069444444444441E-4</v>
      </c>
      <c r="AB12" s="46" t="s">
        <v>0</v>
      </c>
      <c r="AC12" s="103">
        <v>0.2</v>
      </c>
      <c r="AD12" s="94">
        <v>0.2</v>
      </c>
      <c r="AE12" s="95">
        <v>0.2</v>
      </c>
      <c r="AF12" s="94">
        <v>0</v>
      </c>
      <c r="AG12" s="94">
        <v>0</v>
      </c>
      <c r="AH12" s="94">
        <v>0.16</v>
      </c>
      <c r="AI12" s="94">
        <v>0.16</v>
      </c>
      <c r="AJ12" s="95">
        <v>0.16</v>
      </c>
      <c r="AK12" s="96">
        <v>0</v>
      </c>
      <c r="AL12" s="96">
        <v>0</v>
      </c>
      <c r="AM12" s="96">
        <v>0</v>
      </c>
      <c r="AN12" s="95">
        <v>0</v>
      </c>
      <c r="AO12" s="94">
        <v>0.1799</v>
      </c>
      <c r="AP12" s="94">
        <v>0.18</v>
      </c>
      <c r="AQ12" s="95">
        <v>0.18</v>
      </c>
      <c r="AR12" s="94">
        <v>0</v>
      </c>
      <c r="AS12" s="97">
        <v>0</v>
      </c>
      <c r="AT12" s="94">
        <v>0.17</v>
      </c>
      <c r="AU12" s="94">
        <v>0.17</v>
      </c>
      <c r="AV12" s="98">
        <v>0.17</v>
      </c>
      <c r="AW12" s="94">
        <v>0</v>
      </c>
      <c r="AX12" s="94">
        <v>0</v>
      </c>
      <c r="AY12" s="94">
        <v>0</v>
      </c>
      <c r="AZ12" s="95">
        <v>0</v>
      </c>
      <c r="BB12" s="46" t="s">
        <v>0</v>
      </c>
      <c r="BC12" s="50">
        <f>IF(AC12=0,"",C12+C12*AC12)</f>
        <v>4.7138888888888881E-4</v>
      </c>
      <c r="BD12" s="51">
        <f t="shared" ref="BD12:BD17" si="24">IF(AD12=0,"",D12+D12*AD12)</f>
        <v>4.6194444444444446E-4</v>
      </c>
      <c r="BE12" s="52">
        <f t="shared" ref="BE12:BE17" si="25">IF(AE12=0,"",E12+E12*AE12)</f>
        <v>4.4791666666666667E-4</v>
      </c>
      <c r="BF12" s="51" t="str">
        <f t="shared" ref="BF12:BF17" si="26">IF(AF12=0,"",F12+F12*AF12)</f>
        <v/>
      </c>
      <c r="BG12" s="51" t="str">
        <f t="shared" ref="BG12:BG17" si="27">IF(AG12=0,"",G12+G12*AG12)</f>
        <v/>
      </c>
      <c r="BH12" s="51">
        <f t="shared" ref="BH12:BH17" si="28">IF(AH12=0,"",H12+H12*AH12)</f>
        <v>4.1888888888888889E-4</v>
      </c>
      <c r="BI12" s="51">
        <f t="shared" ref="BI12:BI17" si="29">IF(AI12=0,"",I12+I12*AI12)</f>
        <v>4.0693981481481478E-4</v>
      </c>
      <c r="BJ12" s="52">
        <f t="shared" ref="BJ12:BJ17" si="30">IF(AJ12=0,"",J12+J12*AJ12)</f>
        <v>3.9324537037037041E-4</v>
      </c>
      <c r="BK12" s="51" t="str">
        <f t="shared" ref="BK12:BK17" si="31">IF(AK12=0,"",K12+K12*AK12)</f>
        <v/>
      </c>
      <c r="BL12" s="51" t="str">
        <f t="shared" ref="BL12:BL17" si="32">IF(AL12=0,"",L12+L12*AL12)</f>
        <v/>
      </c>
      <c r="BM12" s="51" t="str">
        <f t="shared" ref="BM12:BM17" si="33">IF(AM12=0,"",M12+M12*AM12)</f>
        <v/>
      </c>
      <c r="BN12" s="52" t="str">
        <f t="shared" ref="BN12:BN17" si="34">IF(AN12=0,"",N12+N12*AN12)</f>
        <v/>
      </c>
      <c r="BO12" s="51">
        <f t="shared" ref="BO12:BO17" si="35">IF(AO12=0,"",O12+O12*AO12)</f>
        <v>5.6332031250000002E-4</v>
      </c>
      <c r="BP12" s="51">
        <f t="shared" ref="BP12:BP17" si="36">IF(AP12=0,"",P12+P12*AP12)</f>
        <v>5.5107638888888893E-4</v>
      </c>
      <c r="BQ12" s="52">
        <f t="shared" ref="BQ12:BQ17" si="37">IF(AQ12=0,"",Q12+Q12*AQ12)</f>
        <v>5.3782870370370367E-4</v>
      </c>
      <c r="BR12" s="65" t="str">
        <f t="shared" ref="BR12:BR17" si="38">IF(AR12=0,"",R12+R12*AR12)</f>
        <v/>
      </c>
      <c r="BS12" s="66" t="str">
        <f t="shared" ref="BS12:BS17" si="39">IF(AS12=0,"",S12+S12*AS12)</f>
        <v/>
      </c>
      <c r="BT12" s="51">
        <f t="shared" ref="BT12:BT17" si="40">IF(AT12=0,"",T12+T12*AT12)</f>
        <v>5.1593750000000001E-4</v>
      </c>
      <c r="BU12" s="51">
        <f t="shared" ref="BU12:BU17" si="41">IF(AU12=0,"",U12+U12*AU12)</f>
        <v>4.9196875E-4</v>
      </c>
      <c r="BV12" s="68">
        <f t="shared" ref="BV12:BV17" si="42">IF(AV12=0,"",V12+V12*AV12)</f>
        <v>4.7436458333333331E-4</v>
      </c>
      <c r="BW12" s="51" t="str">
        <f t="shared" ref="BW12:BW17" si="43">IF(AW12=0,"",W12+W12*AW12)</f>
        <v/>
      </c>
      <c r="BX12" s="51" t="str">
        <f t="shared" ref="BX12:BX17" si="44">IF(AX12=0,"",X12+X12*AX12)</f>
        <v/>
      </c>
      <c r="BY12" s="51" t="str">
        <f t="shared" ref="BY12:BY17" si="45">IF(AY12=0,"",Y12+Y12*AY12)</f>
        <v/>
      </c>
      <c r="BZ12" s="52" t="str">
        <f t="shared" ref="BZ12:BZ17" si="46">IF(AZ12=0,"",Z12+Z12*AZ12)</f>
        <v/>
      </c>
    </row>
    <row r="13" spans="1:78" x14ac:dyDescent="0.45">
      <c r="A13" s="108"/>
      <c r="B13" s="46" t="s">
        <v>181</v>
      </c>
      <c r="C13" s="51">
        <v>8.4803240740740737E-4</v>
      </c>
      <c r="D13" s="51">
        <v>8.3333333333333339E-4</v>
      </c>
      <c r="E13" s="52">
        <v>8.0104166666666681E-4</v>
      </c>
      <c r="F13" s="51">
        <v>8.0358796296296309E-4</v>
      </c>
      <c r="G13" s="51">
        <v>7.8715277777777779E-4</v>
      </c>
      <c r="H13" s="51">
        <v>7.7187499999999999E-4</v>
      </c>
      <c r="I13" s="51">
        <v>7.4733796296296289E-4</v>
      </c>
      <c r="J13" s="52">
        <v>7.1921296296296295E-4</v>
      </c>
      <c r="K13" s="51">
        <v>7.4259259259259254E-4</v>
      </c>
      <c r="L13" s="51">
        <v>7.309027777777778E-4</v>
      </c>
      <c r="M13" s="51">
        <v>7.1678240740740741E-4</v>
      </c>
      <c r="N13" s="52">
        <v>7.1215277777777781E-4</v>
      </c>
      <c r="O13" s="51">
        <v>1.0035879629629631E-3</v>
      </c>
      <c r="P13" s="51">
        <v>9.6921296296296295E-4</v>
      </c>
      <c r="Q13" s="52">
        <v>9.3472222222222231E-4</v>
      </c>
      <c r="R13" s="67">
        <v>9.4340277777777782E-4</v>
      </c>
      <c r="S13" s="51">
        <v>9.2094907407407403E-4</v>
      </c>
      <c r="T13" s="51">
        <v>9.0034722222222209E-4</v>
      </c>
      <c r="U13" s="51">
        <v>8.5960648148148148E-4</v>
      </c>
      <c r="V13" s="52">
        <v>8.2974537037037034E-4</v>
      </c>
      <c r="W13" s="51">
        <v>8.6111111111111121E-4</v>
      </c>
      <c r="X13" s="51">
        <v>8.4548611111111109E-4</v>
      </c>
      <c r="Y13" s="51">
        <v>8.2662037037037036E-4</v>
      </c>
      <c r="Z13" s="52">
        <v>8.2037037037037029E-4</v>
      </c>
      <c r="AB13" s="46" t="s">
        <v>181</v>
      </c>
      <c r="AC13" s="94">
        <v>0.2</v>
      </c>
      <c r="AD13" s="94">
        <v>0.2</v>
      </c>
      <c r="AE13" s="95">
        <v>0.2</v>
      </c>
      <c r="AF13" s="94">
        <v>0</v>
      </c>
      <c r="AG13" s="94">
        <v>0</v>
      </c>
      <c r="AH13" s="94">
        <v>0.16</v>
      </c>
      <c r="AI13" s="94">
        <v>0.16</v>
      </c>
      <c r="AJ13" s="95">
        <v>0.16</v>
      </c>
      <c r="AK13" s="96">
        <v>0</v>
      </c>
      <c r="AL13" s="96">
        <v>0</v>
      </c>
      <c r="AM13" s="96">
        <v>0</v>
      </c>
      <c r="AN13" s="95">
        <v>0</v>
      </c>
      <c r="AO13" s="94">
        <v>0.18</v>
      </c>
      <c r="AP13" s="94">
        <v>0.18</v>
      </c>
      <c r="AQ13" s="95">
        <v>0.18</v>
      </c>
      <c r="AR13" s="99">
        <v>0</v>
      </c>
      <c r="AS13" s="96">
        <v>0</v>
      </c>
      <c r="AT13" s="94">
        <v>0.17</v>
      </c>
      <c r="AU13" s="94">
        <v>0.17</v>
      </c>
      <c r="AV13" s="95">
        <v>0.17</v>
      </c>
      <c r="AW13" s="94">
        <v>0</v>
      </c>
      <c r="AX13" s="94">
        <v>0</v>
      </c>
      <c r="AY13" s="94">
        <v>0</v>
      </c>
      <c r="AZ13" s="95">
        <v>0</v>
      </c>
      <c r="BB13" s="46" t="s">
        <v>181</v>
      </c>
      <c r="BC13" s="51">
        <f t="shared" ref="BC13:BC17" si="47">IF(AC13=0,"",C13+C13*AC13)</f>
        <v>1.0176388888888889E-3</v>
      </c>
      <c r="BD13" s="51">
        <f t="shared" si="24"/>
        <v>1E-3</v>
      </c>
      <c r="BE13" s="52">
        <f t="shared" si="25"/>
        <v>9.6125000000000019E-4</v>
      </c>
      <c r="BF13" s="51" t="str">
        <f t="shared" si="26"/>
        <v/>
      </c>
      <c r="BG13" s="51" t="str">
        <f t="shared" si="27"/>
        <v/>
      </c>
      <c r="BH13" s="51">
        <f t="shared" si="28"/>
        <v>8.9537500000000001E-4</v>
      </c>
      <c r="BI13" s="51">
        <f t="shared" si="29"/>
        <v>8.6691203703703691E-4</v>
      </c>
      <c r="BJ13" s="52">
        <f t="shared" si="30"/>
        <v>8.3428703703703703E-4</v>
      </c>
      <c r="BK13" s="51" t="str">
        <f t="shared" si="31"/>
        <v/>
      </c>
      <c r="BL13" s="51" t="str">
        <f t="shared" si="32"/>
        <v/>
      </c>
      <c r="BM13" s="51" t="str">
        <f t="shared" si="33"/>
        <v/>
      </c>
      <c r="BN13" s="52" t="str">
        <f t="shared" si="34"/>
        <v/>
      </c>
      <c r="BO13" s="51">
        <f t="shared" si="35"/>
        <v>1.1842337962962965E-3</v>
      </c>
      <c r="BP13" s="51">
        <f t="shared" si="36"/>
        <v>1.1436712962962963E-3</v>
      </c>
      <c r="BQ13" s="52">
        <f t="shared" si="37"/>
        <v>1.1029722222222222E-3</v>
      </c>
      <c r="BR13" s="67" t="str">
        <f t="shared" si="38"/>
        <v/>
      </c>
      <c r="BS13" s="51" t="str">
        <f t="shared" si="39"/>
        <v/>
      </c>
      <c r="BT13" s="51">
        <f t="shared" si="40"/>
        <v>1.0534062499999999E-3</v>
      </c>
      <c r="BU13" s="51">
        <f t="shared" si="41"/>
        <v>1.0057395833333333E-3</v>
      </c>
      <c r="BV13" s="52">
        <f t="shared" si="42"/>
        <v>9.7080208333333328E-4</v>
      </c>
      <c r="BW13" s="51" t="str">
        <f t="shared" si="43"/>
        <v/>
      </c>
      <c r="BX13" s="51" t="str">
        <f t="shared" si="44"/>
        <v/>
      </c>
      <c r="BY13" s="51" t="str">
        <f t="shared" si="45"/>
        <v/>
      </c>
      <c r="BZ13" s="52" t="str">
        <f t="shared" si="46"/>
        <v/>
      </c>
    </row>
    <row r="14" spans="1:78" x14ac:dyDescent="0.45">
      <c r="A14" s="108"/>
      <c r="B14" s="46" t="s">
        <v>182</v>
      </c>
      <c r="C14" s="51">
        <v>6.1793981481481487E-4</v>
      </c>
      <c r="D14" s="51">
        <v>6.0636574074074076E-4</v>
      </c>
      <c r="E14" s="52">
        <v>5.894675925925926E-4</v>
      </c>
      <c r="F14" s="51">
        <v>5.9097222222222222E-4</v>
      </c>
      <c r="G14" s="51">
        <v>5.8101851851851858E-4</v>
      </c>
      <c r="H14" s="51">
        <v>5.7175925925925927E-4</v>
      </c>
      <c r="I14" s="51">
        <v>5.5659722222222222E-4</v>
      </c>
      <c r="J14" s="52">
        <v>5.3935185185185184E-4</v>
      </c>
      <c r="K14" s="51">
        <v>5.5381944444444445E-4</v>
      </c>
      <c r="L14" s="51">
        <v>5.4652777777777772E-4</v>
      </c>
      <c r="M14" s="51">
        <v>5.3796296296296296E-4</v>
      </c>
      <c r="N14" s="52">
        <v>5.3506944444444446E-4</v>
      </c>
      <c r="O14" s="51">
        <v>7.1643518518518519E-4</v>
      </c>
      <c r="P14" s="51">
        <v>7.0370370370370367E-4</v>
      </c>
      <c r="Q14" s="52">
        <v>6.8981481481481487E-4</v>
      </c>
      <c r="R14" s="67">
        <v>6.9837962962962963E-4</v>
      </c>
      <c r="S14" s="51">
        <v>6.8449074074074072E-4</v>
      </c>
      <c r="T14" s="51">
        <v>6.7164351851851857E-4</v>
      </c>
      <c r="U14" s="51">
        <v>6.4594907407407407E-4</v>
      </c>
      <c r="V14" s="52">
        <v>6.2719907407407407E-4</v>
      </c>
      <c r="W14" s="51">
        <v>6.4699074074074073E-4</v>
      </c>
      <c r="X14" s="51">
        <v>6.3703703703703698E-4</v>
      </c>
      <c r="Y14" s="51">
        <v>6.2523148148148149E-4</v>
      </c>
      <c r="Z14" s="52">
        <v>6.2129629629629633E-4</v>
      </c>
      <c r="AB14" s="46" t="s">
        <v>182</v>
      </c>
      <c r="AC14" s="94">
        <v>0.2</v>
      </c>
      <c r="AD14" s="94">
        <v>0.2</v>
      </c>
      <c r="AE14" s="95">
        <v>0.2</v>
      </c>
      <c r="AF14" s="94">
        <v>0</v>
      </c>
      <c r="AG14" s="94">
        <v>0</v>
      </c>
      <c r="AH14" s="94">
        <v>0.16</v>
      </c>
      <c r="AI14" s="94">
        <v>0.16</v>
      </c>
      <c r="AJ14" s="95">
        <v>0.16</v>
      </c>
      <c r="AK14" s="96">
        <v>0</v>
      </c>
      <c r="AL14" s="96">
        <v>0</v>
      </c>
      <c r="AM14" s="96">
        <v>0</v>
      </c>
      <c r="AN14" s="95">
        <v>0</v>
      </c>
      <c r="AO14" s="94">
        <v>0.18</v>
      </c>
      <c r="AP14" s="94">
        <v>0.18</v>
      </c>
      <c r="AQ14" s="95">
        <v>0.18</v>
      </c>
      <c r="AR14" s="99">
        <v>0</v>
      </c>
      <c r="AS14" s="96">
        <v>0</v>
      </c>
      <c r="AT14" s="94">
        <v>0.17</v>
      </c>
      <c r="AU14" s="94">
        <v>0.17</v>
      </c>
      <c r="AV14" s="95">
        <v>0.17</v>
      </c>
      <c r="AW14" s="94">
        <v>0</v>
      </c>
      <c r="AX14" s="94">
        <v>0</v>
      </c>
      <c r="AY14" s="94">
        <v>0</v>
      </c>
      <c r="AZ14" s="95">
        <v>0</v>
      </c>
      <c r="BB14" s="46" t="s">
        <v>182</v>
      </c>
      <c r="BC14" s="51">
        <f t="shared" si="47"/>
        <v>7.415277777777778E-4</v>
      </c>
      <c r="BD14" s="51">
        <f t="shared" si="24"/>
        <v>7.2763888888888889E-4</v>
      </c>
      <c r="BE14" s="52">
        <f t="shared" si="25"/>
        <v>7.0736111111111108E-4</v>
      </c>
      <c r="BF14" s="51" t="str">
        <f t="shared" si="26"/>
        <v/>
      </c>
      <c r="BG14" s="51" t="str">
        <f t="shared" si="27"/>
        <v/>
      </c>
      <c r="BH14" s="51">
        <f t="shared" si="28"/>
        <v>6.6324074074074072E-4</v>
      </c>
      <c r="BI14" s="51">
        <f t="shared" si="29"/>
        <v>6.4565277777777776E-4</v>
      </c>
      <c r="BJ14" s="52">
        <f t="shared" si="30"/>
        <v>6.2564814814814818E-4</v>
      </c>
      <c r="BK14" s="51" t="str">
        <f t="shared" si="31"/>
        <v/>
      </c>
      <c r="BL14" s="51" t="str">
        <f t="shared" si="32"/>
        <v/>
      </c>
      <c r="BM14" s="51" t="str">
        <f t="shared" si="33"/>
        <v/>
      </c>
      <c r="BN14" s="52" t="str">
        <f t="shared" si="34"/>
        <v/>
      </c>
      <c r="BO14" s="51">
        <f t="shared" si="35"/>
        <v>8.4539351851851854E-4</v>
      </c>
      <c r="BP14" s="51">
        <f t="shared" si="36"/>
        <v>8.3037037037037031E-4</v>
      </c>
      <c r="BQ14" s="52">
        <f t="shared" si="37"/>
        <v>8.139814814814815E-4</v>
      </c>
      <c r="BR14" s="67" t="str">
        <f t="shared" si="38"/>
        <v/>
      </c>
      <c r="BS14" s="51" t="str">
        <f t="shared" si="39"/>
        <v/>
      </c>
      <c r="BT14" s="51">
        <f t="shared" si="40"/>
        <v>7.8582291666666677E-4</v>
      </c>
      <c r="BU14" s="51">
        <f t="shared" si="41"/>
        <v>7.5576041666666662E-4</v>
      </c>
      <c r="BV14" s="52">
        <f t="shared" si="42"/>
        <v>7.3382291666666669E-4</v>
      </c>
      <c r="BW14" s="51" t="str">
        <f t="shared" si="43"/>
        <v/>
      </c>
      <c r="BX14" s="51" t="str">
        <f t="shared" si="44"/>
        <v/>
      </c>
      <c r="BY14" s="51" t="str">
        <f t="shared" si="45"/>
        <v/>
      </c>
      <c r="BZ14" s="52" t="str">
        <f t="shared" si="46"/>
        <v/>
      </c>
    </row>
    <row r="15" spans="1:78" x14ac:dyDescent="0.45">
      <c r="A15" s="108"/>
      <c r="B15" s="46" t="s">
        <v>183</v>
      </c>
      <c r="C15" s="51">
        <v>7.1145833333333337E-4</v>
      </c>
      <c r="D15" s="51">
        <v>6.9386574074074077E-4</v>
      </c>
      <c r="E15" s="52">
        <v>6.6817129629629626E-4</v>
      </c>
      <c r="F15" s="51">
        <v>6.7048611111111107E-4</v>
      </c>
      <c r="G15" s="51">
        <v>6.5532407407407401E-4</v>
      </c>
      <c r="H15" s="51">
        <v>6.4131944444444436E-4</v>
      </c>
      <c r="I15" s="51">
        <v>6.1886574074074068E-4</v>
      </c>
      <c r="J15" s="52">
        <v>5.9317129629629629E-4</v>
      </c>
      <c r="K15" s="51">
        <v>6.145833333333333E-4</v>
      </c>
      <c r="L15" s="51">
        <v>6.0393518518518522E-4</v>
      </c>
      <c r="M15" s="51">
        <v>5.9108796296296296E-4</v>
      </c>
      <c r="N15" s="52">
        <v>5.8680555555555558E-4</v>
      </c>
      <c r="O15" s="51">
        <v>7.9768518518518524E-4</v>
      </c>
      <c r="P15" s="51">
        <v>7.8194444444444448E-4</v>
      </c>
      <c r="Q15" s="52">
        <v>7.6493055555555559E-4</v>
      </c>
      <c r="R15" s="67">
        <v>7.7534722222222219E-4</v>
      </c>
      <c r="S15" s="51">
        <v>7.583333333333333E-4</v>
      </c>
      <c r="T15" s="51">
        <v>7.4259259259259254E-4</v>
      </c>
      <c r="U15" s="51">
        <v>7.1134259259259263E-4</v>
      </c>
      <c r="V15" s="52">
        <v>6.8842592592592588E-4</v>
      </c>
      <c r="W15" s="51">
        <v>7.1250000000000003E-4</v>
      </c>
      <c r="X15" s="51">
        <v>7.0046296296296295E-4</v>
      </c>
      <c r="Y15" s="51">
        <v>6.8611111111111108E-4</v>
      </c>
      <c r="Z15" s="52">
        <v>6.8125E-4</v>
      </c>
      <c r="AB15" s="46" t="s">
        <v>183</v>
      </c>
      <c r="AC15" s="94">
        <v>0.2</v>
      </c>
      <c r="AD15" s="94">
        <v>0.2</v>
      </c>
      <c r="AE15" s="95">
        <v>0.2</v>
      </c>
      <c r="AF15" s="94">
        <v>0</v>
      </c>
      <c r="AG15" s="94">
        <v>0</v>
      </c>
      <c r="AH15" s="94">
        <v>0.16</v>
      </c>
      <c r="AI15" s="94">
        <v>0.16</v>
      </c>
      <c r="AJ15" s="95">
        <v>0.16</v>
      </c>
      <c r="AK15" s="96">
        <v>0</v>
      </c>
      <c r="AL15" s="96">
        <v>0</v>
      </c>
      <c r="AM15" s="96">
        <v>0</v>
      </c>
      <c r="AN15" s="95">
        <v>0</v>
      </c>
      <c r="AO15" s="94">
        <v>0.18</v>
      </c>
      <c r="AP15" s="94">
        <v>0.18</v>
      </c>
      <c r="AQ15" s="95">
        <v>0.18</v>
      </c>
      <c r="AR15" s="99">
        <v>0</v>
      </c>
      <c r="AS15" s="96">
        <v>0</v>
      </c>
      <c r="AT15" s="94">
        <v>0.17</v>
      </c>
      <c r="AU15" s="94">
        <v>0.17</v>
      </c>
      <c r="AV15" s="95">
        <v>0.17</v>
      </c>
      <c r="AW15" s="94">
        <v>0</v>
      </c>
      <c r="AX15" s="94">
        <v>0</v>
      </c>
      <c r="AY15" s="94">
        <v>0</v>
      </c>
      <c r="AZ15" s="95">
        <v>0</v>
      </c>
      <c r="BB15" s="46" t="s">
        <v>183</v>
      </c>
      <c r="BC15" s="51">
        <f t="shared" si="47"/>
        <v>8.5375000000000002E-4</v>
      </c>
      <c r="BD15" s="51">
        <f t="shared" si="24"/>
        <v>8.3263888888888895E-4</v>
      </c>
      <c r="BE15" s="52">
        <f t="shared" si="25"/>
        <v>8.018055555555555E-4</v>
      </c>
      <c r="BF15" s="51" t="str">
        <f t="shared" si="26"/>
        <v/>
      </c>
      <c r="BG15" s="51" t="str">
        <f t="shared" si="27"/>
        <v/>
      </c>
      <c r="BH15" s="51">
        <f t="shared" si="28"/>
        <v>7.439305555555554E-4</v>
      </c>
      <c r="BI15" s="51">
        <f t="shared" si="29"/>
        <v>7.1788425925925915E-4</v>
      </c>
      <c r="BJ15" s="52">
        <f t="shared" si="30"/>
        <v>6.8807870370370366E-4</v>
      </c>
      <c r="BK15" s="51" t="str">
        <f t="shared" si="31"/>
        <v/>
      </c>
      <c r="BL15" s="51" t="str">
        <f t="shared" si="32"/>
        <v/>
      </c>
      <c r="BM15" s="51" t="str">
        <f t="shared" si="33"/>
        <v/>
      </c>
      <c r="BN15" s="52" t="str">
        <f t="shared" si="34"/>
        <v/>
      </c>
      <c r="BO15" s="51">
        <f t="shared" si="35"/>
        <v>9.4126851851851858E-4</v>
      </c>
      <c r="BP15" s="51">
        <f t="shared" si="36"/>
        <v>9.2269444444444452E-4</v>
      </c>
      <c r="BQ15" s="52">
        <f t="shared" si="37"/>
        <v>9.026180555555556E-4</v>
      </c>
      <c r="BR15" s="67" t="str">
        <f t="shared" si="38"/>
        <v/>
      </c>
      <c r="BS15" s="51" t="str">
        <f t="shared" si="39"/>
        <v/>
      </c>
      <c r="BT15" s="51">
        <f t="shared" si="40"/>
        <v>8.6883333333333322E-4</v>
      </c>
      <c r="BU15" s="51">
        <f t="shared" si="41"/>
        <v>8.3227083333333341E-4</v>
      </c>
      <c r="BV15" s="52">
        <f t="shared" si="42"/>
        <v>8.0545833333333326E-4</v>
      </c>
      <c r="BW15" s="51" t="str">
        <f t="shared" si="43"/>
        <v/>
      </c>
      <c r="BX15" s="51" t="str">
        <f t="shared" si="44"/>
        <v/>
      </c>
      <c r="BY15" s="51" t="str">
        <f t="shared" si="45"/>
        <v/>
      </c>
      <c r="BZ15" s="52" t="str">
        <f t="shared" si="46"/>
        <v/>
      </c>
    </row>
    <row r="16" spans="1:78" ht="15" customHeight="1" x14ac:dyDescent="0.45">
      <c r="A16" s="108"/>
      <c r="B16" s="46" t="s">
        <v>184</v>
      </c>
      <c r="C16" s="51">
        <v>1.5960648148148149E-3</v>
      </c>
      <c r="D16" s="51">
        <v>1.5644675925925923E-3</v>
      </c>
      <c r="E16" s="52">
        <v>1.5181712962962961E-3</v>
      </c>
      <c r="F16" s="51">
        <v>1.522337962962963E-3</v>
      </c>
      <c r="G16" s="51">
        <v>1.4950231481481481E-3</v>
      </c>
      <c r="H16" s="51">
        <v>1.4697916666666666E-3</v>
      </c>
      <c r="I16" s="51">
        <v>1.4285879629629631E-3</v>
      </c>
      <c r="J16" s="52">
        <v>1.3815972222222222E-3</v>
      </c>
      <c r="K16" s="51">
        <v>1.4207175925925926E-3</v>
      </c>
      <c r="L16" s="51">
        <v>1.4011574074074074E-3</v>
      </c>
      <c r="M16" s="51">
        <v>1.377662037037037E-3</v>
      </c>
      <c r="N16" s="52">
        <v>1.3697916666666665E-3</v>
      </c>
      <c r="O16" s="51">
        <v>1.6878472222222221E-3</v>
      </c>
      <c r="P16" s="51">
        <v>1.6628472222222225E-3</v>
      </c>
      <c r="Q16" s="52">
        <v>1.637962962962963E-3</v>
      </c>
      <c r="R16" s="67">
        <v>1.644212962962963E-3</v>
      </c>
      <c r="S16" s="51">
        <v>1.6278935185185185E-3</v>
      </c>
      <c r="T16" s="51">
        <v>1.6129629629629632E-3</v>
      </c>
      <c r="U16" s="51">
        <v>1.5817129629629629E-3</v>
      </c>
      <c r="V16" s="52">
        <v>1.558912037037037E-3</v>
      </c>
      <c r="W16" s="51">
        <v>1.5829861111111112E-3</v>
      </c>
      <c r="X16" s="51">
        <v>1.570949074074074E-3</v>
      </c>
      <c r="Y16" s="51">
        <v>1.5564814814814814E-3</v>
      </c>
      <c r="Z16" s="52">
        <v>1.5517361111111109E-3</v>
      </c>
      <c r="AB16" s="46" t="s">
        <v>184</v>
      </c>
      <c r="AC16" s="94">
        <v>0.2</v>
      </c>
      <c r="AD16" s="94">
        <v>0.2</v>
      </c>
      <c r="AE16" s="95">
        <v>0.2</v>
      </c>
      <c r="AF16" s="94">
        <v>0</v>
      </c>
      <c r="AG16" s="94">
        <v>0</v>
      </c>
      <c r="AH16" s="94">
        <v>0.16</v>
      </c>
      <c r="AI16" s="94">
        <v>0.16</v>
      </c>
      <c r="AJ16" s="95">
        <v>0.16</v>
      </c>
      <c r="AK16" s="96">
        <v>0</v>
      </c>
      <c r="AL16" s="96">
        <v>0</v>
      </c>
      <c r="AM16" s="96">
        <v>0</v>
      </c>
      <c r="AN16" s="95">
        <v>0</v>
      </c>
      <c r="AO16" s="94">
        <v>0.18</v>
      </c>
      <c r="AP16" s="94">
        <v>0.18</v>
      </c>
      <c r="AQ16" s="95">
        <v>0.18</v>
      </c>
      <c r="AR16" s="99">
        <v>0</v>
      </c>
      <c r="AS16" s="96">
        <v>0</v>
      </c>
      <c r="AT16" s="94">
        <v>0.17</v>
      </c>
      <c r="AU16" s="94">
        <v>0.17</v>
      </c>
      <c r="AV16" s="95">
        <v>0.17</v>
      </c>
      <c r="AW16" s="94">
        <v>0</v>
      </c>
      <c r="AX16" s="94">
        <v>0</v>
      </c>
      <c r="AY16" s="94">
        <v>0</v>
      </c>
      <c r="AZ16" s="95">
        <v>0</v>
      </c>
      <c r="BB16" s="46" t="s">
        <v>184</v>
      </c>
      <c r="BC16" s="51">
        <f t="shared" si="47"/>
        <v>1.9152777777777779E-3</v>
      </c>
      <c r="BD16" s="51">
        <f t="shared" si="24"/>
        <v>1.8773611111111109E-3</v>
      </c>
      <c r="BE16" s="52">
        <f t="shared" si="25"/>
        <v>1.8218055555555552E-3</v>
      </c>
      <c r="BF16" s="51" t="str">
        <f t="shared" si="26"/>
        <v/>
      </c>
      <c r="BG16" s="51" t="str">
        <f t="shared" si="27"/>
        <v/>
      </c>
      <c r="BH16" s="51">
        <f t="shared" si="28"/>
        <v>1.7049583333333333E-3</v>
      </c>
      <c r="BI16" s="51">
        <f t="shared" si="29"/>
        <v>1.6571620370370373E-3</v>
      </c>
      <c r="BJ16" s="52">
        <f t="shared" si="30"/>
        <v>1.6026527777777777E-3</v>
      </c>
      <c r="BK16" s="51" t="str">
        <f t="shared" si="31"/>
        <v/>
      </c>
      <c r="BL16" s="51" t="str">
        <f t="shared" si="32"/>
        <v/>
      </c>
      <c r="BM16" s="51" t="str">
        <f t="shared" si="33"/>
        <v/>
      </c>
      <c r="BN16" s="52" t="str">
        <f t="shared" si="34"/>
        <v/>
      </c>
      <c r="BO16" s="51">
        <f t="shared" si="35"/>
        <v>1.9916597222222219E-3</v>
      </c>
      <c r="BP16" s="51">
        <f t="shared" si="36"/>
        <v>1.9621597222222223E-3</v>
      </c>
      <c r="BQ16" s="52">
        <f t="shared" si="37"/>
        <v>1.9327962962962964E-3</v>
      </c>
      <c r="BR16" s="67" t="str">
        <f t="shared" si="38"/>
        <v/>
      </c>
      <c r="BS16" s="51" t="str">
        <f t="shared" si="39"/>
        <v/>
      </c>
      <c r="BT16" s="51">
        <f t="shared" si="40"/>
        <v>1.887166666666667E-3</v>
      </c>
      <c r="BU16" s="51">
        <f t="shared" si="41"/>
        <v>1.8506041666666666E-3</v>
      </c>
      <c r="BV16" s="52">
        <f t="shared" si="42"/>
        <v>1.8239270833333334E-3</v>
      </c>
      <c r="BW16" s="51" t="str">
        <f t="shared" si="43"/>
        <v/>
      </c>
      <c r="BX16" s="51" t="str">
        <f t="shared" si="44"/>
        <v/>
      </c>
      <c r="BY16" s="51" t="str">
        <f t="shared" si="45"/>
        <v/>
      </c>
      <c r="BZ16" s="52" t="str">
        <f t="shared" si="46"/>
        <v/>
      </c>
    </row>
    <row r="17" spans="1:78" ht="14.65" thickBot="1" x14ac:dyDescent="0.5">
      <c r="A17" s="108"/>
      <c r="B17" s="49" t="s">
        <v>4</v>
      </c>
      <c r="C17" s="53">
        <v>1.7520833333333334E-3</v>
      </c>
      <c r="D17" s="53">
        <v>1.7156249999999999E-3</v>
      </c>
      <c r="E17" s="54">
        <v>1.662152777777778E-3</v>
      </c>
      <c r="F17" s="55">
        <v>1.6435185185185185E-3</v>
      </c>
      <c r="G17" s="53">
        <v>1.6241898148148146E-3</v>
      </c>
      <c r="H17" s="53">
        <v>1.60625E-3</v>
      </c>
      <c r="I17" s="53">
        <v>1.590625E-3</v>
      </c>
      <c r="J17" s="54">
        <v>1.5422453703703705E-3</v>
      </c>
      <c r="K17" s="53">
        <v>1.5498842592592593E-3</v>
      </c>
      <c r="L17" s="53">
        <v>1.5273148148148149E-3</v>
      </c>
      <c r="M17" s="53">
        <v>1.5002314814814815E-3</v>
      </c>
      <c r="N17" s="53">
        <v>1.4912037037037038E-3</v>
      </c>
      <c r="O17" s="55">
        <v>1.8891203703703704E-3</v>
      </c>
      <c r="P17" s="53">
        <v>1.8486111111111112E-3</v>
      </c>
      <c r="Q17" s="54">
        <v>1.8079861111111111E-3</v>
      </c>
      <c r="R17" s="53">
        <v>1.8180555555555554E-3</v>
      </c>
      <c r="S17" s="53">
        <v>1.7916666666666669E-3</v>
      </c>
      <c r="T17" s="53">
        <v>1.767361111111111E-3</v>
      </c>
      <c r="U17" s="53">
        <v>1.7174768518518518E-3</v>
      </c>
      <c r="V17" s="54">
        <v>1.6810185185185185E-3</v>
      </c>
      <c r="W17" s="55">
        <v>1.7194444444444444E-3</v>
      </c>
      <c r="X17" s="53">
        <v>1.7002314814814816E-3</v>
      </c>
      <c r="Y17" s="53">
        <v>1.677199074074074E-3</v>
      </c>
      <c r="Z17" s="54">
        <v>1.6695601851851852E-3</v>
      </c>
      <c r="AB17" s="49" t="s">
        <v>4</v>
      </c>
      <c r="AC17" s="100">
        <v>0.2</v>
      </c>
      <c r="AD17" s="100">
        <v>0.2</v>
      </c>
      <c r="AE17" s="101">
        <v>0.2</v>
      </c>
      <c r="AF17" s="102">
        <v>0</v>
      </c>
      <c r="AG17" s="100">
        <v>0</v>
      </c>
      <c r="AH17" s="100">
        <v>0.16</v>
      </c>
      <c r="AI17" s="100">
        <v>0.16</v>
      </c>
      <c r="AJ17" s="101">
        <v>0.16</v>
      </c>
      <c r="AK17" s="100">
        <v>0</v>
      </c>
      <c r="AL17" s="100">
        <v>0</v>
      </c>
      <c r="AM17" s="100">
        <v>0</v>
      </c>
      <c r="AN17" s="100">
        <v>0</v>
      </c>
      <c r="AO17" s="102">
        <v>0.18</v>
      </c>
      <c r="AP17" s="100">
        <v>0.18</v>
      </c>
      <c r="AQ17" s="101">
        <v>0.18</v>
      </c>
      <c r="AR17" s="100">
        <v>0</v>
      </c>
      <c r="AS17" s="100">
        <v>0</v>
      </c>
      <c r="AT17" s="100">
        <v>0.17</v>
      </c>
      <c r="AU17" s="100">
        <v>0.17</v>
      </c>
      <c r="AV17" s="101">
        <v>0.17</v>
      </c>
      <c r="AW17" s="102">
        <v>0</v>
      </c>
      <c r="AX17" s="100">
        <v>0</v>
      </c>
      <c r="AY17" s="100">
        <v>0</v>
      </c>
      <c r="AZ17" s="101">
        <v>0</v>
      </c>
      <c r="BB17" s="49" t="s">
        <v>4</v>
      </c>
      <c r="BC17" s="53">
        <f t="shared" si="47"/>
        <v>2.1025000000000002E-3</v>
      </c>
      <c r="BD17" s="53">
        <f t="shared" si="24"/>
        <v>2.0587499999999998E-3</v>
      </c>
      <c r="BE17" s="54">
        <f t="shared" si="25"/>
        <v>1.9945833333333335E-3</v>
      </c>
      <c r="BF17" s="55" t="str">
        <f t="shared" si="26"/>
        <v/>
      </c>
      <c r="BG17" s="53" t="str">
        <f t="shared" si="27"/>
        <v/>
      </c>
      <c r="BH17" s="53">
        <f t="shared" si="28"/>
        <v>1.8632500000000001E-3</v>
      </c>
      <c r="BI17" s="53">
        <f t="shared" si="29"/>
        <v>1.845125E-3</v>
      </c>
      <c r="BJ17" s="54">
        <f t="shared" si="30"/>
        <v>1.7890046296296298E-3</v>
      </c>
      <c r="BK17" s="53" t="str">
        <f t="shared" si="31"/>
        <v/>
      </c>
      <c r="BL17" s="53" t="str">
        <f t="shared" si="32"/>
        <v/>
      </c>
      <c r="BM17" s="53" t="str">
        <f t="shared" si="33"/>
        <v/>
      </c>
      <c r="BN17" s="53" t="str">
        <f t="shared" si="34"/>
        <v/>
      </c>
      <c r="BO17" s="55">
        <f t="shared" si="35"/>
        <v>2.2291620370370373E-3</v>
      </c>
      <c r="BP17" s="53">
        <f t="shared" si="36"/>
        <v>2.1813611111111113E-3</v>
      </c>
      <c r="BQ17" s="54">
        <f t="shared" si="37"/>
        <v>2.1334236111111111E-3</v>
      </c>
      <c r="BR17" s="53" t="str">
        <f t="shared" si="38"/>
        <v/>
      </c>
      <c r="BS17" s="53" t="str">
        <f t="shared" si="39"/>
        <v/>
      </c>
      <c r="BT17" s="53">
        <f t="shared" si="40"/>
        <v>2.0678124999999998E-3</v>
      </c>
      <c r="BU17" s="53">
        <f t="shared" si="41"/>
        <v>2.0094479166666668E-3</v>
      </c>
      <c r="BV17" s="54">
        <f t="shared" si="42"/>
        <v>1.9667916666666666E-3</v>
      </c>
      <c r="BW17" s="55" t="str">
        <f t="shared" si="43"/>
        <v/>
      </c>
      <c r="BX17" s="53" t="str">
        <f t="shared" si="44"/>
        <v/>
      </c>
      <c r="BY17" s="53" t="str">
        <f t="shared" si="45"/>
        <v/>
      </c>
      <c r="BZ17" s="54" t="str">
        <f t="shared" si="46"/>
        <v/>
      </c>
    </row>
    <row r="18" spans="1:78" ht="14.65" thickTop="1" x14ac:dyDescent="0.45">
      <c r="C18" s="29"/>
      <c r="O18" s="29"/>
      <c r="T18" s="32"/>
      <c r="U18" s="32"/>
      <c r="W18" s="33"/>
      <c r="X18" s="29"/>
      <c r="AD18" s="29"/>
    </row>
    <row r="21" spans="1:78" x14ac:dyDescent="0.45">
      <c r="C21" s="28"/>
      <c r="D21" s="31"/>
      <c r="E21" s="31"/>
      <c r="F21" s="31"/>
      <c r="G21" s="31"/>
      <c r="H21" s="31"/>
      <c r="O21" s="28"/>
      <c r="P21" s="31"/>
      <c r="Q21" s="31"/>
      <c r="R21" s="31"/>
      <c r="X21" s="28"/>
      <c r="Y21" s="34"/>
      <c r="Z21" s="34"/>
      <c r="AA21" s="34"/>
      <c r="AD21" s="28"/>
      <c r="AE21" s="34"/>
      <c r="AF21" s="34"/>
      <c r="AG21" s="34"/>
    </row>
    <row r="22" spans="1:78" x14ac:dyDescent="0.45">
      <c r="C22" s="29"/>
      <c r="D22" s="30"/>
      <c r="E22" s="30"/>
      <c r="F22" s="30"/>
      <c r="G22" s="30"/>
      <c r="H22" s="30"/>
      <c r="O22" s="29"/>
      <c r="P22" s="30"/>
      <c r="Q22" s="30"/>
      <c r="R22" s="30"/>
      <c r="X22" s="29"/>
      <c r="Y22" s="30"/>
      <c r="Z22" s="30"/>
      <c r="AA22" s="30"/>
      <c r="AD22" s="29"/>
      <c r="AE22" s="30"/>
      <c r="AF22" s="30"/>
      <c r="AG22" s="30"/>
    </row>
    <row r="23" spans="1:78" x14ac:dyDescent="0.45">
      <c r="C23" s="29"/>
      <c r="D23" s="30"/>
      <c r="E23" s="30"/>
      <c r="F23" s="30"/>
      <c r="G23" s="30"/>
      <c r="H23" s="30"/>
      <c r="O23" s="29"/>
      <c r="P23" s="30"/>
      <c r="Q23" s="30"/>
      <c r="R23" s="30"/>
      <c r="X23" s="29"/>
      <c r="Y23" s="30"/>
      <c r="Z23" s="30"/>
      <c r="AA23" s="30"/>
      <c r="AD23" s="29"/>
      <c r="AE23" s="30"/>
      <c r="AF23" s="30"/>
      <c r="AG23" s="30"/>
    </row>
    <row r="24" spans="1:78" x14ac:dyDescent="0.45">
      <c r="C24" s="29"/>
      <c r="D24" s="30"/>
      <c r="E24" s="30"/>
      <c r="F24" s="30"/>
      <c r="G24" s="30"/>
      <c r="H24" s="30"/>
      <c r="O24" s="29"/>
      <c r="P24" s="30"/>
      <c r="Q24" s="30"/>
      <c r="R24" s="30"/>
      <c r="X24" s="29"/>
      <c r="Y24" s="30"/>
      <c r="Z24" s="30"/>
      <c r="AA24" s="30"/>
      <c r="AD24" s="29"/>
      <c r="AE24" s="30"/>
      <c r="AF24" s="30"/>
      <c r="AG24" s="30"/>
    </row>
    <row r="25" spans="1:78" ht="14.25" customHeight="1" x14ac:dyDescent="0.45">
      <c r="C25" s="29"/>
      <c r="D25" s="30"/>
      <c r="E25" s="30"/>
      <c r="F25" s="30"/>
      <c r="G25" s="30"/>
      <c r="H25" s="30"/>
      <c r="O25" s="29"/>
      <c r="P25" s="30"/>
      <c r="Q25" s="30"/>
      <c r="R25" s="30"/>
      <c r="X25" s="29"/>
      <c r="Y25" s="30"/>
      <c r="Z25" s="30"/>
      <c r="AA25" s="30"/>
      <c r="AD25" s="29"/>
      <c r="AE25" s="30"/>
      <c r="AF25" s="30"/>
      <c r="AG25" s="30"/>
    </row>
    <row r="26" spans="1:78" x14ac:dyDescent="0.45">
      <c r="C26" s="29"/>
      <c r="D26" s="30"/>
      <c r="E26" s="30"/>
      <c r="F26" s="30"/>
      <c r="G26" s="30"/>
      <c r="H26" s="30"/>
      <c r="O26" s="29"/>
      <c r="P26" s="30"/>
      <c r="Q26" s="30"/>
      <c r="R26" s="30"/>
      <c r="X26" s="29"/>
      <c r="Y26" s="30"/>
      <c r="Z26" s="30"/>
      <c r="AA26" s="30"/>
      <c r="AD26" s="29"/>
      <c r="AE26" s="30"/>
      <c r="AF26" s="30"/>
      <c r="AG26" s="30"/>
    </row>
    <row r="27" spans="1:78" x14ac:dyDescent="0.45">
      <c r="C27" s="29"/>
      <c r="D27" s="30"/>
      <c r="E27" s="30"/>
      <c r="F27" s="30"/>
      <c r="G27" s="30"/>
      <c r="H27" s="30"/>
      <c r="O27" s="29"/>
      <c r="P27" s="30"/>
      <c r="Q27" s="30"/>
      <c r="R27" s="30"/>
      <c r="X27" s="29"/>
      <c r="Y27" s="30"/>
      <c r="Z27" s="30"/>
      <c r="AA27" s="30"/>
      <c r="AD27" s="29"/>
      <c r="AE27" s="30"/>
      <c r="AF27" s="30"/>
      <c r="AG27" s="30"/>
    </row>
    <row r="30" spans="1:78" x14ac:dyDescent="0.45">
      <c r="C30" s="28"/>
      <c r="D30" s="31"/>
      <c r="E30" s="31"/>
      <c r="F30" s="31"/>
      <c r="G30" s="31"/>
      <c r="H30" s="31"/>
      <c r="P30" s="32"/>
    </row>
    <row r="31" spans="1:78" x14ac:dyDescent="0.45">
      <c r="C31" s="29"/>
      <c r="D31" s="30"/>
      <c r="E31" s="30"/>
      <c r="F31" s="30"/>
      <c r="G31" s="30"/>
      <c r="H31" s="30"/>
    </row>
    <row r="40" spans="3:8" x14ac:dyDescent="0.45">
      <c r="C40" s="29"/>
      <c r="D40" s="30"/>
      <c r="E40" s="30"/>
      <c r="F40" s="30"/>
      <c r="G40" s="30"/>
      <c r="H40" s="30"/>
    </row>
    <row r="41" spans="3:8" x14ac:dyDescent="0.45">
      <c r="C41" s="29"/>
      <c r="D41" s="30"/>
      <c r="E41" s="30"/>
      <c r="F41" s="30"/>
      <c r="G41" s="30"/>
      <c r="H41" s="30"/>
    </row>
    <row r="42" spans="3:8" x14ac:dyDescent="0.45">
      <c r="C42" s="29"/>
      <c r="D42" s="30"/>
      <c r="E42" s="30"/>
      <c r="F42" s="30"/>
      <c r="G42" s="30"/>
      <c r="H42" s="30"/>
    </row>
    <row r="43" spans="3:8" x14ac:dyDescent="0.45">
      <c r="C43" s="29"/>
      <c r="D43" s="30"/>
      <c r="E43" s="30"/>
      <c r="F43" s="30"/>
      <c r="G43" s="30"/>
      <c r="H43" s="30"/>
    </row>
    <row r="44" spans="3:8" x14ac:dyDescent="0.45">
      <c r="C44" s="29"/>
      <c r="D44" s="30"/>
      <c r="E44" s="30"/>
      <c r="F44" s="30"/>
      <c r="G44" s="30"/>
      <c r="H44" s="30"/>
    </row>
    <row r="45" spans="3:8" x14ac:dyDescent="0.45">
      <c r="C45" s="29"/>
      <c r="D45" s="30"/>
      <c r="E45" s="30"/>
      <c r="F45" s="30"/>
      <c r="G45" s="30"/>
      <c r="H45" s="30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8" priority="1" operator="equal">
      <formula>0</formula>
    </cfRule>
  </conditionalFormatting>
  <conditionalFormatting sqref="AC12:AZ17">
    <cfRule type="cellIs" dxfId="7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4"/>
  <sheetViews>
    <sheetView workbookViewId="0">
      <selection activeCell="F19" sqref="F19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194</v>
      </c>
      <c r="G1" t="s">
        <v>191</v>
      </c>
      <c r="H1" t="s">
        <v>190</v>
      </c>
    </row>
    <row r="2" spans="1:8" x14ac:dyDescent="0.45">
      <c r="A2" s="35">
        <v>46186</v>
      </c>
      <c r="C2" s="36">
        <v>0.41666666666666669</v>
      </c>
      <c r="D2" s="36">
        <v>0.76041666666666663</v>
      </c>
      <c r="E2" s="37" t="s">
        <v>195</v>
      </c>
      <c r="F2" s="37" t="s">
        <v>196</v>
      </c>
      <c r="G2" t="s">
        <v>197</v>
      </c>
      <c r="H2" t="s">
        <v>273</v>
      </c>
    </row>
    <row r="3" spans="1:8" x14ac:dyDescent="0.45">
      <c r="A3" s="35">
        <v>46187</v>
      </c>
      <c r="C3" s="36">
        <v>0.5625</v>
      </c>
      <c r="D3" s="36">
        <v>0.64583333333333337</v>
      </c>
      <c r="E3" s="37" t="s">
        <v>192</v>
      </c>
      <c r="F3" s="37" t="s">
        <v>198</v>
      </c>
      <c r="G3" t="s">
        <v>193</v>
      </c>
      <c r="H3" t="s">
        <v>274</v>
      </c>
    </row>
    <row r="4" spans="1:8" x14ac:dyDescent="0.45">
      <c r="A4" s="35">
        <v>46199</v>
      </c>
      <c r="B4" s="35">
        <v>46203</v>
      </c>
      <c r="C4" s="36">
        <v>0</v>
      </c>
      <c r="D4" s="36">
        <v>0.99930555555555556</v>
      </c>
      <c r="E4" s="37" t="s">
        <v>199</v>
      </c>
      <c r="F4" s="37" t="s">
        <v>200</v>
      </c>
      <c r="G4" t="s">
        <v>201</v>
      </c>
      <c r="H4" t="s">
        <v>273</v>
      </c>
    </row>
    <row r="5" spans="1:8" x14ac:dyDescent="0.45">
      <c r="A5" s="35">
        <v>46201</v>
      </c>
      <c r="C5" s="36">
        <v>0.41666666666666669</v>
      </c>
      <c r="D5" s="36">
        <v>0.75</v>
      </c>
      <c r="E5" s="37" t="s">
        <v>202</v>
      </c>
      <c r="F5" s="37" t="s">
        <v>226</v>
      </c>
      <c r="G5" t="s">
        <v>203</v>
      </c>
      <c r="H5" t="s">
        <v>275</v>
      </c>
    </row>
    <row r="6" spans="1:8" x14ac:dyDescent="0.45">
      <c r="A6" s="35">
        <v>46215</v>
      </c>
      <c r="C6" s="36"/>
      <c r="D6" s="36"/>
      <c r="E6" s="37" t="s">
        <v>192</v>
      </c>
      <c r="F6" s="37" t="s">
        <v>276</v>
      </c>
      <c r="G6" t="s">
        <v>193</v>
      </c>
      <c r="H6" t="s">
        <v>274</v>
      </c>
    </row>
    <row r="7" spans="1:8" x14ac:dyDescent="0.45">
      <c r="A7" s="35">
        <v>46228</v>
      </c>
      <c r="C7" s="36">
        <v>0</v>
      </c>
      <c r="D7" s="36">
        <v>0.99930555555555556</v>
      </c>
      <c r="E7" s="37" t="s">
        <v>204</v>
      </c>
      <c r="F7" s="37" t="s">
        <v>205</v>
      </c>
      <c r="G7" t="s">
        <v>206</v>
      </c>
      <c r="H7" t="s">
        <v>207</v>
      </c>
    </row>
    <row r="8" spans="1:8" x14ac:dyDescent="0.45">
      <c r="A8" s="35">
        <v>46285</v>
      </c>
      <c r="C8" s="36"/>
      <c r="D8" s="36"/>
      <c r="E8" s="37" t="s">
        <v>192</v>
      </c>
      <c r="F8" s="37" t="s">
        <v>277</v>
      </c>
      <c r="G8" t="s">
        <v>193</v>
      </c>
      <c r="H8" t="s">
        <v>274</v>
      </c>
    </row>
    <row r="9" spans="1:8" x14ac:dyDescent="0.45">
      <c r="A9" s="35">
        <v>46320</v>
      </c>
      <c r="C9" s="36"/>
      <c r="D9" s="36"/>
      <c r="E9" s="37" t="s">
        <v>192</v>
      </c>
      <c r="F9" s="37" t="s">
        <v>277</v>
      </c>
      <c r="G9" t="s">
        <v>193</v>
      </c>
      <c r="H9" t="s">
        <v>274</v>
      </c>
    </row>
    <row r="10" spans="1:8" x14ac:dyDescent="0.45">
      <c r="A10" s="35">
        <v>46320</v>
      </c>
      <c r="C10" s="36"/>
      <c r="D10" s="36"/>
      <c r="E10" s="37" t="s">
        <v>195</v>
      </c>
      <c r="F10" s="37" t="s">
        <v>277</v>
      </c>
      <c r="G10" t="s">
        <v>193</v>
      </c>
      <c r="H10" t="s">
        <v>273</v>
      </c>
    </row>
    <row r="11" spans="1:8" x14ac:dyDescent="0.45">
      <c r="A11" s="35">
        <v>46341</v>
      </c>
      <c r="C11" s="36"/>
      <c r="D11" s="36"/>
      <c r="E11" s="37" t="s">
        <v>192</v>
      </c>
      <c r="F11" s="37" t="s">
        <v>277</v>
      </c>
      <c r="G11" t="s">
        <v>193</v>
      </c>
      <c r="H11" t="s">
        <v>274</v>
      </c>
    </row>
    <row r="12" spans="1:8" x14ac:dyDescent="0.45">
      <c r="A12" s="35">
        <v>46341</v>
      </c>
      <c r="C12" s="36"/>
      <c r="D12" s="36"/>
      <c r="E12" s="37" t="s">
        <v>195</v>
      </c>
      <c r="F12" s="37" t="s">
        <v>277</v>
      </c>
      <c r="G12" t="s">
        <v>193</v>
      </c>
      <c r="H12" t="s">
        <v>273</v>
      </c>
    </row>
    <row r="13" spans="1:8" x14ac:dyDescent="0.45">
      <c r="A13" s="35">
        <v>46376</v>
      </c>
      <c r="C13" s="36"/>
      <c r="D13" s="36"/>
      <c r="E13" s="37" t="s">
        <v>192</v>
      </c>
      <c r="F13" s="37" t="s">
        <v>277</v>
      </c>
      <c r="G13" t="s">
        <v>193</v>
      </c>
      <c r="H13" t="s">
        <v>274</v>
      </c>
    </row>
    <row r="14" spans="1:8" x14ac:dyDescent="0.45">
      <c r="A14" s="35">
        <v>46376</v>
      </c>
      <c r="C14" s="36"/>
      <c r="D14" s="36"/>
      <c r="E14" s="37" t="s">
        <v>195</v>
      </c>
      <c r="F14" s="37" t="s">
        <v>277</v>
      </c>
      <c r="G14" t="s">
        <v>193</v>
      </c>
      <c r="H14" t="s">
        <v>273</v>
      </c>
    </row>
  </sheetData>
  <conditionalFormatting sqref="A2:H14">
    <cfRule type="expression" dxfId="6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2026-05-18T06:26:16Z</dcterms:modified>
</cp:coreProperties>
</file>