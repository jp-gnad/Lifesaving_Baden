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C39D0693-B613-44E4-AABF-3CD019BF5876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9" i="13" l="1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<sst xmlns="http://schemas.openxmlformats.org/spreadsheetml/2006/main" count="1090" uniqueCount="273">
  <si>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</si>
  <si>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</si>
  <si>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</si>
  <si>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</si>
  <si>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</si>
  <si>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</si>
  <si>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</si>
  <si>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</si>
  <si>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</si>
  <si>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</si>
  <si>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</si>
  <si>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</si>
  <si>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</si>
  <si>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</si>
  <si>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</si>
  <si>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</si>
  <si>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</si>
  <si>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</si>
  <si>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</si>
  <si>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</si>
  <si>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</si>
  <si>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</si>
  <si>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</si>
  <si>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</si>
  <si>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</si>
  <si>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</si>
  <si>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</si>
  <si>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</si>
  <si>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</si>
  <si>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</si>
  <si>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</si>
  <si>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</si>
  <si>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</si>
  <si>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</si>
  <si>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</si>
  <si>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</si>
  <si>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</si>
  <si>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</si>
  <si>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</si>
  <si>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</si>
  <si>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</si>
  <si>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</si>
  <si>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</si>
  <si>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</si>
  <si>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</si>
  <si>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</si>
  <si>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</si>
  <si>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</si>
  <si>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</si>
  <si>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</si>
  <si>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</si>
  <si>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</si>
  <si>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</si>
  <si>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</si>
  <si>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</si>
  <si>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</si>
  <si>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</si>
  <si>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</si>
  <si>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</si>
  <si>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</si>
  <si>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</si>
  <si>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</si>
  <si>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</si>
  <si>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</si>
  <si>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</si>
  <si>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</si>
  <si>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</si>
  <si>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</si>
  <si>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</si>
  <si>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</si>
  <si>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</si>
  <si>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</si>
  <si>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</si>
  <si>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</si>
  <si>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</si>
  <si>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</si>
  <si>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</si>
  <si>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</si>
  <si>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</si>
  <si>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</si>
  <si>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</si>
  <si>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</si>
  <si>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</si>
  <si>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</si>
  <si>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</si>
  <si>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</si>
  <si>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</si>
  <si>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</si>
  <si>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</si>
  <si>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</si>
  <si>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</si>
  <si>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</si>
  <si>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</si>
  <si>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</si>
  <si>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</si>
  <si>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</si>
  <si>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</si>
  <si>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</si>
  <si>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</si>
  <si>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</si>
  <si>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</si>
  <si>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</si>
  <si>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</si>
  <si>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</si>
  <si>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</si>
  <si>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</si>
  <si>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</si>
  <si>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</si>
  <si>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</si>
  <si>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</si>
  <si>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</si>
  <si>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</si>
  <si>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</si>
  <si>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</si>
  <si>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</si>
  <si>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</si>
  <si>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</si>
  <si>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</si>
  <si>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</si>
  <si>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</si>
  <si>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</si>
  <si>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</si>
  <si>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</si>
  <si>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</si>
  <si>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</si>
  <si>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</si>
  <si>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</si>
  <si>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</si>
  <si>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</si>
  <si>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</si>
  <si>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</si>
  <si>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</si>
  <si>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</si>
  <si>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</si>
  <si>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</si>
  <si>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</si>
  <si>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</si>
  <si>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</si>
  <si>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</si>
  <si>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</si>
  <si>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</si>
  <si>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</si>
  <si>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</si>
  <si>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</si>
  <si>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</si>
  <si>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</si>
  <si>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</si>
  <si>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</si>
  <si>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</si>
  <si>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</si>
  <si>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</si>
  <si>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</si>
  <si>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</si>
  <si>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</si>
  <si>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</si>
  <si>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</si>
  <si>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</si>
  <si>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</si>
  <si>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</si>
  <si>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</si>
  <si>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</si>
  <si>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</si>
  <si>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</si>
  <si>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</si>
  <si>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</si>
  <si>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</si>
  <si>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</si>
  <si>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</si>
  <si>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</si>
  <si>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</si>
  <si>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</si>
  <si>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</si>
  <si>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</si>
  <si>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</si>
  <si>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</si>
  <si>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</si>
  <si>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</si>
  <si>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</si>
  <si>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</si>
  <si>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</si>
  <si>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</si>
  <si>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</si>
  <si>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</si>
  <si>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</si>
  <si>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</si>
  <si>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</si>
  <si>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</si>
  <si>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</si>
  <si>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</si>
  <si>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</si>
  <si>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</si>
  <si>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</si>
  <si>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</si>
  <si>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</si>
  <si>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</si>
  <si>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</si>
  <si>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</si>
  <si>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</si>
  <si>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</si>
  <si>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</si>
  <si>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</si>
  <si>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</si>
  <si>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</si>
  <si>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</si>
  <si>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</si>
  <si>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</si>
  <si>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</si>
  <si>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</si>
  <si>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</si>
  <si>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</si>
  <si>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</si>
  <si>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</si>
  <si>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</si>
  <si>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</si>
  <si>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</si>
  <si>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</si>
  <si>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</si>
  <si>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</si>
  <si>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</si>
  <si>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</si>
  <si>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</si>
  <si>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</si>
  <si>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</si>
  <si>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</si>
  <si>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</si>
  <si>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</si>
  <si>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</si>
  <si>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</si>
  <si>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</si>
  <si>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</si>
  <si>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</si>
  <si>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</si>
  <si>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</si>
  <si>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</si>
  <si>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</si>
  <si>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</si>
  <si>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</si>
  <si>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</si>
  <si>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</si>
  <si>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</si>
  <si>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</si>
  <si>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</si>
  <si>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</si>
  <si>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</si>
  <si>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</si>
  <si>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</si>
  <si>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</si>
  <si>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</si>
  <si>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</si>
  <si>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</si>
  <si>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</si>
  <si>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</si>
  <si>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</si>
  <si>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</si>
  <si>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</si>
  <si>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</si>
  <si>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</si>
  <si>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</si>
  <si>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</si>
  <si>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</si>
  <si>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</si>
  <si>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</si>
  <si>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</si>
  <si>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</si>
  <si>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</si>
  <si>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</si>
  <si>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</si>
  <si>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</si>
  <si>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</si>
  <si>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</si>
  <si>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</si>
  <si>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+30% Mäner</t>
  </si>
  <si>
    <t>NK1 +30%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</si>
</sst>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JRP!$M$2:$M$105</c:f>
              <c:numCache>
                <c:formatCode>m:ss.00</c:formatCode>
                <c:ptCount val="104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4.5775462962962962E-4</c:v>
                </c:pt>
                <c:pt idx="33">
                  <c:v>4.6281828703703703E-4</c:v>
                </c:pt>
                <c:pt idx="34">
                  <c:v>4.6730324074074068E-4</c:v>
                </c:pt>
                <c:pt idx="35">
                  <c:v>5.6626157407407406E-4</c:v>
                </c:pt>
                <c:pt idx="36">
                  <c:v>5.7769097222222228E-4</c:v>
                </c:pt>
                <c:pt idx="37">
                  <c:v>5.8854166666666668E-4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4.6944444444444442E-4</c:v>
                </c:pt>
                <c:pt idx="99">
                  <c:v>4.6523148148148151E-4</c:v>
                </c:pt>
                <c:pt idx="100">
                  <c:v>4.5244212962962968E-4</c:v>
                </c:pt>
                <c:pt idx="101">
                  <c:v>5.73263888888889E-4</c:v>
                </c:pt>
                <c:pt idx="102">
                  <c:v>5.6393518518518522E-4</c:v>
                </c:pt>
                <c:pt idx="103">
                  <c:v>5.3504629629629627E-4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JRP!$N$2:$N$105</c:f>
              <c:numCache>
                <c:formatCode>m:ss.00</c:formatCode>
                <c:ptCount val="104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7.2410300925925919E-4</c:v>
                </c:pt>
                <c:pt idx="33">
                  <c:v>7.311921296296297E-4</c:v>
                </c:pt>
                <c:pt idx="34">
                  <c:v>7.378472222222222E-4</c:v>
                </c:pt>
                <c:pt idx="35">
                  <c:v>8.521412037037037E-4</c:v>
                </c:pt>
                <c:pt idx="36">
                  <c:v>8.6183449074074081E-4</c:v>
                </c:pt>
                <c:pt idx="37">
                  <c:v>8.7080439814814811E-4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7.4328703703703709E-4</c:v>
                </c:pt>
                <c:pt idx="99">
                  <c:v>7.3726851851851861E-4</c:v>
                </c:pt>
                <c:pt idx="100">
                  <c:v>7.1846064814814819E-4</c:v>
                </c:pt>
                <c:pt idx="101">
                  <c:v>8.7313657407407414E-4</c:v>
                </c:pt>
                <c:pt idx="102">
                  <c:v>8.6501157407407403E-4</c:v>
                </c:pt>
                <c:pt idx="103">
                  <c:v>8.3988425925925929E-4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JRP!$O$2:$O$105</c:f>
              <c:numCache>
                <c:formatCode>m:ss.00</c:formatCode>
                <c:ptCount val="104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9.8365162037037019E-4</c:v>
                </c:pt>
                <c:pt idx="33">
                  <c:v>9.9797453703703702E-4</c:v>
                </c:pt>
                <c:pt idx="34">
                  <c:v>1.0112847222222224E-3</c:v>
                </c:pt>
                <c:pt idx="35">
                  <c:v>1.1524884259259259E-3</c:v>
                </c:pt>
                <c:pt idx="36">
                  <c:v>1.1731770833333334E-3</c:v>
                </c:pt>
                <c:pt idx="37">
                  <c:v>1.1922743055555556E-3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1.0034375E-3</c:v>
                </c:pt>
                <c:pt idx="99">
                  <c:v>9.9155092592592611E-4</c:v>
                </c:pt>
                <c:pt idx="100">
                  <c:v>9.5453703703703705E-4</c:v>
                </c:pt>
                <c:pt idx="101">
                  <c:v>1.1704513888888888E-3</c:v>
                </c:pt>
                <c:pt idx="102">
                  <c:v>1.1534490740740741E-3</c:v>
                </c:pt>
                <c:pt idx="103">
                  <c:v>1.101087962962963E-3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JRP!$P$2:$P$105</c:f>
              <c:numCache>
                <c:formatCode>m:ss.00</c:formatCode>
                <c:ptCount val="104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8.2494212962962968E-4</c:v>
                </c:pt>
                <c:pt idx="33">
                  <c:v>8.427372685185186E-4</c:v>
                </c:pt>
                <c:pt idx="34">
                  <c:v>8.5908564814814821E-4</c:v>
                </c:pt>
                <c:pt idx="35">
                  <c:v>9.4646990740740737E-4</c:v>
                </c:pt>
                <c:pt idx="36">
                  <c:v>9.6035879629629618E-4</c:v>
                </c:pt>
                <c:pt idx="37">
                  <c:v>9.730902777777778E-4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8.3371527777777773E-4</c:v>
                </c:pt>
                <c:pt idx="99">
                  <c:v>8.1927083333333331E-4</c:v>
                </c:pt>
                <c:pt idx="100">
                  <c:v>7.7473379629629626E-4</c:v>
                </c:pt>
                <c:pt idx="101">
                  <c:v>9.6537037037037034E-4</c:v>
                </c:pt>
                <c:pt idx="102">
                  <c:v>9.5378472222222229E-4</c:v>
                </c:pt>
                <c:pt idx="103">
                  <c:v>9.181250000000001E-4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JRP!$Q$2:$Q$105</c:f>
              <c:numCache>
                <c:formatCode>m:ss.00</c:formatCode>
                <c:ptCount val="104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2.0394965277777777E-3</c:v>
                </c:pt>
                <c:pt idx="33">
                  <c:v>2.0636574074074073E-3</c:v>
                </c:pt>
                <c:pt idx="34">
                  <c:v>2.0860821759259261E-3</c:v>
                </c:pt>
                <c:pt idx="35">
                  <c:v>2.2309027777777774E-3</c:v>
                </c:pt>
                <c:pt idx="36">
                  <c:v>2.2473958333333335E-3</c:v>
                </c:pt>
                <c:pt idx="37">
                  <c:v>2.2627314814814815E-3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2.0881250000000001E-3</c:v>
                </c:pt>
                <c:pt idx="99">
                  <c:v>2.0678125000000002E-3</c:v>
                </c:pt>
                <c:pt idx="100">
                  <c:v>2.0049189814814817E-3</c:v>
                </c:pt>
                <c:pt idx="101">
                  <c:v>2.2975694444444445E-3</c:v>
                </c:pt>
                <c:pt idx="102">
                  <c:v>2.2834259259259262E-3</c:v>
                </c:pt>
                <c:pt idx="103">
                  <c:v>2.2396412037037038E-3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JRP!$R$2:$R$105</c:f>
              <c:numCache>
                <c:formatCode>m:ss.00</c:formatCode>
                <c:ptCount val="104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1.8660300925925923E-3</c:v>
                </c:pt>
                <c:pt idx="33">
                  <c:v>1.8880208333333333E-3</c:v>
                </c:pt>
                <c:pt idx="34">
                  <c:v>1.9082754629629632E-3</c:v>
                </c:pt>
                <c:pt idx="35">
                  <c:v>2.0263310185185185E-3</c:v>
                </c:pt>
                <c:pt idx="36">
                  <c:v>2.0339988425925925E-3</c:v>
                </c:pt>
                <c:pt idx="37">
                  <c:v>2.0410879629629629E-3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1.9107291666666667E-3</c:v>
                </c:pt>
                <c:pt idx="99">
                  <c:v>1.8922222222222224E-3</c:v>
                </c:pt>
                <c:pt idx="100">
                  <c:v>1.8350462962962962E-3</c:v>
                </c:pt>
                <c:pt idx="101">
                  <c:v>2.0968518518518523E-3</c:v>
                </c:pt>
                <c:pt idx="102">
                  <c:v>2.090231481481482E-3</c:v>
                </c:pt>
                <c:pt idx="103">
                  <c:v>2.0694675925925924E-3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JRP!$S$2:$S$105</c:f>
              <c:numCache>
                <c:formatCode>m:ss.00</c:formatCode>
                <c:ptCount val="104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4.5775462962962962E-4</c:v>
                </c:pt>
                <c:pt idx="33">
                  <c:v>4.6281828703703703E-4</c:v>
                </c:pt>
                <c:pt idx="34">
                  <c:v>4.6730324074074068E-4</c:v>
                </c:pt>
                <c:pt idx="35">
                  <c:v>5.6626157407407406E-4</c:v>
                </c:pt>
                <c:pt idx="36">
                  <c:v>5.7769097222222228E-4</c:v>
                </c:pt>
                <c:pt idx="37">
                  <c:v>5.8854166666666668E-4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4.6944444444444442E-4</c:v>
                </c:pt>
                <c:pt idx="99">
                  <c:v>4.6523148148148151E-4</c:v>
                </c:pt>
                <c:pt idx="100">
                  <c:v>4.5244212962962968E-4</c:v>
                </c:pt>
                <c:pt idx="101">
                  <c:v>5.73263888888889E-4</c:v>
                </c:pt>
                <c:pt idx="102">
                  <c:v>5.6393518518518522E-4</c:v>
                </c:pt>
                <c:pt idx="103">
                  <c:v>5.3504629629629627E-4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JRP!$T$2:$T$105</c:f>
              <c:numCache>
                <c:formatCode>m:ss.00</c:formatCode>
                <c:ptCount val="104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7.2410300925925919E-4</c:v>
                </c:pt>
                <c:pt idx="33">
                  <c:v>7.311921296296297E-4</c:v>
                </c:pt>
                <c:pt idx="34">
                  <c:v>7.378472222222222E-4</c:v>
                </c:pt>
                <c:pt idx="35">
                  <c:v>8.521412037037037E-4</c:v>
                </c:pt>
                <c:pt idx="36">
                  <c:v>8.6183449074074081E-4</c:v>
                </c:pt>
                <c:pt idx="37">
                  <c:v>8.7080439814814811E-4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7.4328703703703709E-4</c:v>
                </c:pt>
                <c:pt idx="99">
                  <c:v>7.3726851851851861E-4</c:v>
                </c:pt>
                <c:pt idx="100">
                  <c:v>7.1846064814814819E-4</c:v>
                </c:pt>
                <c:pt idx="101">
                  <c:v>8.7313657407407414E-4</c:v>
                </c:pt>
                <c:pt idx="102">
                  <c:v>8.6501157407407403E-4</c:v>
                </c:pt>
                <c:pt idx="103">
                  <c:v>8.3988425925925929E-4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JRP!$U$2:$U$105</c:f>
              <c:numCache>
                <c:formatCode>m:ss.00</c:formatCode>
                <c:ptCount val="104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9.8365162037037019E-4</c:v>
                </c:pt>
                <c:pt idx="33">
                  <c:v>9.9797453703703702E-4</c:v>
                </c:pt>
                <c:pt idx="34">
                  <c:v>1.0112847222222224E-3</c:v>
                </c:pt>
                <c:pt idx="35">
                  <c:v>1.1524884259259259E-3</c:v>
                </c:pt>
                <c:pt idx="36">
                  <c:v>1.1731770833333334E-3</c:v>
                </c:pt>
                <c:pt idx="37">
                  <c:v>1.1922743055555556E-3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1.0034375E-3</c:v>
                </c:pt>
                <c:pt idx="99">
                  <c:v>9.9155092592592611E-4</c:v>
                </c:pt>
                <c:pt idx="100">
                  <c:v>9.5453703703703705E-4</c:v>
                </c:pt>
                <c:pt idx="101">
                  <c:v>1.1704513888888888E-3</c:v>
                </c:pt>
                <c:pt idx="102">
                  <c:v>1.1534490740740741E-3</c:v>
                </c:pt>
                <c:pt idx="103">
                  <c:v>1.101087962962963E-3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JRP!$V$2:$V$105</c:f>
              <c:numCache>
                <c:formatCode>m:ss.00</c:formatCode>
                <c:ptCount val="104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8.2494212962962968E-4</c:v>
                </c:pt>
                <c:pt idx="33">
                  <c:v>8.427372685185186E-4</c:v>
                </c:pt>
                <c:pt idx="34">
                  <c:v>8.5908564814814821E-4</c:v>
                </c:pt>
                <c:pt idx="35">
                  <c:v>9.4646990740740737E-4</c:v>
                </c:pt>
                <c:pt idx="36">
                  <c:v>9.6035879629629618E-4</c:v>
                </c:pt>
                <c:pt idx="37">
                  <c:v>9.730902777777778E-4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8.3371527777777773E-4</c:v>
                </c:pt>
                <c:pt idx="99">
                  <c:v>8.1927083333333331E-4</c:v>
                </c:pt>
                <c:pt idx="100">
                  <c:v>7.7473379629629626E-4</c:v>
                </c:pt>
                <c:pt idx="101">
                  <c:v>9.6537037037037034E-4</c:v>
                </c:pt>
                <c:pt idx="102">
                  <c:v>9.5378472222222229E-4</c:v>
                </c:pt>
                <c:pt idx="103">
                  <c:v>9.181250000000001E-4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JRP!$W$2:$W$105</c:f>
              <c:numCache>
                <c:formatCode>m:ss.00</c:formatCode>
                <c:ptCount val="104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2.0394965277777777E-3</c:v>
                </c:pt>
                <c:pt idx="33">
                  <c:v>2.0636574074074073E-3</c:v>
                </c:pt>
                <c:pt idx="34">
                  <c:v>2.0860821759259261E-3</c:v>
                </c:pt>
                <c:pt idx="35">
                  <c:v>2.2309027777777774E-3</c:v>
                </c:pt>
                <c:pt idx="36">
                  <c:v>2.2473958333333335E-3</c:v>
                </c:pt>
                <c:pt idx="37">
                  <c:v>2.2627314814814815E-3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2.0881250000000001E-3</c:v>
                </c:pt>
                <c:pt idx="99">
                  <c:v>2.0678125000000002E-3</c:v>
                </c:pt>
                <c:pt idx="100">
                  <c:v>2.0049189814814817E-3</c:v>
                </c:pt>
                <c:pt idx="101">
                  <c:v>2.2975694444444445E-3</c:v>
                </c:pt>
                <c:pt idx="102">
                  <c:v>2.2834259259259262E-3</c:v>
                </c:pt>
                <c:pt idx="103">
                  <c:v>2.2396412037037038E-3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JRP!$X$2:$X$105</c:f>
              <c:numCache>
                <c:formatCode>m:ss.00</c:formatCode>
                <c:ptCount val="104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1.8660300925925923E-3</c:v>
                </c:pt>
                <c:pt idx="33">
                  <c:v>1.8880208333333333E-3</c:v>
                </c:pt>
                <c:pt idx="34">
                  <c:v>1.9082754629629632E-3</c:v>
                </c:pt>
                <c:pt idx="35">
                  <c:v>2.0263310185185185E-3</c:v>
                </c:pt>
                <c:pt idx="36">
                  <c:v>2.0339988425925925E-3</c:v>
                </c:pt>
                <c:pt idx="37">
                  <c:v>2.0410879629629629E-3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1.9107291666666667E-3</c:v>
                </c:pt>
                <c:pt idx="99">
                  <c:v>1.8922222222222224E-3</c:v>
                </c:pt>
                <c:pt idx="100">
                  <c:v>1.8350462962962962E-3</c:v>
                </c:pt>
                <c:pt idx="101">
                  <c:v>2.0968518518518523E-3</c:v>
                </c:pt>
                <c:pt idx="102">
                  <c:v>2.090231481481482E-3</c:v>
                </c:pt>
                <c:pt idx="103">
                  <c:v>2.0694675925925924E-3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1058223</xdr:colOff>
      <xdr:row>105</xdr:row>
      <xdr:rowOff>95547</xdr:rowOff>
    </xdr:from>
    <xdr:to>
      <xdr:col>25</xdr:col>
      <xdr:colOff>744899</xdr:colOff>
      <xdr:row>143</xdr:row>
      <xdr:rowOff>151946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05" totalsRowShown="0" headerRowDxfId="43" dataDxfId="42">
  <autoFilter ref="A1:X10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8"/>
  <sheetViews>
    <sheetView tabSelected="1" topLeftCell="A26" zoomScale="101" workbookViewId="0">
      <selection activeCell="C54" sqref="C5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14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14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NK!E14</f>
        <v>4.5775462962962962E-4</v>
      </c>
      <c r="N34" s="62">
        <f>NK!E16</f>
        <v>7.2410300925925919E-4</v>
      </c>
      <c r="O34" s="62">
        <f>NK!E15</f>
        <v>9.8365162037037019E-4</v>
      </c>
      <c r="P34" s="62">
        <f>NK!E17</f>
        <v>8.2494212962962968E-4</v>
      </c>
      <c r="Q34" s="62">
        <f>NK!E19</f>
        <v>2.0394965277777777E-3</v>
      </c>
      <c r="R34" s="62">
        <f>NK!E18</f>
        <v>1.8660300925925923E-3</v>
      </c>
      <c r="S34" s="62">
        <f>M34</f>
        <v>4.5775462962962962E-4</v>
      </c>
      <c r="T34" s="62">
        <f t="shared" ref="T34:T39" si="0">N34</f>
        <v>7.2410300925925919E-4</v>
      </c>
      <c r="U34" s="62">
        <f t="shared" ref="U34:U39" si="1">O34</f>
        <v>9.8365162037037019E-4</v>
      </c>
      <c r="V34" s="62">
        <f t="shared" ref="V34:V39" si="2">P34</f>
        <v>8.2494212962962968E-4</v>
      </c>
      <c r="W34" s="62">
        <f t="shared" ref="W34:W39" si="3">Q34</f>
        <v>2.0394965277777777E-3</v>
      </c>
      <c r="X34" s="62">
        <f t="shared" ref="X34:X39" si="4">R34</f>
        <v>1.8660300925925923E-3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NK!D14</f>
        <v>4.6281828703703703E-4</v>
      </c>
      <c r="N35" s="62">
        <f>NK!D16</f>
        <v>7.311921296296297E-4</v>
      </c>
      <c r="O35" s="62">
        <f>NK!D15</f>
        <v>9.9797453703703702E-4</v>
      </c>
      <c r="P35" s="62">
        <f>NK!D17</f>
        <v>8.427372685185186E-4</v>
      </c>
      <c r="Q35" s="62">
        <f>NK!D19</f>
        <v>2.0636574074074073E-3</v>
      </c>
      <c r="R35" s="62">
        <f>NK!D18</f>
        <v>1.8880208333333333E-3</v>
      </c>
      <c r="S35" s="62">
        <f t="shared" ref="S35:S39" si="5">M35</f>
        <v>4.6281828703703703E-4</v>
      </c>
      <c r="T35" s="62">
        <f t="shared" si="0"/>
        <v>7.311921296296297E-4</v>
      </c>
      <c r="U35" s="62">
        <f t="shared" si="1"/>
        <v>9.9797453703703702E-4</v>
      </c>
      <c r="V35" s="62">
        <f t="shared" si="2"/>
        <v>8.427372685185186E-4</v>
      </c>
      <c r="W35" s="62">
        <f t="shared" si="3"/>
        <v>2.0636574074074073E-3</v>
      </c>
      <c r="X35" s="62">
        <f t="shared" si="4"/>
        <v>1.8880208333333333E-3</v>
      </c>
    </row>
    <row r="36" spans="1:24" x14ac:dyDescent="0.45">
      <c r="A36" s="59" t="s">
        <v>239</v>
      </c>
      <c r="B36" s="59" t="s">
        <v>182</v>
      </c>
      <c r="C36" s="59">
        <v>14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NK!C14</f>
        <v>4.6730324074074068E-4</v>
      </c>
      <c r="N36" s="62">
        <f>NK!C16</f>
        <v>7.378472222222222E-4</v>
      </c>
      <c r="O36" s="62">
        <f>NK!C15</f>
        <v>1.0112847222222224E-3</v>
      </c>
      <c r="P36" s="62">
        <f>NK!C17</f>
        <v>8.5908564814814821E-4</v>
      </c>
      <c r="Q36" s="62">
        <f>NK!C19</f>
        <v>2.0860821759259261E-3</v>
      </c>
      <c r="R36" s="62">
        <f>NK!C18</f>
        <v>1.9082754629629632E-3</v>
      </c>
      <c r="S36" s="62">
        <f t="shared" si="5"/>
        <v>4.6730324074074068E-4</v>
      </c>
      <c r="T36" s="62">
        <f t="shared" si="0"/>
        <v>7.378472222222222E-4</v>
      </c>
      <c r="U36" s="62">
        <f t="shared" si="1"/>
        <v>1.0112847222222224E-3</v>
      </c>
      <c r="V36" s="62">
        <f t="shared" si="2"/>
        <v>8.5908564814814821E-4</v>
      </c>
      <c r="W36" s="62">
        <f t="shared" si="3"/>
        <v>2.0860821759259261E-3</v>
      </c>
      <c r="X36" s="62">
        <f t="shared" si="4"/>
        <v>1.9082754629629632E-3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NK!K14</f>
        <v>5.6626157407407406E-4</v>
      </c>
      <c r="N37" s="62">
        <f>NK!K16</f>
        <v>8.521412037037037E-4</v>
      </c>
      <c r="O37" s="62">
        <f>NK!K15</f>
        <v>1.1524884259259259E-3</v>
      </c>
      <c r="P37" s="62">
        <f>NK!K17</f>
        <v>9.4646990740740737E-4</v>
      </c>
      <c r="Q37" s="62">
        <f>NK!K19</f>
        <v>2.2309027777777774E-3</v>
      </c>
      <c r="R37" s="62">
        <f>NK!K18</f>
        <v>2.0263310185185185E-3</v>
      </c>
      <c r="S37" s="62">
        <f t="shared" si="5"/>
        <v>5.6626157407407406E-4</v>
      </c>
      <c r="T37" s="62">
        <f t="shared" si="0"/>
        <v>8.521412037037037E-4</v>
      </c>
      <c r="U37" s="62">
        <f t="shared" si="1"/>
        <v>1.1524884259259259E-3</v>
      </c>
      <c r="V37" s="62">
        <f t="shared" si="2"/>
        <v>9.4646990740740737E-4</v>
      </c>
      <c r="W37" s="62">
        <f t="shared" si="3"/>
        <v>2.2309027777777774E-3</v>
      </c>
      <c r="X37" s="62">
        <f t="shared" si="4"/>
        <v>2.0263310185185185E-3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NK!J14</f>
        <v>5.7769097222222228E-4</v>
      </c>
      <c r="N38" s="62">
        <f>NK!J16</f>
        <v>8.6183449074074081E-4</v>
      </c>
      <c r="O38" s="62">
        <f>NK!J15</f>
        <v>1.1731770833333334E-3</v>
      </c>
      <c r="P38" s="62">
        <f>NK!J17</f>
        <v>9.6035879629629618E-4</v>
      </c>
      <c r="Q38" s="62">
        <f>NK!J19</f>
        <v>2.2473958333333335E-3</v>
      </c>
      <c r="R38" s="62">
        <f>NK!J18</f>
        <v>2.0339988425925925E-3</v>
      </c>
      <c r="S38" s="62">
        <f t="shared" si="5"/>
        <v>5.7769097222222228E-4</v>
      </c>
      <c r="T38" s="62">
        <f t="shared" si="0"/>
        <v>8.6183449074074081E-4</v>
      </c>
      <c r="U38" s="62">
        <f t="shared" si="1"/>
        <v>1.1731770833333334E-3</v>
      </c>
      <c r="V38" s="62">
        <f t="shared" si="2"/>
        <v>9.6035879629629618E-4</v>
      </c>
      <c r="W38" s="62">
        <f t="shared" si="3"/>
        <v>2.2473958333333335E-3</v>
      </c>
      <c r="X38" s="62">
        <f t="shared" si="4"/>
        <v>2.0339988425925925E-3</v>
      </c>
    </row>
    <row r="39" spans="1:24" x14ac:dyDescent="0.45">
      <c r="A39" s="59" t="s">
        <v>240</v>
      </c>
      <c r="B39" s="59" t="s">
        <v>164</v>
      </c>
      <c r="C39" s="59">
        <v>14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NK!I14</f>
        <v>5.8854166666666668E-4</v>
      </c>
      <c r="N39" s="62">
        <f>NK!I16</f>
        <v>8.7080439814814811E-4</v>
      </c>
      <c r="O39" s="62">
        <f>NK!I15</f>
        <v>1.1922743055555556E-3</v>
      </c>
      <c r="P39" s="62">
        <f>NK!I17</f>
        <v>9.730902777777778E-4</v>
      </c>
      <c r="Q39" s="62">
        <f>NK!I19</f>
        <v>2.2627314814814815E-3</v>
      </c>
      <c r="R39" s="62">
        <f>NK!I18</f>
        <v>2.0410879629629629E-3</v>
      </c>
      <c r="S39" s="62">
        <f t="shared" si="5"/>
        <v>5.8854166666666668E-4</v>
      </c>
      <c r="T39" s="62">
        <f t="shared" si="0"/>
        <v>8.7080439814814811E-4</v>
      </c>
      <c r="U39" s="62">
        <f t="shared" si="1"/>
        <v>1.1922743055555556E-3</v>
      </c>
      <c r="V39" s="62">
        <f t="shared" si="2"/>
        <v>9.730902777777778E-4</v>
      </c>
      <c r="W39" s="62">
        <f t="shared" si="3"/>
        <v>2.2627314814814815E-3</v>
      </c>
      <c r="X39" s="62">
        <f t="shared" si="4"/>
        <v>2.0410879629629629E-3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14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14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05" si="7">N52</f>
        <v>6.2893518518518528E-4</v>
      </c>
      <c r="U52" s="62">
        <f t="shared" ref="U52:U105" si="8">O52</f>
        <v>8.490625000000001E-4</v>
      </c>
      <c r="V52" s="62">
        <f t="shared" ref="V52:V105" si="9">P52</f>
        <v>7.0545138888888882E-4</v>
      </c>
      <c r="W52" s="62">
        <f t="shared" ref="W52:W105" si="10">Q52</f>
        <v>1.7668750000000002E-3</v>
      </c>
      <c r="X52" s="62">
        <f t="shared" ref="X52:X105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40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40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40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40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40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40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40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40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NK!$R$14</f>
        <v>4.6944444444444442E-4</v>
      </c>
      <c r="N100" s="62">
        <f>NK!$R$16</f>
        <v>7.4328703703703709E-4</v>
      </c>
      <c r="O100" s="62">
        <f>NK!$R$15</f>
        <v>1.0034375E-3</v>
      </c>
      <c r="P100" s="62">
        <f>NK!$R$17</f>
        <v>8.3371527777777773E-4</v>
      </c>
      <c r="Q100" s="62">
        <f>NK!$R$19</f>
        <v>2.0881250000000001E-3</v>
      </c>
      <c r="R100" s="62">
        <f>NK!$R$18</f>
        <v>1.9107291666666667E-3</v>
      </c>
      <c r="S100" s="62">
        <f>M100</f>
        <v>4.6944444444444442E-4</v>
      </c>
      <c r="T100" s="62">
        <f t="shared" si="7"/>
        <v>7.4328703703703709E-4</v>
      </c>
      <c r="U100" s="62">
        <f t="shared" si="8"/>
        <v>1.0034375E-3</v>
      </c>
      <c r="V100" s="62">
        <f t="shared" si="9"/>
        <v>8.3371527777777773E-4</v>
      </c>
      <c r="W100" s="62">
        <f t="shared" si="10"/>
        <v>2.0881250000000001E-3</v>
      </c>
      <c r="X100" s="62">
        <f t="shared" si="11"/>
        <v>1.9107291666666667E-3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NK!$S$14</f>
        <v>4.6523148148148151E-4</v>
      </c>
      <c r="N101" s="62">
        <f>NK!$S$16</f>
        <v>7.3726851851851861E-4</v>
      </c>
      <c r="O101" s="62">
        <f>NK!$S$15</f>
        <v>9.9155092592592611E-4</v>
      </c>
      <c r="P101" s="62">
        <f>NK!$S$17</f>
        <v>8.1927083333333331E-4</v>
      </c>
      <c r="Q101" s="62">
        <f>NK!$S$19</f>
        <v>2.0678125000000002E-3</v>
      </c>
      <c r="R101" s="62">
        <f>NK!$S$18</f>
        <v>1.8922222222222224E-3</v>
      </c>
      <c r="S101" s="62">
        <f t="shared" ref="S101:S105" si="12">M101</f>
        <v>4.6523148148148151E-4</v>
      </c>
      <c r="T101" s="62">
        <f t="shared" si="7"/>
        <v>7.3726851851851861E-4</v>
      </c>
      <c r="U101" s="62">
        <f t="shared" si="8"/>
        <v>9.9155092592592611E-4</v>
      </c>
      <c r="V101" s="62">
        <f t="shared" si="9"/>
        <v>8.1927083333333331E-4</v>
      </c>
      <c r="W101" s="62">
        <f t="shared" si="10"/>
        <v>2.0678125000000002E-3</v>
      </c>
      <c r="X101" s="62">
        <f t="shared" si="11"/>
        <v>1.8922222222222224E-3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40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NK!$T$14</f>
        <v>4.5244212962962968E-4</v>
      </c>
      <c r="N102" s="62">
        <f>NK!$T$16</f>
        <v>7.1846064814814819E-4</v>
      </c>
      <c r="O102" s="62">
        <f>NK!$T$15</f>
        <v>9.5453703703703705E-4</v>
      </c>
      <c r="P102" s="62">
        <f>NK!$T$17</f>
        <v>7.7473379629629626E-4</v>
      </c>
      <c r="Q102" s="62">
        <f>NK!$T$19</f>
        <v>2.0049189814814817E-3</v>
      </c>
      <c r="R102" s="62">
        <f>NK!$T$18</f>
        <v>1.8350462962962962E-3</v>
      </c>
      <c r="S102" s="62">
        <f t="shared" si="12"/>
        <v>4.5244212962962968E-4</v>
      </c>
      <c r="T102" s="62">
        <f t="shared" si="7"/>
        <v>7.1846064814814819E-4</v>
      </c>
      <c r="U102" s="62">
        <f t="shared" si="8"/>
        <v>9.5453703703703705E-4</v>
      </c>
      <c r="V102" s="62">
        <f t="shared" si="9"/>
        <v>7.7473379629629626E-4</v>
      </c>
      <c r="W102" s="62">
        <f t="shared" si="10"/>
        <v>2.0049189814814817E-3</v>
      </c>
      <c r="X102" s="62">
        <f t="shared" si="11"/>
        <v>1.8350462962962962E-3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NK!$X$14</f>
        <v>5.73263888888889E-4</v>
      </c>
      <c r="N103" s="62">
        <f>NK!$X$16</f>
        <v>8.7313657407407414E-4</v>
      </c>
      <c r="O103" s="62">
        <f>NK!$X$15</f>
        <v>1.1704513888888888E-3</v>
      </c>
      <c r="P103" s="62">
        <f>NK!$X$17</f>
        <v>9.6537037037037034E-4</v>
      </c>
      <c r="Q103" s="62">
        <f>NK!$X$19</f>
        <v>2.2975694444444445E-3</v>
      </c>
      <c r="R103" s="62">
        <f>NK!$X$18</f>
        <v>2.0968518518518523E-3</v>
      </c>
      <c r="S103" s="62">
        <f t="shared" si="12"/>
        <v>5.73263888888889E-4</v>
      </c>
      <c r="T103" s="62">
        <f t="shared" si="7"/>
        <v>8.7313657407407414E-4</v>
      </c>
      <c r="U103" s="62">
        <f t="shared" si="8"/>
        <v>1.1704513888888888E-3</v>
      </c>
      <c r="V103" s="62">
        <f t="shared" si="9"/>
        <v>9.6537037037037034E-4</v>
      </c>
      <c r="W103" s="62">
        <f t="shared" si="10"/>
        <v>2.2975694444444445E-3</v>
      </c>
      <c r="X103" s="62">
        <f t="shared" si="11"/>
        <v>2.0968518518518523E-3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NK!$Y$14</f>
        <v>5.6393518518518522E-4</v>
      </c>
      <c r="N104" s="62">
        <f>NK!$Y$16</f>
        <v>8.6501157407407403E-4</v>
      </c>
      <c r="O104" s="62">
        <f>NK!$Y$15</f>
        <v>1.1534490740740741E-3</v>
      </c>
      <c r="P104" s="62">
        <f>NK!$Y$17</f>
        <v>9.5378472222222229E-4</v>
      </c>
      <c r="Q104" s="62">
        <f>NK!$Y$19</f>
        <v>2.2834259259259262E-3</v>
      </c>
      <c r="R104" s="62">
        <f>NK!$Y$18</f>
        <v>2.090231481481482E-3</v>
      </c>
      <c r="S104" s="62">
        <f t="shared" si="12"/>
        <v>5.6393518518518522E-4</v>
      </c>
      <c r="T104" s="62">
        <f t="shared" si="7"/>
        <v>8.6501157407407403E-4</v>
      </c>
      <c r="U104" s="62">
        <f t="shared" si="8"/>
        <v>1.1534490740740741E-3</v>
      </c>
      <c r="V104" s="62">
        <f t="shared" si="9"/>
        <v>9.5378472222222229E-4</v>
      </c>
      <c r="W104" s="62">
        <f t="shared" si="10"/>
        <v>2.2834259259259262E-3</v>
      </c>
      <c r="X104" s="62">
        <f t="shared" si="11"/>
        <v>2.090231481481482E-3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40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NK!$Z$14</f>
        <v>5.3504629629629627E-4</v>
      </c>
      <c r="N105" s="62">
        <f>NK!$Z$16</f>
        <v>8.3988425925925929E-4</v>
      </c>
      <c r="O105" s="62">
        <f>NK!$Z$15</f>
        <v>1.101087962962963E-3</v>
      </c>
      <c r="P105" s="62">
        <f>NK!$Z$17</f>
        <v>9.181250000000001E-4</v>
      </c>
      <c r="Q105" s="62">
        <f>NK!$Z$19</f>
        <v>2.2396412037037038E-3</v>
      </c>
      <c r="R105" s="62">
        <f>NK!$Z$18</f>
        <v>2.0694675925925924E-3</v>
      </c>
      <c r="S105" s="62">
        <f t="shared" si="12"/>
        <v>5.3504629629629627E-4</v>
      </c>
      <c r="T105" s="62">
        <f t="shared" si="7"/>
        <v>8.3988425925925929E-4</v>
      </c>
      <c r="U105" s="62">
        <f t="shared" si="8"/>
        <v>1.101087962962963E-3</v>
      </c>
      <c r="V105" s="62">
        <f t="shared" si="9"/>
        <v>9.181250000000001E-4</v>
      </c>
      <c r="W105" s="62">
        <f t="shared" si="10"/>
        <v>2.2396412037037038E-3</v>
      </c>
      <c r="X105" s="62">
        <f t="shared" si="11"/>
        <v>2.0694675925925924E-3</v>
      </c>
    </row>
    <row r="106" spans="1:24" x14ac:dyDescent="0.45">
      <c r="A106" s="59"/>
      <c r="B106" s="59"/>
      <c r="C106" s="59"/>
      <c r="D106" s="59"/>
      <c r="E106" s="61"/>
      <c r="F106" s="61"/>
      <c r="G106" s="61"/>
      <c r="H106" s="59"/>
      <c r="I106" s="59"/>
      <c r="J106" s="59"/>
      <c r="K106" s="59"/>
      <c r="L106" s="59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</row>
    <row r="107" spans="1:24" x14ac:dyDescent="0.45">
      <c r="A107" s="59"/>
      <c r="B107" s="59"/>
      <c r="C107" s="59"/>
      <c r="D107" s="59"/>
      <c r="E107" s="61"/>
      <c r="F107" s="61"/>
      <c r="G107" s="61"/>
      <c r="H107" s="59"/>
      <c r="I107" s="59"/>
      <c r="J107" s="59"/>
      <c r="K107" s="59"/>
      <c r="L107" s="59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</row>
    <row r="108" spans="1:24" x14ac:dyDescent="0.45">
      <c r="A108" s="59"/>
      <c r="B108" s="59"/>
      <c r="C108" s="59"/>
      <c r="D108" s="59"/>
      <c r="E108" s="61"/>
      <c r="F108" s="61"/>
      <c r="G108" s="61"/>
      <c r="H108" s="59"/>
      <c r="I108" s="59"/>
      <c r="J108" s="59"/>
      <c r="K108" s="59"/>
      <c r="L108" s="59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Q1" workbookViewId="0">
      <selection activeCell="W20" sqref="W20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 t="shared" ref="R14:T19" si="2">R5*$U14</f>
        <v>4.6944444444444442E-4</v>
      </c>
      <c r="S14" s="65">
        <f t="shared" si="2"/>
        <v>4.6523148148148151E-4</v>
      </c>
      <c r="T14" s="65">
        <f t="shared" si="2"/>
        <v>4.5244212962962968E-4</v>
      </c>
      <c r="U14">
        <v>1.3</v>
      </c>
      <c r="W14" s="64" t="s">
        <v>0</v>
      </c>
      <c r="X14" s="65">
        <f>X5*$AA14</f>
        <v>5.73263888888889E-4</v>
      </c>
      <c r="Y14" s="65">
        <f t="shared" ref="Y14:Z14" si="3">Y5*$AA14</f>
        <v>5.6393518518518522E-4</v>
      </c>
      <c r="Z14" s="65">
        <f t="shared" si="3"/>
        <v>5.3504629629629627E-4</v>
      </c>
      <c r="AA14">
        <v>1.3</v>
      </c>
    </row>
    <row r="15" spans="2:27" x14ac:dyDescent="0.45">
      <c r="B15" s="64" t="s">
        <v>223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223</v>
      </c>
      <c r="I15" s="65">
        <f t="shared" ref="I15:K15" si="5">I6*$L15</f>
        <v>1.1922743055555556E-3</v>
      </c>
      <c r="J15" s="65">
        <f t="shared" si="5"/>
        <v>1.1731770833333334E-3</v>
      </c>
      <c r="K15" s="65">
        <f t="shared" si="5"/>
        <v>1.1524884259259259E-3</v>
      </c>
      <c r="L15">
        <v>1.25</v>
      </c>
      <c r="Q15" s="64" t="s">
        <v>223</v>
      </c>
      <c r="R15" s="65">
        <f t="shared" si="2"/>
        <v>1.0034375E-3</v>
      </c>
      <c r="S15" s="65">
        <f t="shared" si="2"/>
        <v>9.9155092592592611E-4</v>
      </c>
      <c r="T15" s="65">
        <f t="shared" si="2"/>
        <v>9.5453703703703705E-4</v>
      </c>
      <c r="U15">
        <v>1.3</v>
      </c>
      <c r="W15" s="64" t="s">
        <v>223</v>
      </c>
      <c r="X15" s="65">
        <f t="shared" ref="X15:Z15" si="6">X6*$AA15</f>
        <v>1.1704513888888888E-3</v>
      </c>
      <c r="Y15" s="65">
        <f t="shared" si="6"/>
        <v>1.1534490740740741E-3</v>
      </c>
      <c r="Z15" s="65">
        <f t="shared" si="6"/>
        <v>1.101087962962963E-3</v>
      </c>
      <c r="AA15">
        <v>1.3</v>
      </c>
    </row>
    <row r="16" spans="2:27" x14ac:dyDescent="0.45">
      <c r="B16" s="64" t="s">
        <v>224</v>
      </c>
      <c r="C16" s="65">
        <f t="shared" ref="C16:E16" si="7">C7*$F16</f>
        <v>7.378472222222222E-4</v>
      </c>
      <c r="D16" s="65">
        <f t="shared" si="7"/>
        <v>7.311921296296297E-4</v>
      </c>
      <c r="E16" s="65">
        <f t="shared" si="7"/>
        <v>7.2410300925925919E-4</v>
      </c>
      <c r="F16">
        <v>1.25</v>
      </c>
      <c r="H16" s="64" t="s">
        <v>224</v>
      </c>
      <c r="I16" s="65">
        <f t="shared" ref="I16:K16" si="8">I7*$L16</f>
        <v>8.7080439814814811E-4</v>
      </c>
      <c r="J16" s="65">
        <f t="shared" si="8"/>
        <v>8.6183449074074081E-4</v>
      </c>
      <c r="K16" s="65">
        <f t="shared" si="8"/>
        <v>8.521412037037037E-4</v>
      </c>
      <c r="L16">
        <v>1.25</v>
      </c>
      <c r="Q16" s="64" t="s">
        <v>224</v>
      </c>
      <c r="R16" s="65">
        <f t="shared" si="2"/>
        <v>7.4328703703703709E-4</v>
      </c>
      <c r="S16" s="65">
        <f t="shared" si="2"/>
        <v>7.3726851851851861E-4</v>
      </c>
      <c r="T16" s="65">
        <f t="shared" si="2"/>
        <v>7.1846064814814819E-4</v>
      </c>
      <c r="U16">
        <v>1.3</v>
      </c>
      <c r="W16" s="64" t="s">
        <v>224</v>
      </c>
      <c r="X16" s="65">
        <f t="shared" ref="X16:Z16" si="9">X7*$AA16</f>
        <v>8.7313657407407414E-4</v>
      </c>
      <c r="Y16" s="65">
        <f t="shared" si="9"/>
        <v>8.6501157407407403E-4</v>
      </c>
      <c r="Z16" s="65">
        <f t="shared" si="9"/>
        <v>8.3988425925925929E-4</v>
      </c>
      <c r="AA16">
        <v>1.3</v>
      </c>
    </row>
    <row r="17" spans="2:27" ht="14.25" customHeight="1" x14ac:dyDescent="0.45">
      <c r="B17" s="64" t="s">
        <v>225</v>
      </c>
      <c r="C17" s="65">
        <f t="shared" ref="C17:E17" si="10">C8*$F17</f>
        <v>8.5908564814814821E-4</v>
      </c>
      <c r="D17" s="65">
        <f t="shared" si="10"/>
        <v>8.427372685185186E-4</v>
      </c>
      <c r="E17" s="65">
        <f t="shared" si="10"/>
        <v>8.2494212962962968E-4</v>
      </c>
      <c r="F17">
        <v>1.25</v>
      </c>
      <c r="H17" s="64" t="s">
        <v>225</v>
      </c>
      <c r="I17" s="65">
        <f t="shared" ref="I17:K17" si="11">I8*$L17</f>
        <v>9.730902777777778E-4</v>
      </c>
      <c r="J17" s="65">
        <f t="shared" si="11"/>
        <v>9.6035879629629618E-4</v>
      </c>
      <c r="K17" s="65">
        <f t="shared" si="11"/>
        <v>9.4646990740740737E-4</v>
      </c>
      <c r="L17">
        <v>1.25</v>
      </c>
      <c r="Q17" s="64" t="s">
        <v>225</v>
      </c>
      <c r="R17" s="65">
        <f t="shared" si="2"/>
        <v>8.3371527777777773E-4</v>
      </c>
      <c r="S17" s="65">
        <f t="shared" si="2"/>
        <v>8.1927083333333331E-4</v>
      </c>
      <c r="T17" s="65">
        <f t="shared" si="2"/>
        <v>7.7473379629629626E-4</v>
      </c>
      <c r="U17">
        <v>1.3</v>
      </c>
      <c r="W17" s="64" t="s">
        <v>225</v>
      </c>
      <c r="X17" s="65">
        <f t="shared" ref="X17:Z17" si="12">X8*$AA17</f>
        <v>9.6537037037037034E-4</v>
      </c>
      <c r="Y17" s="65">
        <f t="shared" si="12"/>
        <v>9.5378472222222229E-4</v>
      </c>
      <c r="Z17" s="65">
        <f t="shared" si="12"/>
        <v>9.181250000000001E-4</v>
      </c>
      <c r="AA17">
        <v>1.3</v>
      </c>
    </row>
    <row r="18" spans="2:27" x14ac:dyDescent="0.45">
      <c r="B18" s="64" t="s">
        <v>226</v>
      </c>
      <c r="C18" s="65">
        <f t="shared" ref="C18:E18" si="13">C9*$F18</f>
        <v>1.9082754629629632E-3</v>
      </c>
      <c r="D18" s="65">
        <f t="shared" si="13"/>
        <v>1.8880208333333333E-3</v>
      </c>
      <c r="E18" s="65">
        <f t="shared" si="13"/>
        <v>1.8660300925925923E-3</v>
      </c>
      <c r="F18">
        <v>1.25</v>
      </c>
      <c r="H18" s="64" t="s">
        <v>226</v>
      </c>
      <c r="I18" s="65">
        <f t="shared" ref="I18:K18" si="14">I9*$L18</f>
        <v>2.0410879629629629E-3</v>
      </c>
      <c r="J18" s="65">
        <f t="shared" si="14"/>
        <v>2.0339988425925925E-3</v>
      </c>
      <c r="K18" s="65">
        <f t="shared" si="14"/>
        <v>2.0263310185185185E-3</v>
      </c>
      <c r="L18">
        <v>1.25</v>
      </c>
      <c r="Q18" s="64" t="s">
        <v>226</v>
      </c>
      <c r="R18" s="65">
        <f t="shared" si="2"/>
        <v>1.9107291666666667E-3</v>
      </c>
      <c r="S18" s="65">
        <f t="shared" si="2"/>
        <v>1.8922222222222224E-3</v>
      </c>
      <c r="T18" s="65">
        <f t="shared" si="2"/>
        <v>1.8350462962962962E-3</v>
      </c>
      <c r="U18">
        <v>1.3</v>
      </c>
      <c r="W18" s="64" t="s">
        <v>226</v>
      </c>
      <c r="X18" s="65">
        <f t="shared" ref="X18:Z18" si="15">X9*$AA18</f>
        <v>2.0968518518518523E-3</v>
      </c>
      <c r="Y18" s="65">
        <f t="shared" si="15"/>
        <v>2.090231481481482E-3</v>
      </c>
      <c r="Z18" s="65">
        <f t="shared" si="15"/>
        <v>2.0694675925925924E-3</v>
      </c>
      <c r="AA18">
        <v>1.3</v>
      </c>
    </row>
    <row r="19" spans="2:27" x14ac:dyDescent="0.45">
      <c r="B19" s="64" t="s">
        <v>4</v>
      </c>
      <c r="C19" s="65">
        <f t="shared" ref="C19:E19" si="16">C10*$F19</f>
        <v>2.0860821759259261E-3</v>
      </c>
      <c r="D19" s="65">
        <f t="shared" si="16"/>
        <v>2.0636574074074073E-3</v>
      </c>
      <c r="E19" s="65">
        <f t="shared" si="16"/>
        <v>2.0394965277777777E-3</v>
      </c>
      <c r="F19">
        <v>1.25</v>
      </c>
      <c r="H19" s="64" t="s">
        <v>4</v>
      </c>
      <c r="I19" s="65">
        <f t="shared" ref="I19:K19" si="17">I10*$L19</f>
        <v>2.2627314814814815E-3</v>
      </c>
      <c r="J19" s="65">
        <f t="shared" si="17"/>
        <v>2.2473958333333335E-3</v>
      </c>
      <c r="K19" s="65">
        <f t="shared" si="17"/>
        <v>2.2309027777777774E-3</v>
      </c>
      <c r="L19">
        <v>1.25</v>
      </c>
      <c r="Q19" s="64" t="s">
        <v>4</v>
      </c>
      <c r="R19" s="65">
        <f t="shared" si="2"/>
        <v>2.0881250000000001E-3</v>
      </c>
      <c r="S19" s="65">
        <f t="shared" si="2"/>
        <v>2.0678125000000002E-3</v>
      </c>
      <c r="T19" s="65">
        <f t="shared" si="2"/>
        <v>2.0049189814814817E-3</v>
      </c>
      <c r="U19">
        <v>1.3</v>
      </c>
      <c r="W19" s="64" t="s">
        <v>4</v>
      </c>
      <c r="X19" s="65">
        <f t="shared" ref="X19:Z19" si="18">X10*$AA19</f>
        <v>2.2975694444444445E-3</v>
      </c>
      <c r="Y19" s="65">
        <f t="shared" si="18"/>
        <v>2.2834259259259262E-3</v>
      </c>
      <c r="Z19" s="65">
        <f t="shared" si="18"/>
        <v>2.2396412037037038E-3</v>
      </c>
      <c r="AA19">
        <v>1.3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2026-01-23T01:10:32Z</dcterms:modified>
</cp:coreProperties>
</file>