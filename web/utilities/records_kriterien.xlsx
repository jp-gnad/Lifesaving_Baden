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\utilities\"/>
    </mc:Choice>
  </mc:AlternateContent>
  <xr:revisionPtr revIDLastSave="0" documentId="13_ncr:1_{E78AB87A-A4E0-4AC8-BD5A-1F316EAB842B}" xr6:coauthVersionLast="47" xr6:coauthVersionMax="47" xr10:uidLastSave="{00000000-0000-0000-0000-000000000000}"/>
  <bookViews>
    <workbookView xWindow="-98" yWindow="-98" windowWidth="21795" windowHeight="12975" tabRatio="687" firstSheet="1" activeTab="7" xr2:uid="{E1AB626B-3773-4829-92A5-28DD4DB7C8F8}"/>
  </bookViews>
  <sheets>
    <sheet name="DR" sheetId="9" r:id="rId1"/>
    <sheet name="WR-Youth" sheetId="2" r:id="rId2"/>
    <sheet name="WR-Open" sheetId="4" r:id="rId3"/>
    <sheet name="DP" sheetId="10" r:id="rId4"/>
    <sheet name="BP" sheetId="11" r:id="rId5"/>
    <sheet name="DEM" sheetId="12" r:id="rId6"/>
    <sheet name="JRP" sheetId="13" r:id="rId7"/>
    <sheet name="LK" sheetId="16" r:id="rId8"/>
    <sheet name="NK-LK Transf." sheetId="14" r:id="rId9"/>
    <sheet name="LK Kalender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6" l="1"/>
  <c r="S36" i="16"/>
  <c r="S35" i="16"/>
  <c r="S34" i="16"/>
  <c r="R37" i="16"/>
  <c r="R36" i="16"/>
  <c r="R35" i="16"/>
  <c r="R34" i="16"/>
  <c r="Q37" i="16"/>
  <c r="Q36" i="16"/>
  <c r="Q35" i="16"/>
  <c r="Q34" i="16"/>
  <c r="P37" i="16"/>
  <c r="P36" i="16"/>
  <c r="P35" i="16"/>
  <c r="P34" i="16"/>
  <c r="O37" i="16"/>
  <c r="O36" i="16"/>
  <c r="O35" i="16"/>
  <c r="O34" i="16"/>
  <c r="N37" i="16"/>
  <c r="N36" i="16"/>
  <c r="N35" i="16"/>
  <c r="N34" i="16"/>
  <c r="S33" i="16"/>
  <c r="S32" i="16"/>
  <c r="S31" i="16"/>
  <c r="S30" i="16"/>
  <c r="R33" i="16"/>
  <c r="R32" i="16"/>
  <c r="R31" i="16"/>
  <c r="R30" i="16"/>
  <c r="Q33" i="16"/>
  <c r="Q32" i="16"/>
  <c r="Q31" i="16"/>
  <c r="Q30" i="16"/>
  <c r="P33" i="16"/>
  <c r="P32" i="16"/>
  <c r="P31" i="16"/>
  <c r="P30" i="16"/>
  <c r="O33" i="16"/>
  <c r="O32" i="16"/>
  <c r="O31" i="16"/>
  <c r="O30" i="16"/>
  <c r="N33" i="16"/>
  <c r="N32" i="16"/>
  <c r="N31" i="16"/>
  <c r="N30" i="16"/>
  <c r="S29" i="16" l="1"/>
  <c r="S28" i="16"/>
  <c r="S27" i="16"/>
  <c r="S26" i="16"/>
  <c r="S25" i="16"/>
  <c r="R29" i="16"/>
  <c r="R28" i="16"/>
  <c r="R27" i="16"/>
  <c r="R26" i="16"/>
  <c r="R25" i="16"/>
  <c r="Q29" i="16"/>
  <c r="Q28" i="16"/>
  <c r="Q27" i="16"/>
  <c r="Q26" i="16"/>
  <c r="Q25" i="16"/>
  <c r="P29" i="16"/>
  <c r="P28" i="16"/>
  <c r="P27" i="16"/>
  <c r="P26" i="16"/>
  <c r="P25" i="16"/>
  <c r="O29" i="16"/>
  <c r="O28" i="16"/>
  <c r="O27" i="16"/>
  <c r="O26" i="16"/>
  <c r="O25" i="16"/>
  <c r="N29" i="16"/>
  <c r="N28" i="16"/>
  <c r="N27" i="16"/>
  <c r="N26" i="16"/>
  <c r="N25" i="16"/>
  <c r="Z2" i="14"/>
  <c r="Z11" i="14"/>
  <c r="S24" i="16"/>
  <c r="S23" i="16"/>
  <c r="S22" i="16"/>
  <c r="S21" i="16"/>
  <c r="S20" i="16"/>
  <c r="R24" i="16"/>
  <c r="R23" i="16"/>
  <c r="R22" i="16"/>
  <c r="R21" i="16"/>
  <c r="R20" i="16"/>
  <c r="Q24" i="16"/>
  <c r="Q23" i="16"/>
  <c r="Q22" i="16"/>
  <c r="Q21" i="16"/>
  <c r="Q20" i="16"/>
  <c r="P24" i="16"/>
  <c r="P23" i="16"/>
  <c r="P22" i="16"/>
  <c r="P21" i="16"/>
  <c r="P20" i="16"/>
  <c r="O24" i="16"/>
  <c r="O23" i="16"/>
  <c r="O22" i="16"/>
  <c r="O21" i="16"/>
  <c r="O20" i="16"/>
  <c r="N24" i="16"/>
  <c r="N23" i="16"/>
  <c r="N22" i="16"/>
  <c r="N21" i="16"/>
  <c r="N20" i="16"/>
  <c r="S19" i="16"/>
  <c r="S18" i="16"/>
  <c r="S17" i="16"/>
  <c r="R19" i="16"/>
  <c r="R18" i="16"/>
  <c r="R17" i="16"/>
  <c r="Q19" i="16"/>
  <c r="Q18" i="16"/>
  <c r="Q17" i="16"/>
  <c r="P19" i="16"/>
  <c r="P18" i="16"/>
  <c r="P17" i="16"/>
  <c r="O19" i="16"/>
  <c r="O18" i="16"/>
  <c r="O17" i="16"/>
  <c r="N19" i="16"/>
  <c r="N18" i="16"/>
  <c r="N17" i="16"/>
  <c r="S16" i="16"/>
  <c r="S15" i="16"/>
  <c r="S14" i="16"/>
  <c r="R16" i="16"/>
  <c r="R15" i="16"/>
  <c r="R14" i="16"/>
  <c r="Q16" i="16"/>
  <c r="Q15" i="16"/>
  <c r="Q14" i="16"/>
  <c r="P16" i="16"/>
  <c r="P15" i="16"/>
  <c r="P14" i="16"/>
  <c r="O16" i="16"/>
  <c r="O15" i="16"/>
  <c r="O14" i="16"/>
  <c r="N16" i="16"/>
  <c r="N15" i="16"/>
  <c r="N14" i="16"/>
  <c r="S4" i="16"/>
  <c r="S3" i="16"/>
  <c r="S2" i="16"/>
  <c r="R4" i="16"/>
  <c r="R3" i="16"/>
  <c r="R2" i="16"/>
  <c r="Q4" i="16"/>
  <c r="Q3" i="16"/>
  <c r="Q2" i="16"/>
  <c r="P4" i="16"/>
  <c r="P3" i="16"/>
  <c r="P2" i="16"/>
  <c r="O4" i="16"/>
  <c r="O3" i="16"/>
  <c r="O2" i="16"/>
  <c r="N3" i="16"/>
  <c r="N2" i="16"/>
  <c r="S7" i="16"/>
  <c r="S6" i="16"/>
  <c r="S5" i="16"/>
  <c r="R7" i="16"/>
  <c r="R6" i="16"/>
  <c r="R5" i="16"/>
  <c r="Q7" i="16"/>
  <c r="Q6" i="16"/>
  <c r="Q5" i="16"/>
  <c r="P7" i="16"/>
  <c r="P6" i="16"/>
  <c r="P5" i="16"/>
  <c r="O7" i="16"/>
  <c r="O6" i="16"/>
  <c r="O5" i="16"/>
  <c r="N7" i="16"/>
  <c r="N6" i="16"/>
  <c r="N5" i="16"/>
  <c r="S10" i="16"/>
  <c r="S9" i="16"/>
  <c r="S8" i="16"/>
  <c r="R10" i="16"/>
  <c r="R9" i="16"/>
  <c r="R8" i="16"/>
  <c r="Q10" i="16"/>
  <c r="Q9" i="16"/>
  <c r="Q8" i="16"/>
  <c r="P10" i="16"/>
  <c r="P9" i="16"/>
  <c r="P8" i="16"/>
  <c r="O10" i="16"/>
  <c r="O9" i="16"/>
  <c r="O8" i="16"/>
  <c r="N10" i="16"/>
  <c r="N9" i="16"/>
  <c r="N8" i="16"/>
  <c r="S13" i="16"/>
  <c r="S12" i="16"/>
  <c r="S11" i="16"/>
  <c r="R13" i="16"/>
  <c r="R12" i="16"/>
  <c r="R11" i="16"/>
  <c r="Q13" i="16"/>
  <c r="Q12" i="16"/>
  <c r="Q11" i="16"/>
  <c r="P13" i="16"/>
  <c r="P12" i="16"/>
  <c r="P11" i="16"/>
  <c r="O13" i="16"/>
  <c r="O12" i="16"/>
  <c r="O11" i="16"/>
  <c r="N13" i="16"/>
  <c r="N12" i="16"/>
  <c r="N11" i="16"/>
  <c r="BB10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N4" i="16" s="1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V2" i="14"/>
  <c r="BJ2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Z2" i="14"/>
  <c r="BY2" i="14"/>
  <c r="BX2" i="14"/>
  <c r="BW2" i="14"/>
  <c r="BU2" i="14"/>
  <c r="BT2" i="14"/>
  <c r="BS2" i="14"/>
  <c r="BR2" i="14"/>
  <c r="BQ2" i="14"/>
  <c r="BP2" i="14"/>
  <c r="BO2" i="14"/>
  <c r="BN2" i="14"/>
  <c r="BM2" i="14"/>
  <c r="BL2" i="14"/>
  <c r="BK2" i="14"/>
  <c r="BI2" i="14"/>
  <c r="BH2" i="14"/>
  <c r="BG2" i="14"/>
  <c r="BF2" i="14"/>
  <c r="BE2" i="14"/>
  <c r="BD2" i="14"/>
  <c r="BC2" i="14"/>
  <c r="BB1" i="14"/>
  <c r="AB1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V11" i="14"/>
  <c r="AJ11" i="14"/>
  <c r="AZ11" i="14"/>
  <c r="AY11" i="14"/>
  <c r="AX11" i="14"/>
  <c r="AW11" i="14"/>
  <c r="AU11" i="14"/>
  <c r="AT11" i="14"/>
  <c r="AS11" i="14"/>
  <c r="AR11" i="14"/>
  <c r="AQ11" i="14"/>
  <c r="AP11" i="14"/>
  <c r="AO11" i="14"/>
  <c r="AN11" i="14"/>
  <c r="AM11" i="14"/>
  <c r="AL11" i="14"/>
  <c r="AK11" i="14"/>
  <c r="AI11" i="14"/>
  <c r="AH11" i="14"/>
  <c r="AG11" i="14"/>
  <c r="AF11" i="14"/>
  <c r="AE11" i="14"/>
  <c r="AD11" i="14"/>
  <c r="AC11" i="14"/>
  <c r="AB10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Y11" i="14"/>
  <c r="X11" i="14"/>
  <c r="W11" i="14"/>
  <c r="N11" i="14"/>
  <c r="M11" i="14"/>
  <c r="L11" i="14"/>
  <c r="K11" i="14"/>
  <c r="V11" i="14"/>
  <c r="U11" i="14"/>
  <c r="T11" i="14"/>
  <c r="S11" i="14"/>
  <c r="R11" i="14"/>
  <c r="Q11" i="14"/>
  <c r="P11" i="14"/>
  <c r="O11" i="14"/>
  <c r="J11" i="14"/>
  <c r="I11" i="14"/>
  <c r="F11" i="14"/>
  <c r="G11" i="14"/>
  <c r="H11" i="14"/>
  <c r="B1" i="14"/>
  <c r="B10" i="14"/>
  <c r="E11" i="14"/>
  <c r="D11" i="14"/>
  <c r="C11" i="14"/>
  <c r="A32" i="2"/>
  <c r="A32" i="4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311132C4-C469-44F9-A16F-C1F7954CFCD2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F74333A4-7421-4CB9-A1B8-AA480385FE5D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97E9E9C9-A5B3-4B37-ACF2-E9185EE1ABEB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E1" authorId="0" shapeId="0" xr:uid="{7EA122FA-A101-4643-8E74-F3B60A806C02}">
      <text>
        <r>
          <rPr>
            <b/>
            <sz val="9"/>
            <color indexed="81"/>
            <rFont val="Segoe UI"/>
            <charset val="1"/>
          </rPr>
          <t>Inklusive Datum</t>
        </r>
      </text>
    </comment>
    <comment ref="F1" authorId="0" shapeId="0" xr:uid="{905F8FBA-0395-4BC3-B8BF-BEB02289912C}">
      <text>
        <r>
          <rPr>
            <b/>
            <sz val="9"/>
            <color indexed="81"/>
            <rFont val="Segoe UI"/>
            <charset val="1"/>
          </rPr>
          <t>Inklusive Datum aber achtung Alter berechnet sich am Jahr des Quali-Endes</t>
        </r>
      </text>
    </comment>
  </commentList>
</comments>
</file>

<file path=xl/sharedStrings.xml><?xml version="1.0" encoding="utf-8"?>
<sst xmlns="http://schemas.openxmlformats.org/spreadsheetml/2006/main" count="814" uniqueCount="276">
  <si>
    <t>50m Retten</t>
  </si>
  <si>
    <t>100m Retten</t>
  </si>
  <si>
    <t>100m Kombi</t>
  </si>
  <si>
    <t>100m Lifesaver</t>
  </si>
  <si>
    <t>200m Superlifesaver</t>
  </si>
  <si>
    <t>200m Hindernis</t>
  </si>
  <si>
    <t>WR-Open</t>
  </si>
  <si>
    <t>WR-Youth</t>
  </si>
  <si>
    <t>50m Retten2</t>
  </si>
  <si>
    <t>Maximales Alter</t>
  </si>
  <si>
    <t>Wertung</t>
  </si>
  <si>
    <t>DEM - 2025</t>
  </si>
  <si>
    <t>DMM - 2025</t>
  </si>
  <si>
    <t>Name</t>
  </si>
  <si>
    <t>Competiton</t>
  </si>
  <si>
    <t>Nation</t>
  </si>
  <si>
    <t>Zoe PEDERSEN</t>
  </si>
  <si>
    <t>NZL</t>
  </si>
  <si>
    <t>Lucreza FABRETTI</t>
  </si>
  <si>
    <t>ITA</t>
  </si>
  <si>
    <t>Melissa GIORDANO</t>
  </si>
  <si>
    <t>Bianca RAYWARD</t>
  </si>
  <si>
    <t>AUS</t>
  </si>
  <si>
    <t>Giulia VETRANO</t>
  </si>
  <si>
    <t>Giovanni MASTRORILLI</t>
  </si>
  <si>
    <t>ESP</t>
  </si>
  <si>
    <t>Simone LOCCHI</t>
  </si>
  <si>
    <t>Jaime IRUESTE ROJO</t>
  </si>
  <si>
    <t>Alberto TURRADO</t>
  </si>
  <si>
    <t>Davide CREMONINI</t>
  </si>
  <si>
    <t>Zac REID</t>
  </si>
  <si>
    <t>Eadie FERGUS</t>
  </si>
  <si>
    <t>Tom DOURAGER</t>
  </si>
  <si>
    <t>French Rescue - 2025</t>
  </si>
  <si>
    <t>FRA</t>
  </si>
  <si>
    <t>Kacper MAJCHRZAK</t>
  </si>
  <si>
    <t>World Games - 2025</t>
  </si>
  <si>
    <t>POL</t>
  </si>
  <si>
    <t>Harrison HYNES</t>
  </si>
  <si>
    <t>LWC - 2024</t>
  </si>
  <si>
    <t>Francesco IPPOLITO</t>
  </si>
  <si>
    <t>Aon-NZPRC - 2025</t>
  </si>
  <si>
    <t>Riccione - 2019</t>
  </si>
  <si>
    <t>Riccione - 2024</t>
  </si>
  <si>
    <t>Battle of Tasman - 2025</t>
  </si>
  <si>
    <t>Riccione - 2022</t>
  </si>
  <si>
    <t>Orange Cup - 2024</t>
  </si>
  <si>
    <t>Alicante - 2024</t>
  </si>
  <si>
    <t>German Cup - 2022</t>
  </si>
  <si>
    <t>Torrevieja - 2021</t>
  </si>
  <si>
    <t>LWC - 2018</t>
  </si>
  <si>
    <t>Riccione - 2023</t>
  </si>
  <si>
    <t>Nina HOLT</t>
  </si>
  <si>
    <t>GER</t>
  </si>
  <si>
    <t>Lucrezia FABRETTI</t>
  </si>
  <si>
    <t>Milano - 2022</t>
  </si>
  <si>
    <t>Madison KIDD</t>
  </si>
  <si>
    <t>Magalie ROUSSAU</t>
  </si>
  <si>
    <t>Saint Malo - 2022</t>
  </si>
  <si>
    <t>Ying LU</t>
  </si>
  <si>
    <t>Kaohsiung - 2009</t>
  </si>
  <si>
    <t>CHN</t>
  </si>
  <si>
    <t>100m Retten2</t>
  </si>
  <si>
    <t>100m Kombi2</t>
  </si>
  <si>
    <t>100m Lifesaver2</t>
  </si>
  <si>
    <t>200m Superlifesaver2</t>
  </si>
  <si>
    <t>200m Hindernis2</t>
  </si>
  <si>
    <t>OG</t>
  </si>
  <si>
    <t>Danny WIEK</t>
  </si>
  <si>
    <t>Jan MALLKOWSKI</t>
  </si>
  <si>
    <t>DEM - 2018</t>
  </si>
  <si>
    <t>50m Retten - offen - W</t>
  </si>
  <si>
    <t>100m Retten - offen - W</t>
  </si>
  <si>
    <t>100m Kombi - offen - W</t>
  </si>
  <si>
    <t>100m Lifesaver - offen - W</t>
  </si>
  <si>
    <t>200m Superlifesaver - offen - W</t>
  </si>
  <si>
    <t>200m Hindernis - offen - W</t>
  </si>
  <si>
    <t>50m Retten - offen - M</t>
  </si>
  <si>
    <t>100m Retten - offen - M</t>
  </si>
  <si>
    <t>100m Kombi - offen - M</t>
  </si>
  <si>
    <t>100m Lifesaver - offen - M</t>
  </si>
  <si>
    <t>200m Superlifesaver - offen - M</t>
  </si>
  <si>
    <t>200m Hindernis - offen - M</t>
  </si>
  <si>
    <t>50m Retten - 17/18 - W</t>
  </si>
  <si>
    <t>100m Retten - 17/18 - W</t>
  </si>
  <si>
    <t>100m Kombi -17/18 - W</t>
  </si>
  <si>
    <t>100m Lifesaver - 17/18 - W</t>
  </si>
  <si>
    <t>200m Superlifesaver - 17/18 - W</t>
  </si>
  <si>
    <t>200m Hindernis - 17/18 - W</t>
  </si>
  <si>
    <t>100m Retten - 17/18 - M</t>
  </si>
  <si>
    <t>100m Kombi - 17/18 - M</t>
  </si>
  <si>
    <t>100m Lifesaver - 17/18 - M</t>
  </si>
  <si>
    <t>200m Superlifesaver - 17/18 - M</t>
  </si>
  <si>
    <t>200m Hindernis - 17/18 - M</t>
  </si>
  <si>
    <t>Leo Ilias BAUMANN</t>
  </si>
  <si>
    <t>EYLC - 2024</t>
  </si>
  <si>
    <t>Völklingen</t>
  </si>
  <si>
    <t>DP - 2025</t>
  </si>
  <si>
    <t>DP - 2024</t>
  </si>
  <si>
    <t>Orange Cup - 2025</t>
  </si>
  <si>
    <t>50m Retten - 15/16 - W</t>
  </si>
  <si>
    <t>100m Kombi - 15/16 - W</t>
  </si>
  <si>
    <t>100m Lifesaver -  15/16 - W</t>
  </si>
  <si>
    <t>200m Superlifesaver -  15/16 - W</t>
  </si>
  <si>
    <t>200m Hindernis -  15/16 - W</t>
  </si>
  <si>
    <t>100m Retten - 15/16 - M</t>
  </si>
  <si>
    <t>50m Retten - 15/16 - M</t>
  </si>
  <si>
    <t>100m Kombi -15/16 - M</t>
  </si>
  <si>
    <t>100m Lifesaver - 15/16 - M</t>
  </si>
  <si>
    <t>200m Superlifesaver - 15/16 - M</t>
  </si>
  <si>
    <t>200m Hindernis - 15/16 - M</t>
  </si>
  <si>
    <t>50m Retten - 13/14 - W</t>
  </si>
  <si>
    <t>100m Retten - 15/16 - W</t>
  </si>
  <si>
    <t>50m Retten - 13/14 - M</t>
  </si>
  <si>
    <t>50m Retten mit Flossen - 13/14 - W</t>
  </si>
  <si>
    <t>100m Hindernis - 13/14 - W</t>
  </si>
  <si>
    <t>50m Retten mit Flossen - 13/14 - M</t>
  </si>
  <si>
    <t>100m Hindernis - 13/14 - M</t>
  </si>
  <si>
    <t>50m Flossen - 12 - W</t>
  </si>
  <si>
    <t>50m komb. Schwimmen - 12 - W</t>
  </si>
  <si>
    <t>50m Flossen - 12 - M</t>
  </si>
  <si>
    <t>50m komb. Schwimmen - 12 - M</t>
  </si>
  <si>
    <t>50m Hindernis - 12 - W</t>
  </si>
  <si>
    <t>50m Hindernis - 12 - M</t>
  </si>
  <si>
    <t>Anton KIRSCH</t>
  </si>
  <si>
    <t>Verl</t>
  </si>
  <si>
    <t>50m Retten - 17/18 - M</t>
  </si>
  <si>
    <t>Tabellen Name</t>
  </si>
  <si>
    <t>Mindest alter</t>
  </si>
  <si>
    <t>Geschlecht</t>
  </si>
  <si>
    <t>w</t>
  </si>
  <si>
    <t>Qualizeitraum anfang</t>
  </si>
  <si>
    <t>Qualizeitraum Ende</t>
  </si>
  <si>
    <t>Letzter Wettkampf am</t>
  </si>
  <si>
    <t>Landesverband</t>
  </si>
  <si>
    <t>Pool-Länge</t>
  </si>
  <si>
    <t>OMS</t>
  </si>
  <si>
    <t>Regelwerk</t>
  </si>
  <si>
    <t>Referenz</t>
  </si>
  <si>
    <t>3-Kampf Regel</t>
  </si>
  <si>
    <t>Anzahl Nominierte</t>
  </si>
  <si>
    <t>Anzahl Nachrücker</t>
  </si>
  <si>
    <t>Seiten Anzahl</t>
  </si>
  <si>
    <t>4-Kampf</t>
  </si>
  <si>
    <t>BA</t>
  </si>
  <si>
    <t>Nein</t>
  </si>
  <si>
    <t>Ja</t>
  </si>
  <si>
    <t>Absagen</t>
  </si>
  <si>
    <t>m</t>
  </si>
  <si>
    <t>Daniel Bittighofer, Roland Konietzny</t>
  </si>
  <si>
    <t>Regina Blonski</t>
  </si>
  <si>
    <t>Referenz Jahr</t>
  </si>
  <si>
    <t>Jahr + 1</t>
  </si>
  <si>
    <t>Mindest Punktzahl</t>
  </si>
  <si>
    <t>Mindest Disziplinen</t>
  </si>
  <si>
    <t>Weiblich Offen</t>
  </si>
  <si>
    <t>Männlich Offen</t>
  </si>
  <si>
    <t>Weiblich 17/18</t>
  </si>
  <si>
    <t>Männlich 17/18</t>
  </si>
  <si>
    <t>Weiblich 15/16</t>
  </si>
  <si>
    <t>Männlich 15/16</t>
  </si>
  <si>
    <t>30.6.Jahr</t>
  </si>
  <si>
    <t>1.1.Jahr</t>
  </si>
  <si>
    <t>Weiblich (2026 findet kein DP statt)</t>
  </si>
  <si>
    <t>Männlich (2026 findet kein DP statt)</t>
  </si>
  <si>
    <t>Mindest Alter</t>
  </si>
  <si>
    <t>PZ1 - 50m Retten</t>
  </si>
  <si>
    <t>PZ1 - 100m Retten</t>
  </si>
  <si>
    <t>PZ1 - 100m Kombi</t>
  </si>
  <si>
    <t>PZ1 - 200m Hindernis</t>
  </si>
  <si>
    <t>PZ1 - 200m Super-Lifesaver</t>
  </si>
  <si>
    <t>PZ1 - 100m Lifesaver</t>
  </si>
  <si>
    <t>PZ2 - 50m Retten</t>
  </si>
  <si>
    <t>PZ2 - 100m Retten</t>
  </si>
  <si>
    <t>PZ2 - 100m Kombi</t>
  </si>
  <si>
    <t>PZ2 - 100m Lifesaver</t>
  </si>
  <si>
    <t>PZ2 - 200m Super-Lifesaver</t>
  </si>
  <si>
    <t>PZ2 - 200m Hindernis</t>
  </si>
  <si>
    <t>Weiblich U17</t>
  </si>
  <si>
    <t>Männlich U17</t>
  </si>
  <si>
    <t>Weiblich U19</t>
  </si>
  <si>
    <t>Männlich U19</t>
  </si>
  <si>
    <t>Jahr</t>
  </si>
  <si>
    <t>1.11.Jahr - 1</t>
  </si>
  <si>
    <t>30.10.Jahr</t>
  </si>
  <si>
    <t>100m Kombinierte Rettungsübung</t>
  </si>
  <si>
    <t>100m Retten mit Flossen</t>
  </si>
  <si>
    <t>100m Retten mit Flossen und Gurtretter</t>
  </si>
  <si>
    <t>200m Hindernisschwimmen</t>
  </si>
  <si>
    <t>JRP (TEST) Weiblich</t>
  </si>
  <si>
    <t>JRP (TEST) Männlich</t>
  </si>
  <si>
    <t>datum von</t>
  </si>
  <si>
    <t>datum bis</t>
  </si>
  <si>
    <t>uhrzeit von</t>
  </si>
  <si>
    <t>uhrzeit bis</t>
  </si>
  <si>
    <t>titel</t>
  </si>
  <si>
    <t>kader</t>
  </si>
  <si>
    <t>ort</t>
  </si>
  <si>
    <t>Kadertraining LK1</t>
  </si>
  <si>
    <t>Fächerbad, Karlsruhe</t>
  </si>
  <si>
    <t>LK1</t>
  </si>
  <si>
    <t>meta</t>
  </si>
  <si>
    <t>50m Bahn, Treffpunkt 9:15 im Foyer</t>
  </si>
  <si>
    <t>Kadertraining LK2</t>
  </si>
  <si>
    <t>WarmUp, Beach Flags, 50m Bahn, Cool down, Treffpunkt: 12:00 Uhr im Foyer</t>
  </si>
  <si>
    <t>JRP und LMS Vorbereitung. (Ocean &amp; Pool)</t>
  </si>
  <si>
    <t>Buchtzigsee, Ettlingen &amp; Fächerbad, Karlsruhe</t>
  </si>
  <si>
    <t>50m Bahn, Treffpunkt 12:45 im Foyer</t>
  </si>
  <si>
    <t>Junioren Rettungspokal</t>
  </si>
  <si>
    <t>(Nominierungswettkampf)</t>
  </si>
  <si>
    <t>Paderborn/Lippstadt</t>
  </si>
  <si>
    <t>Trainingslehrgang LK3</t>
  </si>
  <si>
    <t>Hallenbad Oberhausen-Rheinhausen</t>
  </si>
  <si>
    <t>LK3</t>
  </si>
  <si>
    <t>18. Bodensee Pokal</t>
  </si>
  <si>
    <t>Internationaler Wettkampf für Baden, Württemberg, Bayern, Österreich, Schweiz. (Nominierungswettkampf)</t>
  </si>
  <si>
    <t>Stuttgart, RheinNeckar Park</t>
  </si>
  <si>
    <t>LK1 / LK2 / LK3</t>
  </si>
  <si>
    <t>20.7.Jahr - 1</t>
  </si>
  <si>
    <t>Lara Ramackers, Lina Weidmann</t>
  </si>
  <si>
    <t>NK2 - Männlich</t>
  </si>
  <si>
    <t>NK 1 - Männlich</t>
  </si>
  <si>
    <t>NK2 - Weiblich</t>
  </si>
  <si>
    <t>NK 1 - Weiblich</t>
  </si>
  <si>
    <t>Disziplinen</t>
  </si>
  <si>
    <t>PK 1 - Männlich</t>
  </si>
  <si>
    <t>PK 1 - Weiblich</t>
  </si>
  <si>
    <t>NK2 - LK2    Männlich</t>
  </si>
  <si>
    <t>NK1 - LK1   Männlich</t>
  </si>
  <si>
    <t>PK 1 - /   Männlich</t>
  </si>
  <si>
    <t>NK2 - LK2   Weiblich</t>
  </si>
  <si>
    <t>NK1- LK1   Weiblich</t>
  </si>
  <si>
    <t>PK 1 - /    Weiblich</t>
  </si>
  <si>
    <t>LK2 - Männlich</t>
  </si>
  <si>
    <t>LK 1 - Männlich</t>
  </si>
  <si>
    <t>(PK 1 - Männlich)</t>
  </si>
  <si>
    <t>(PK 1 - Weiblich)</t>
  </si>
  <si>
    <t>LK2 / (LK1 - Junioren)</t>
  </si>
  <si>
    <t>Tageslehrgang für LK3 und deren Heimtrainer zu den neuen Disziplinen.</t>
  </si>
  <si>
    <t>LK1 - Männlich</t>
  </si>
  <si>
    <t>LK1 - Weiblich</t>
  </si>
  <si>
    <t>LK2 - Weiblich</t>
  </si>
  <si>
    <t>LK 1 - Weiblich</t>
  </si>
  <si>
    <t>NK1 - Weiblich</t>
  </si>
  <si>
    <t>NK1 - Männlich</t>
  </si>
  <si>
    <t>PK - Weiblich</t>
  </si>
  <si>
    <t>PK - Männlich</t>
  </si>
  <si>
    <t>mind. erreichte Normen</t>
  </si>
  <si>
    <t>PZ - 50m Retten</t>
  </si>
  <si>
    <t>PZ - 100m Retten</t>
  </si>
  <si>
    <t>PZ - 100m Kombi</t>
  </si>
  <si>
    <t>PZ - 100m Lifesaver</t>
  </si>
  <si>
    <t>PZ - 200m Super-Lifesaver</t>
  </si>
  <si>
    <t>PZ - 200m Hindernis</t>
  </si>
  <si>
    <t>LMS</t>
  </si>
  <si>
    <t>DMM</t>
  </si>
  <si>
    <t>DEM</t>
  </si>
  <si>
    <t>Trophy</t>
  </si>
  <si>
    <t>JRP</t>
  </si>
  <si>
    <t>WM</t>
  </si>
  <si>
    <t>EM</t>
  </si>
  <si>
    <t>JWM</t>
  </si>
  <si>
    <t>JEM</t>
  </si>
  <si>
    <t>DMO</t>
  </si>
  <si>
    <t>DMO Ocean</t>
  </si>
  <si>
    <t>Ocean Perf</t>
  </si>
  <si>
    <t>Filcow</t>
  </si>
  <si>
    <t>9-16</t>
  </si>
  <si>
    <t>4-8</t>
  </si>
  <si>
    <t>1-5</t>
  </si>
  <si>
    <t>1-3</t>
  </si>
  <si>
    <t>6-9</t>
  </si>
  <si>
    <t>4-6</t>
  </si>
  <si>
    <t>6-10</t>
  </si>
  <si>
    <t>1-8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</si>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</sst>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3" tint="-0.499984740745262"/>
      </right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theme="0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/>
      <diagonal/>
    </border>
    <border>
      <left/>
      <right style="thick">
        <color theme="3"/>
      </right>
      <top/>
      <bottom style="thick">
        <color theme="0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41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6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1" fillId="3" borderId="5" xfId="0" applyFont="1" applyFill="1" applyBorder="1" applyAlignment="1">
      <alignment horizontal="left" vertical="top" wrapText="1"/>
    </xf>
    <xf numFmtId="164" fontId="1" fillId="6" borderId="4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top" wrapText="1"/>
    </xf>
    <xf numFmtId="0" fontId="11" fillId="7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2" fillId="0" borderId="0" xfId="0" applyFont="1"/>
    <xf numFmtId="164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15" fillId="0" borderId="0" xfId="0" applyFont="1"/>
    <xf numFmtId="0" fontId="14" fillId="9" borderId="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vertical="center"/>
    </xf>
    <xf numFmtId="0" fontId="14" fillId="9" borderId="9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vertic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164" fontId="16" fillId="0" borderId="9" xfId="0" applyNumberFormat="1" applyFont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164" fontId="16" fillId="0" borderId="13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9" fontId="18" fillId="0" borderId="0" xfId="1" applyFont="1" applyAlignment="1">
      <alignment horizontal="center" vertical="center" wrapText="1"/>
    </xf>
    <xf numFmtId="9" fontId="18" fillId="0" borderId="7" xfId="1" applyFont="1" applyBorder="1" applyAlignment="1">
      <alignment horizontal="center" vertical="center" wrapText="1"/>
    </xf>
    <xf numFmtId="9" fontId="18" fillId="0" borderId="0" xfId="1" applyFont="1" applyBorder="1" applyAlignment="1">
      <alignment horizontal="center" vertical="center" wrapText="1"/>
    </xf>
    <xf numFmtId="9" fontId="18" fillId="0" borderId="10" xfId="1" applyFont="1" applyBorder="1" applyAlignment="1">
      <alignment horizontal="center" vertical="center" wrapText="1"/>
    </xf>
    <xf numFmtId="9" fontId="18" fillId="0" borderId="11" xfId="1" applyFont="1" applyBorder="1" applyAlignment="1">
      <alignment horizontal="center" vertical="center" wrapText="1"/>
    </xf>
    <xf numFmtId="9" fontId="18" fillId="0" borderId="13" xfId="1" applyFont="1" applyBorder="1" applyAlignment="1">
      <alignment horizontal="center" vertical="center" wrapText="1"/>
    </xf>
    <xf numFmtId="9" fontId="18" fillId="0" borderId="6" xfId="1" applyFont="1" applyBorder="1" applyAlignment="1">
      <alignment horizontal="center" vertical="center" wrapText="1"/>
    </xf>
    <xf numFmtId="9" fontId="18" fillId="0" borderId="9" xfId="1" applyFont="1" applyBorder="1" applyAlignment="1">
      <alignment horizontal="center" vertical="center" wrapText="1"/>
    </xf>
    <xf numFmtId="9" fontId="18" fillId="0" borderId="12" xfId="1" applyFont="1" applyBorder="1" applyAlignment="1">
      <alignment horizontal="center" vertical="center" wrapText="1"/>
    </xf>
    <xf numFmtId="9" fontId="18" fillId="0" borderId="0" xfId="1" applyFont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textRotation="90"/>
    </xf>
    <xf numFmtId="0" fontId="14" fillId="9" borderId="0" xfId="0" applyFont="1" applyFill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">
    <cellStyle name="Prozent" xfId="1" builtinId="5"/>
    <cellStyle name="Standard" xfId="0" builtinId="0"/>
  </cellStyles>
  <dxfs count="236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font>
        <color theme="4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6"/>
      </font>
    </dxf>
    <dxf>
      <font>
        <color theme="6"/>
      </font>
    </dxf>
    <dxf>
      <font>
        <color theme="4"/>
      </font>
    </dxf>
    <dxf>
      <font>
        <color theme="4"/>
      </font>
    </dxf>
    <dxf>
      <font>
        <color theme="6"/>
      </font>
    </dxf>
    <dxf>
      <font>
        <color theme="6"/>
      </font>
    </dxf>
    <dxf>
      <font>
        <color theme="4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numFmt numFmtId="30" formatCode="@"/>
    </dxf>
    <dxf>
      <numFmt numFmtId="30" formatCode="@"/>
    </dxf>
    <dxf>
      <numFmt numFmtId="25" formatCode="hh:mm"/>
    </dxf>
    <dxf>
      <numFmt numFmtId="25" formatCode="hh:mm"/>
    </dxf>
    <dxf>
      <numFmt numFmtId="19" formatCode="dd/mm/yyyy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top" textRotation="0" wrapText="1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E83EE-6B6F-478A-9C90-A846A1A76536}" name="WR_Open4" displayName="WR_Open4" ref="A4:AW31" totalsRowShown="0" headerRowDxfId="215" headerRowBorderDxfId="214" tableBorderDxfId="213">
  <autoFilter ref="A4:AW31" xr:uid="{2C5E83EE-6B6F-478A-9C90-A846A1A76536}"/>
  <tableColumns count="49">
    <tableColumn id="1" xr3:uid="{7C0C4105-A61A-4B8D-9129-EDC4F18765AF}" name="WR-Open" dataDxfId="212">
      <calculatedColumnFormula>A4+1</calculatedColumnFormula>
    </tableColumn>
    <tableColumn id="2" xr3:uid="{516F5612-F85F-413F-9012-E235F415E34B}" name="50m Retten - offen - W" dataDxfId="211"/>
    <tableColumn id="3" xr3:uid="{BC9ACAC9-0D45-42FD-B596-D19FBE3A4D83}" name="100m Retten - offen - W" dataDxfId="210"/>
    <tableColumn id="4" xr3:uid="{CB6DBE59-EB65-43F0-93E7-0BDC3F82832B}" name="100m Kombi - offen - W" dataDxfId="209"/>
    <tableColumn id="5" xr3:uid="{AA603C60-6831-4C14-A8CD-0AA050DA7551}" name="100m Lifesaver - offen - W" dataDxfId="208"/>
    <tableColumn id="6" xr3:uid="{7920F147-7717-4582-940A-2610F7D310CA}" name="200m Superlifesaver - offen - W" dataDxfId="207"/>
    <tableColumn id="7" xr3:uid="{04E21F1D-AC8D-4A1B-9B43-59B8F7901673}" name="200m Hindernis - offen - W" dataDxfId="206"/>
    <tableColumn id="8" xr3:uid="{40E8A083-653A-48A8-9B37-0A2D850B7829}" name="50m Retten - offen - M" dataDxfId="205"/>
    <tableColumn id="9" xr3:uid="{863824A9-134F-4189-BB14-225AE224FC44}" name="100m Retten - offen - M" dataDxfId="204"/>
    <tableColumn id="10" xr3:uid="{598FC6AE-DEA2-4475-9A35-CDCB8C81496A}" name="100m Kombi - offen - M"/>
    <tableColumn id="11" xr3:uid="{9FC50B37-0D51-422E-A268-A6506D4F3854}" name="100m Lifesaver - offen - M"/>
    <tableColumn id="12" xr3:uid="{B8D2552B-5D82-442A-98F0-E47D5C5F6728}" name="200m Superlifesaver - offen - M"/>
    <tableColumn id="13" xr3:uid="{5A5E9873-0C5F-4508-AF6B-4974E0526D84}" name="200m Hindernis - offen - M" dataDxfId="203"/>
    <tableColumn id="14" xr3:uid="{FA907992-7FCE-4CAD-8CF2-F5BEBC9B3756}" name="50m Retten - 17/18 - W" dataDxfId="202"/>
    <tableColumn id="15" xr3:uid="{76B63DC0-CB67-48F4-9B5A-D22902F59334}" name="100m Retten - 17/18 - W" dataDxfId="201"/>
    <tableColumn id="16" xr3:uid="{614A2419-51B1-44C0-8469-ADBFB078B81A}" name="100m Kombi -17/18 - W" dataDxfId="200"/>
    <tableColumn id="17" xr3:uid="{2EC953EE-367D-4524-A25E-8DE3B8168E34}" name="100m Lifesaver - 17/18 - W" dataDxfId="199"/>
    <tableColumn id="18" xr3:uid="{25711867-9BD7-4197-9094-A21392411249}" name="200m Superlifesaver - 17/18 - W" dataDxfId="198"/>
    <tableColumn id="19" xr3:uid="{262DB142-CFB1-45C3-9332-7273CACD1B62}" name="200m Hindernis - 17/18 - W" dataDxfId="197"/>
    <tableColumn id="20" xr3:uid="{938BA45A-8244-4637-8A14-DF49CD91A945}" name="50m Retten - 17/18 - M" dataDxfId="196"/>
    <tableColumn id="21" xr3:uid="{737E28D8-900F-4A98-95FE-EE7B0AFDEE90}" name="100m Retten - 17/18 - M" dataDxfId="195"/>
    <tableColumn id="22" xr3:uid="{330BD3A8-061C-45E2-ADDB-40C2F346772F}" name="100m Kombi - 17/18 - M" dataDxfId="194"/>
    <tableColumn id="23" xr3:uid="{0CADDE90-A167-4E1D-8D33-8624E5E1A4E2}" name="100m Lifesaver - 17/18 - M" dataDxfId="193"/>
    <tableColumn id="24" xr3:uid="{FCF9F42C-1291-4985-9D37-B9DE2DAA5DCB}" name="200m Superlifesaver - 17/18 - M" dataDxfId="192"/>
    <tableColumn id="25" xr3:uid="{4E5397B2-F924-4F48-AE69-AF6D650AF88D}" name="200m Hindernis - 17/18 - M" dataDxfId="191"/>
    <tableColumn id="26" xr3:uid="{0A78315A-BFDC-43EE-A66F-48B301F66508}" name="50m Retten - 15/16 - W" dataDxfId="190"/>
    <tableColumn id="27" xr3:uid="{D3FCF8BD-6C76-450D-80C0-CC0519A79731}" name="100m Retten - 15/16 - W" dataDxfId="189"/>
    <tableColumn id="28" xr3:uid="{6BE7937E-D62D-47CD-95DE-1730304B0DF3}" name="100m Kombi - 15/16 - W" dataDxfId="188"/>
    <tableColumn id="29" xr3:uid="{098BA5BE-5AF6-4187-89B6-534498F24C51}" name="100m Lifesaver -  15/16 - W" dataDxfId="187"/>
    <tableColumn id="30" xr3:uid="{2A6822CF-143C-4BF7-A440-5777527BE512}" name="200m Superlifesaver -  15/16 - W" dataDxfId="186"/>
    <tableColumn id="31" xr3:uid="{541C7145-CDEA-4E4E-9E7A-A4F05BA6C3E5}" name="200m Hindernis -  15/16 - W" dataDxfId="185"/>
    <tableColumn id="32" xr3:uid="{342C4488-8C61-42E6-87A9-C75BD8EB7452}" name="50m Retten - 15/16 - M" dataDxfId="184"/>
    <tableColumn id="33" xr3:uid="{857B1D46-7D20-47F7-AB9B-732D50346E32}" name="100m Retten - 15/16 - M" dataDxfId="183"/>
    <tableColumn id="34" xr3:uid="{4C8A2EB4-804B-45F1-A768-9A6958957F8B}" name="100m Kombi -15/16 - M" dataDxfId="182"/>
    <tableColumn id="35" xr3:uid="{26C75B4F-21EC-4EB0-A9A9-54BC80140672}" name="100m Lifesaver - 15/16 - M" dataDxfId="181"/>
    <tableColumn id="36" xr3:uid="{DBBB2A23-1A06-429A-A5D1-A547EF5EC16F}" name="200m Superlifesaver - 15/16 - M" dataDxfId="180"/>
    <tableColumn id="37" xr3:uid="{84061231-CAE5-427A-87F5-6DDBA99F77D2}" name="200m Hindernis - 15/16 - M" dataDxfId="179"/>
    <tableColumn id="38" xr3:uid="{878CCA80-A742-4B3C-90C9-E93BB814201B}" name="50m Retten - 13/14 - W" dataDxfId="178"/>
    <tableColumn id="39" xr3:uid="{A1F57102-61CF-4784-8DE2-0B8F32D5D699}" name="50m Retten mit Flossen - 13/14 - W" dataDxfId="177"/>
    <tableColumn id="40" xr3:uid="{0F6BAF78-3D79-42A9-9FED-E6D0E335A920}" name="100m Hindernis - 13/14 - W" dataDxfId="176"/>
    <tableColumn id="41" xr3:uid="{EB748A68-E10D-4D76-B315-8FDB3AC33C8D}" name="50m Retten - 13/14 - M" dataDxfId="175"/>
    <tableColumn id="42" xr3:uid="{C7B04167-6430-40F0-9A0F-D0D0BE2F9C77}" name="50m Retten mit Flossen - 13/14 - M" dataDxfId="174"/>
    <tableColumn id="43" xr3:uid="{48704BB7-A853-445A-8CDC-8D8F86C2B66A}" name="100m Hindernis - 13/14 - M" dataDxfId="173"/>
    <tableColumn id="44" xr3:uid="{9605FE9A-F41C-4A5F-A59C-B7A9D45C460F}" name="50m Flossen - 12 - W" dataDxfId="172"/>
    <tableColumn id="45" xr3:uid="{4C9DBF61-35B1-4BC2-8272-526E0AFAAFFB}" name="50m komb. Schwimmen - 12 - W" dataDxfId="171"/>
    <tableColumn id="46" xr3:uid="{CF433C95-C272-48F9-98CD-7E3C8DBB6F2C}" name="50m Hindernis - 12 - W" dataDxfId="170"/>
    <tableColumn id="47" xr3:uid="{FADB7411-DB43-4B14-B9E8-D74CA1BA18B8}" name="50m Flossen - 12 - M" dataDxfId="169"/>
    <tableColumn id="48" xr3:uid="{02936F84-1D82-48AC-8D7C-6D2954D68A06}" name="50m komb. Schwimmen - 12 - M" dataDxfId="168"/>
    <tableColumn id="49" xr3:uid="{7FD9BD11-0597-4E07-8DA5-DB53384197F5}" name="50m Hindernis - 12 - M" dataDxfId="1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4D44E-A2BE-4790-B589-1A8CC19B714E}" name="WR_Youth" displayName="WR_Youth" ref="A4:M32" totalsRowShown="0" headerRowDxfId="166" dataDxfId="164" headerRowBorderDxfId="165" tableBorderDxfId="163">
  <autoFilter ref="A4:M32" xr:uid="{4234D44E-A2BE-4790-B589-1A8CC19B714E}"/>
  <tableColumns count="13">
    <tableColumn id="1" xr3:uid="{848E691A-41B0-42DD-B122-FB6DF43CB3EF}" name="WR-Youth" dataDxfId="162"/>
    <tableColumn id="2" xr3:uid="{2FE43F18-485B-46A9-8946-FBC5FDAE5A8E}" name="50m Retten" dataDxfId="161"/>
    <tableColumn id="3" xr3:uid="{CA5C3ABF-02E6-442B-868B-95B293B231D3}" name="100m Retten" dataDxfId="160"/>
    <tableColumn id="4" xr3:uid="{7A6BBA52-2145-464D-8C04-B2CCFC1A90DC}" name="100m Kombi" dataDxfId="159"/>
    <tableColumn id="5" xr3:uid="{21F420C9-E788-49EE-88F6-E37963ED31CF}" name="100m Lifesaver" dataDxfId="158"/>
    <tableColumn id="6" xr3:uid="{CB87B7CD-8A9C-4775-A4D7-4D267F43FD1A}" name="200m Superlifesaver" dataDxfId="157"/>
    <tableColumn id="7" xr3:uid="{2DC7F290-B564-4851-85AE-D211DA701B32}" name="200m Hindernis" dataDxfId="156"/>
    <tableColumn id="8" xr3:uid="{8112783D-8796-4D6A-8414-AC675D745697}" name="50m Retten2" dataDxfId="155"/>
    <tableColumn id="9" xr3:uid="{4E818CD4-8725-495D-9D1D-1AFCED9181F5}" name="100m Retten2" dataDxfId="154"/>
    <tableColumn id="10" xr3:uid="{28C05A91-E302-40A9-B50A-ECF997F129FC}" name="100m Kombi2" dataDxfId="153"/>
    <tableColumn id="11" xr3:uid="{D56FB9F2-45BF-4EC9-A84C-8A5FB59F2F05}" name="100m Lifesaver2" dataDxfId="152"/>
    <tableColumn id="12" xr3:uid="{540169C0-2A40-4794-A872-F7DF8A887BF2}" name="200m Superlifesaver2" dataDxfId="151"/>
    <tableColumn id="13" xr3:uid="{D104CB67-B55A-4C81-87E5-0AC758DD22A4}" name="200m Hindernis2" dataDxfId="1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2F97B-7645-4066-8AB3-F35CF6E035EB}" name="WR_Open" displayName="WR_Open" ref="A4:M32" totalsRowShown="0" headerRowDxfId="149" headerRowBorderDxfId="148" tableBorderDxfId="147">
  <autoFilter ref="A4:M32" xr:uid="{E2D2F97B-7645-4066-8AB3-F35CF6E035EB}"/>
  <tableColumns count="13">
    <tableColumn id="1" xr3:uid="{AE73402B-B27E-4B29-8DCF-30B7FC1855EF}" name="WR-Open" dataDxfId="146">
      <calculatedColumnFormula>A4+1</calculatedColumnFormula>
    </tableColumn>
    <tableColumn id="2" xr3:uid="{EA3EAC1F-184E-4A28-B3E3-08DE12F138EF}" name="50m Retten" dataDxfId="145"/>
    <tableColumn id="3" xr3:uid="{E0305A3F-6087-4F8C-8B64-153E1ACAA32E}" name="100m Retten" dataDxfId="144"/>
    <tableColumn id="4" xr3:uid="{F0B7AC37-315E-49AA-855C-7955D2B43A76}" name="100m Kombi" dataDxfId="143"/>
    <tableColumn id="5" xr3:uid="{B5E690AB-DB7D-4864-8916-89D2A68C4128}" name="100m Lifesaver" dataDxfId="142"/>
    <tableColumn id="6" xr3:uid="{D89BAF4D-36AE-4C73-9320-9C5736F02F8A}" name="200m Superlifesaver" dataDxfId="141"/>
    <tableColumn id="7" xr3:uid="{58AE7517-1A90-459F-A7D2-B95265D217E7}" name="200m Hindernis" dataDxfId="140"/>
    <tableColumn id="8" xr3:uid="{13A189FB-E897-4A1F-A001-525F61E9CFFF}" name="50m Retten2" dataDxfId="139"/>
    <tableColumn id="9" xr3:uid="{36418AC5-46B8-400F-BD2E-D329CF4F92CD}" name="100m Retten2" dataDxfId="138"/>
    <tableColumn id="10" xr3:uid="{06A35C2D-7313-472B-BC1F-4F2FB1D14782}" name="100m Kombi2"/>
    <tableColumn id="11" xr3:uid="{89966D0D-9131-4245-A7BE-1A7384D5ADA0}" name="100m Lifesaver2"/>
    <tableColumn id="12" xr3:uid="{D9D6CF56-869C-4DDE-9886-572D4E523A8F}" name="200m Superlifesaver2"/>
    <tableColumn id="13" xr3:uid="{18A5C8DC-8C8E-4F2D-BDD1-01D37942869A}" name="200m Hindernis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3D303A-A04B-42DD-A44E-CEB6CECB77A4}" name="DP_konfig" displayName="DP_konfig" ref="A1:U3" totalsRowShown="0" headerRowDxfId="137" dataDxfId="136">
  <autoFilter ref="A1:U3" xr:uid="{CF3D303A-A04B-42DD-A44E-CEB6CECB77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58D628F0-061E-4A82-8362-CDB37A2E7C60}" name="Tabellen Name" dataDxfId="135"/>
    <tableColumn id="2" xr3:uid="{2F302F6C-F8AF-4FDE-AB08-6F30F9671015}" name="Geschlecht" dataDxfId="134"/>
    <tableColumn id="3" xr3:uid="{4D91FBF9-386D-43DD-90D0-B49823FDB629}" name="Mindest alter" dataDxfId="133"/>
    <tableColumn id="4" xr3:uid="{4126AAC6-AF2F-446C-B4EA-D86ACFD9FAC2}" name="Maximales Alter" dataDxfId="132"/>
    <tableColumn id="5" xr3:uid="{8A10890A-A299-4B09-AC72-0E9AE9238AF3}" name="Qualizeitraum anfang" dataDxfId="131"/>
    <tableColumn id="6" xr3:uid="{FBCD1C13-FC82-429B-8DE1-0C5A455FDAB8}" name="Qualizeitraum Ende" dataDxfId="130"/>
    <tableColumn id="7" xr3:uid="{1DCCAC9B-BC46-468E-A3CE-57576C2FF11D}" name="Letzter Wettkampf am" dataDxfId="129"/>
    <tableColumn id="8" xr3:uid="{9A6E47EE-ABD8-4A1E-87D3-9D286E4C124F}" name="Wertung" dataDxfId="128"/>
    <tableColumn id="9" xr3:uid="{09E848D2-ED17-49C7-9775-CBF17D20DFC0}" name="Landesverband" dataDxfId="127"/>
    <tableColumn id="10" xr3:uid="{70ABB713-23F6-4FCF-920E-3CB0CD451446}" name="OMS" dataDxfId="126"/>
    <tableColumn id="11" xr3:uid="{9C108A1C-E6AB-4C13-9C1D-0FA8944A39A3}" name="Pool-Länge" dataDxfId="125"/>
    <tableColumn id="12" xr3:uid="{087948DD-430D-48F1-906D-4F4EF4B46053}" name="Regelwerk" dataDxfId="124"/>
    <tableColumn id="13" xr3:uid="{BF42D9C0-F77D-4971-A67E-32B0246C72C3}" name="Referenz" dataDxfId="123"/>
    <tableColumn id="19" xr3:uid="{AFFB84E8-B398-4E99-805B-9A247071A040}" name="Referenz Jahr" dataDxfId="122"/>
    <tableColumn id="20" xr3:uid="{0A59A474-DFBB-4437-8EFF-70284AFD9934}" name="Mindest Punktzahl" dataDxfId="121"/>
    <tableColumn id="21" xr3:uid="{198BD231-EEF3-43C9-AD9B-39B4B7E9B337}" name="Mindest Disziplinen" dataDxfId="120"/>
    <tableColumn id="14" xr3:uid="{443CD4F6-A2B2-480B-BB35-DCEEBC531727}" name="3-Kampf Regel" dataDxfId="119"/>
    <tableColumn id="15" xr3:uid="{70116160-7666-42B1-92AC-FAC2620E6A60}" name="Anzahl Nominierte" dataDxfId="118"/>
    <tableColumn id="16" xr3:uid="{0EFD0A46-D12B-4AB0-907C-08E5D9F282E0}" name="Anzahl Nachrücker" dataDxfId="117"/>
    <tableColumn id="17" xr3:uid="{AA5430A0-8ED8-40E8-B7F8-DA25E4E8790F}" name="Seiten Anzahl" dataDxfId="116"/>
    <tableColumn id="18" xr3:uid="{16F699D9-2741-43F3-AD5F-826A568EFEAC}" name="Absagen" dataDxfId="1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BF6724-48A1-41AB-94B5-CC35C54BB15C}" name="BP_konfig" displayName="BP_konfig" ref="A1:U7" totalsRowShown="0" headerRowDxfId="114" dataDxfId="113">
  <autoFilter ref="A1:U7" xr:uid="{CDBF6724-48A1-41AB-94B5-CC35C54BB15C}"/>
  <tableColumns count="21">
    <tableColumn id="1" xr3:uid="{E1FB3D0C-B874-4874-BACC-6872CF171957}" name="Tabellen Name" dataDxfId="112"/>
    <tableColumn id="2" xr3:uid="{FFDD2777-2097-450C-B020-F133CF643855}" name="Geschlecht" dataDxfId="111"/>
    <tableColumn id="3" xr3:uid="{8CF52BE2-8020-48BD-A36D-63F13A1878DE}" name="Mindest alter" dataDxfId="110"/>
    <tableColumn id="4" xr3:uid="{FD3A030F-CD97-4B6F-8E8C-BC2E67D79F1D}" name="Maximales Alter" dataDxfId="109"/>
    <tableColumn id="5" xr3:uid="{3E22B645-D77C-4509-B031-9914FCB91599}" name="Qualizeitraum anfang" dataDxfId="108"/>
    <tableColumn id="6" xr3:uid="{AE299324-3C1C-4063-ADF9-54555A161734}" name="Qualizeitraum Ende" dataDxfId="107"/>
    <tableColumn id="7" xr3:uid="{DCC178B3-11FC-4C53-BBC6-C2FDA2C89857}" name="Letzter Wettkampf am" dataDxfId="106"/>
    <tableColumn id="8" xr3:uid="{2811DB01-60A5-4BE4-B6F9-A806398A602A}" name="Wertung" dataDxfId="105"/>
    <tableColumn id="9" xr3:uid="{0C16DAFE-847D-4E9E-9604-3A7D9FE924D0}" name="Landesverband" dataDxfId="104"/>
    <tableColumn id="10" xr3:uid="{7A8A4101-A553-4BD5-9116-9AA5876B9401}" name="OMS" dataDxfId="103"/>
    <tableColumn id="11" xr3:uid="{9807C9BD-6499-45F6-ACE0-4D13D64EF675}" name="Pool-Länge" dataDxfId="102"/>
    <tableColumn id="12" xr3:uid="{13D336DD-650F-4F2C-836F-361CA1528F6D}" name="Regelwerk" dataDxfId="101"/>
    <tableColumn id="13" xr3:uid="{66660E2D-ADF2-4FB5-8A13-004F826EE908}" name="Referenz" dataDxfId="100"/>
    <tableColumn id="19" xr3:uid="{D72EDF8B-ECC3-4FF7-ABE6-B60BCE4A5E26}" name="Referenz Jahr" dataDxfId="99"/>
    <tableColumn id="20" xr3:uid="{7B18E667-70F7-4BC1-AB1B-21C019F2AA89}" name="Mindest Punktzahl" dataDxfId="98"/>
    <tableColumn id="21" xr3:uid="{FC185946-681B-42A6-AB1A-FC1EABB668C5}" name="Mindest Disziplinen" dataDxfId="97"/>
    <tableColumn id="14" xr3:uid="{6A2676FD-2EC7-4C41-A35E-A1597A38F932}" name="3-Kampf Regel" dataDxfId="96"/>
    <tableColumn id="15" xr3:uid="{718E0917-4F83-4A2B-832F-EBB16D5E21BF}" name="Anzahl Nominierte" dataDxfId="95"/>
    <tableColumn id="16" xr3:uid="{5C66A461-D647-4E00-A81C-FD7AD44D7CC2}" name="Anzahl Nachrücker" dataDxfId="94"/>
    <tableColumn id="17" xr3:uid="{D434BDEC-293B-4B4E-A5E9-479438960A03}" name="Seiten Anzahl" dataDxfId="93"/>
    <tableColumn id="18" xr3:uid="{80908229-9247-473F-81C0-9C9D4C12FF06}" name="Absagen" dataDxfId="9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F87202-5A6A-4E2F-B973-3CE7EC2566C1}" name="DEM_konfig" displayName="DEM_konfig" ref="A1:X7" totalsRowShown="0" headerRowDxfId="91" dataDxfId="90">
  <autoFilter ref="A1:X7" xr:uid="{16F87202-5A6A-4E2F-B973-3CE7EC2566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4847B567-64E1-4AC3-8C4B-EFCF3F00CC6C}" name="Tabellen Name" dataDxfId="89"/>
    <tableColumn id="2" xr3:uid="{6346FF3B-B334-4CD8-8B23-F2347E29C536}" name="Geschlecht" dataDxfId="88"/>
    <tableColumn id="3" xr3:uid="{E793B48A-BC8A-439F-8AAF-6FD08104A619}" name="Mindest Alter" dataDxfId="87"/>
    <tableColumn id="4" xr3:uid="{01A62C29-2F75-4107-A431-F69230BCCD0C}" name="Maximales Alter" dataDxfId="86"/>
    <tableColumn id="5" xr3:uid="{B7E4DE90-7856-4A0C-9063-61414D7F227C}" name="Qualizeitraum anfang" dataDxfId="85"/>
    <tableColumn id="6" xr3:uid="{B00F7CD1-82CB-42B9-A396-89F79EF419CA}" name="Qualizeitraum Ende" dataDxfId="84"/>
    <tableColumn id="7" xr3:uid="{9E50DDE5-12E3-4BCB-801C-FBABCE309F0E}" name="Letzter Wettkampf am" dataDxfId="83"/>
    <tableColumn id="8" xr3:uid="{57E68247-0FF2-48D8-8ACD-AB057E576A21}" name="Landesverband" dataDxfId="82"/>
    <tableColumn id="9" xr3:uid="{EBAA439D-F69A-4C2A-8193-9AE08F1E57B8}" name="OMS" dataDxfId="81"/>
    <tableColumn id="10" xr3:uid="{BBD11E7F-3DDF-428A-B005-4A40E6FA78DC}" name="Pool-Länge" dataDxfId="80"/>
    <tableColumn id="11" xr3:uid="{6AE38DCA-A084-4F3D-A6A4-4E76E3E2CBC6}" name="Regelwerk" dataDxfId="79"/>
    <tableColumn id="12" xr3:uid="{7F7470AD-5502-4CEE-BB4C-44BA308E61D7}" name="Seiten Anzahl" dataDxfId="78"/>
    <tableColumn id="13" xr3:uid="{F416CBFA-4C9D-45CD-9BA7-E4BC57A08BC2}" name="PZ1 - 50m Retten" dataDxfId="77"/>
    <tableColumn id="14" xr3:uid="{7117DBCA-0DA7-462C-84FE-0DC7E33B124C}" name="PZ1 - 100m Retten" dataDxfId="76"/>
    <tableColumn id="15" xr3:uid="{E8630E91-DC30-4822-9E53-6D65487C3670}" name="PZ1 - 100m Kombi" dataDxfId="75"/>
    <tableColumn id="16" xr3:uid="{4B3AA225-E042-430F-8259-D176887B4528}" name="PZ1 - 100m Lifesaver" dataDxfId="74"/>
    <tableColumn id="17" xr3:uid="{798674BD-98CE-4531-BDFF-6AB06253AD7C}" name="PZ1 - 200m Super-Lifesaver" dataDxfId="73"/>
    <tableColumn id="18" xr3:uid="{8809BB71-D58B-4E8B-A442-D0EB9A65A25D}" name="PZ1 - 200m Hindernis" dataDxfId="72"/>
    <tableColumn id="19" xr3:uid="{93DCF463-806B-4117-B4E3-1FFAE976B37C}" name="PZ2 - 50m Retten" dataDxfId="71"/>
    <tableColumn id="20" xr3:uid="{A514C961-559E-462F-B143-BA30974C0129}" name="PZ2 - 100m Retten" dataDxfId="70"/>
    <tableColumn id="21" xr3:uid="{F1CF6143-45FE-498D-93D6-36F26D2F3C0B}" name="PZ2 - 100m Kombi" dataDxfId="69"/>
    <tableColumn id="22" xr3:uid="{E90962FC-C214-467F-841F-40DF60E41456}" name="PZ2 - 100m Lifesaver" dataDxfId="68"/>
    <tableColumn id="23" xr3:uid="{7FBC6334-C4C8-4B38-9F59-30ED95A44379}" name="PZ2 - 200m Super-Lifesaver" dataDxfId="67"/>
    <tableColumn id="24" xr3:uid="{231BFF86-8F3A-4BA1-B25E-28175D9EDFA9}" name="PZ2 - 200m Hindernis" dataDxfId="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CDEF11-F813-469D-9DE0-678961AB7005}" name="JRP_konfig" displayName="JRP_konfig" ref="A1:X3" totalsRowShown="0" headerRowDxfId="65" dataDxfId="64">
  <autoFilter ref="A1:X3" xr:uid="{D7CDEF11-F813-469D-9DE0-678961AB70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021DA6E1-2C93-4474-9720-B6F016186D61}" name="Tabellen Name" dataDxfId="63"/>
    <tableColumn id="2" xr3:uid="{733C1722-A9C9-4830-A9E2-FE62E96BCD98}" name="Geschlecht" dataDxfId="62"/>
    <tableColumn id="3" xr3:uid="{80C0BF46-0E43-4947-BF86-B808C324772A}" name="Mindest Alter" dataDxfId="61"/>
    <tableColumn id="4" xr3:uid="{DBA2A923-EEB7-43F9-A1A3-E78624448FB9}" name="Maximales Alter" dataDxfId="60"/>
    <tableColumn id="5" xr3:uid="{3FDEE18A-328D-45AE-907D-69A916A93345}" name="Qualizeitraum anfang" dataDxfId="59"/>
    <tableColumn id="6" xr3:uid="{BE002D7F-575F-4B60-9251-C71D93F59045}" name="Qualizeitraum Ende" dataDxfId="58"/>
    <tableColumn id="7" xr3:uid="{208ABD57-DE4B-41D6-B9FC-93F2D8966E8D}" name="Letzter Wettkampf am" dataDxfId="57"/>
    <tableColumn id="8" xr3:uid="{30C9697C-6550-4996-ADDB-7FEE5325B794}" name="Landesverband" dataDxfId="56"/>
    <tableColumn id="9" xr3:uid="{ED2DAB77-EF46-4D8B-B8E4-90412E32E277}" name="OMS" dataDxfId="55"/>
    <tableColumn id="10" xr3:uid="{AD534940-A91B-4A6E-9606-E3F3E517D401}" name="Pool-Länge" dataDxfId="54"/>
    <tableColumn id="11" xr3:uid="{11F9D5D5-72FE-42CA-8624-01D513B4140F}" name="Regelwerk" dataDxfId="53"/>
    <tableColumn id="12" xr3:uid="{3907872B-5438-4FBF-A045-3EF9EAACFC47}" name="Seiten Anzahl" dataDxfId="52"/>
    <tableColumn id="13" xr3:uid="{FC821324-3638-40C0-BA1E-069B44E23C7A}" name="PZ1 - 50m Retten" dataDxfId="51"/>
    <tableColumn id="14" xr3:uid="{70529619-443E-40D3-88C1-3E0F00BB2A50}" name="PZ1 - 100m Retten" dataDxfId="50"/>
    <tableColumn id="15" xr3:uid="{EFA92FD2-C23F-42B3-83DC-5036513F19AF}" name="PZ1 - 100m Kombi" dataDxfId="49"/>
    <tableColumn id="16" xr3:uid="{03309E52-8CF3-4E90-9EE6-A818901C3B32}" name="PZ1 - 100m Lifesaver" dataDxfId="48"/>
    <tableColumn id="17" xr3:uid="{00B22013-AA11-4C17-9250-22060AE4B0A8}" name="PZ1 - 200m Super-Lifesaver" dataDxfId="47"/>
    <tableColumn id="18" xr3:uid="{7E3508A9-0422-4561-A23E-53E613259B24}" name="PZ1 - 200m Hindernis" dataDxfId="46"/>
    <tableColumn id="19" xr3:uid="{5CEA435F-F34B-4D8D-88D0-F5EBFF18B713}" name="PZ2 - 50m Retten" dataDxfId="45"/>
    <tableColumn id="20" xr3:uid="{8585BE62-F7C4-4D5D-B287-052B43B08610}" name="PZ2 - 100m Retten" dataDxfId="44"/>
    <tableColumn id="21" xr3:uid="{D981758B-ADAD-4E36-B787-0B0FDA808CA2}" name="PZ2 - 100m Kombi" dataDxfId="43"/>
    <tableColumn id="22" xr3:uid="{1D4970A8-D22F-4962-934C-AEA295ED687A}" name="PZ2 - 100m Lifesaver" dataDxfId="42"/>
    <tableColumn id="23" xr3:uid="{BE394430-C58F-4690-9615-44475E5AF9F8}" name="PZ2 - 200m Super-Lifesaver" dataDxfId="41"/>
    <tableColumn id="24" xr3:uid="{A7036B1A-99CE-4F7C-AAB8-12E8B2696202}" name="PZ2 - 200m Hindernis" dataDxfId="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D162EE-531E-453F-8C25-562B59ECE709}" name="LK_konfig" displayName="LK_konfig" ref="A1:AF37" totalsRowShown="0" headerRowDxfId="235" dataDxfId="234">
  <autoFilter ref="A1:AF37" xr:uid="{FED162EE-531E-453F-8C25-562B59ECE709}"/>
  <tableColumns count="32">
    <tableColumn id="1" xr3:uid="{F985A4F0-6B8C-47C6-816F-1A31A4973EB2}" name="Tabellen Name" dataDxfId="233"/>
    <tableColumn id="2" xr3:uid="{5E5AD859-71A2-4E8E-B434-431A89C05C57}" name="Geschlecht" dataDxfId="232"/>
    <tableColumn id="3" xr3:uid="{85BB892C-E151-404B-8974-FC5199E0909C}" name="Mindest Alter" dataDxfId="231"/>
    <tableColumn id="4" xr3:uid="{790F6CF9-E475-4082-AE03-D30EDE22FB61}" name="Maximales Alter" dataDxfId="230"/>
    <tableColumn id="5" xr3:uid="{FD4B0E6E-9B64-4731-A50F-D3CE3A4ED3FC}" name="Qualizeitraum anfang" dataDxfId="229"/>
    <tableColumn id="6" xr3:uid="{5E84CAD2-C403-49B9-BB06-D56EC5784C8C}" name="Qualizeitraum Ende" dataDxfId="228"/>
    <tableColumn id="7" xr3:uid="{6323F8E2-5DA4-4E5B-9C35-1E8C219ADECF}" name="Letzter Wettkampf am" dataDxfId="227"/>
    <tableColumn id="8" xr3:uid="{D2845930-152E-432F-92A0-E7F7A3EE1FF0}" name="Landesverband" dataDxfId="226"/>
    <tableColumn id="9" xr3:uid="{87046373-5CCD-41EC-B34C-C753E71FD26C}" name="OMS" dataDxfId="225"/>
    <tableColumn id="10" xr3:uid="{A685FE01-F23C-4533-B399-857F5A1F6C37}" name="Pool-Länge" dataDxfId="224"/>
    <tableColumn id="11" xr3:uid="{11E0A508-0C9D-4CB6-952E-7FAC5D05BDCD}" name="Regelwerk" dataDxfId="223"/>
    <tableColumn id="12" xr3:uid="{F220BD5F-C3B5-4935-996A-BFCDF9F392D9}" name="Seiten Anzahl" dataDxfId="222"/>
    <tableColumn id="25" xr3:uid="{7CDE58FE-A5B8-4329-9F48-3913AEBA21FC}" name="mind. erreichte Normen" dataDxfId="221"/>
    <tableColumn id="13" xr3:uid="{A0A5E62D-9354-426D-9A08-13E43F36F55B}" name="PZ - 50m Retten" dataDxfId="220"/>
    <tableColumn id="14" xr3:uid="{5D70F54C-57E9-45E2-BC99-0DBB0422383E}" name="PZ - 100m Retten" dataDxfId="219"/>
    <tableColumn id="15" xr3:uid="{1C0CF5DB-156E-4813-A8BA-9EA29A40ABF3}" name="PZ - 100m Kombi" dataDxfId="218"/>
    <tableColumn id="16" xr3:uid="{691CD4E1-13D9-4455-A2D1-14C9BC41A0EA}" name="PZ - 100m Lifesaver" dataDxfId="217"/>
    <tableColumn id="17" xr3:uid="{CE1BA235-770B-4FA4-B327-187675DDA6B8}" name="PZ - 200m Super-Lifesaver" dataDxfId="216"/>
    <tableColumn id="18" xr3:uid="{A326EF87-5FF5-4042-85D3-7806FEED4CFA}" name="PZ - 200m Hindernis" dataDxfId="13"/>
    <tableColumn id="19" xr3:uid="{3F3DF994-C8AE-408C-BCA1-99A143BA81D4}" name="LMS" dataDxfId="12"/>
    <tableColumn id="20" xr3:uid="{7461FBF0-E903-4B09-9C11-C9C1047FA39D}" name="DMM" dataDxfId="11"/>
    <tableColumn id="21" xr3:uid="{675AEE5F-BEC3-499A-A337-72DD69B663E7}" name="DEM" dataDxfId="10"/>
    <tableColumn id="24" xr3:uid="{17E128CD-0800-40BC-B850-0CE3966127B2}" name="JRP" dataDxfId="9"/>
    <tableColumn id="22" xr3:uid="{A92C8C64-1269-48FF-8F43-8EF273E7864F}" name="DMO" dataDxfId="8"/>
    <tableColumn id="30" xr3:uid="{84286FAC-A077-44AC-889C-09543C869BF4}" name="DMO Ocean" dataDxfId="7"/>
    <tableColumn id="23" xr3:uid="{40EF7D68-4E22-4866-ADAA-28DC8A82A09C}" name="Trophy" dataDxfId="6"/>
    <tableColumn id="31" xr3:uid="{33F8EB16-27F6-453C-81FD-376213F45978}" name="Ocean Perf" dataDxfId="5"/>
    <tableColumn id="32" xr3:uid="{5B81C846-FAFA-4E74-8678-47219E5942AF}" name="Filcow" dataDxfId="4"/>
    <tableColumn id="26" xr3:uid="{C7421A01-D221-4C7A-9F0B-8BD025E0F1CF}" name="WM" dataDxfId="3"/>
    <tableColumn id="27" xr3:uid="{4050AB9D-D7D4-4B88-8218-9206C91AD9A0}" name="EM" dataDxfId="2"/>
    <tableColumn id="28" xr3:uid="{6FC272EA-276B-4249-818D-C220B87D52A6}" name="JWM" dataDxfId="1"/>
    <tableColumn id="29" xr3:uid="{51F99A1A-8D2C-444F-9E7C-AA537C8FFA08}" name="JEM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8CE7BE-8313-44C0-AE38-83992EABD44D}" name="LK_Kalender" displayName="LK_Kalender" ref="A1:H8" totalsRowShown="0">
  <autoFilter ref="A1:H8" xr:uid="{888CE7BE-8313-44C0-AE38-83992EABD44D}"/>
  <tableColumns count="8">
    <tableColumn id="1" xr3:uid="{B26B9E90-F378-41EF-B35E-CE240017E4BE}" name="datum von" dataDxfId="39"/>
    <tableColumn id="2" xr3:uid="{38211212-0A92-428C-895C-E4CA68F52818}" name="datum bis"/>
    <tableColumn id="3" xr3:uid="{66E541C6-0A5E-4B2D-9B89-5E52F449A4A6}" name="uhrzeit von" dataDxfId="38"/>
    <tableColumn id="4" xr3:uid="{D93C06A2-29AD-4073-8E3C-A685B4474CC8}" name="uhrzeit bis" dataDxfId="37"/>
    <tableColumn id="5" xr3:uid="{C5C3979C-B528-44E8-A5A6-36F020A6034F}" name="titel" dataDxfId="36"/>
    <tableColumn id="6" xr3:uid="{9DC09E1D-44FD-40ED-9EBE-86A8E61C38B2}" name="meta" dataDxfId="35"/>
    <tableColumn id="7" xr3:uid="{E7E62A34-7A76-4361-937D-F4DE76E6E7CC}" name="ort"/>
    <tableColumn id="8" xr3:uid="{84F02734-FC16-406B-ACCA-0CCDF547D94C}" name="kad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DLRG">
      <a:dk1>
        <a:sysClr val="windowText" lastClr="000000"/>
      </a:dk1>
      <a:lt1>
        <a:sysClr val="window" lastClr="FFFFFF"/>
      </a:lt1>
      <a:dk2>
        <a:srgbClr val="575756"/>
      </a:dk2>
      <a:lt2>
        <a:srgbClr val="92D050"/>
      </a:lt2>
      <a:accent1>
        <a:srgbClr val="E30613"/>
      </a:accent1>
      <a:accent2>
        <a:srgbClr val="FFED00"/>
      </a:accent2>
      <a:accent3>
        <a:srgbClr val="0569B4"/>
      </a:accent3>
      <a:accent4>
        <a:srgbClr val="D7005F"/>
      </a:accent4>
      <a:accent5>
        <a:srgbClr val="013154"/>
      </a:accent5>
      <a:accent6>
        <a:srgbClr val="FFCC00"/>
      </a:accent6>
      <a:hlink>
        <a:srgbClr val="0569B4"/>
      </a:hlink>
      <a:folHlink>
        <a:srgbClr val="0569B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5DB-31A0-4819-8E86-33B1F16466A6}">
  <sheetPr codeName="Tabelle6"/>
  <dimension ref="A1:AW31"/>
  <sheetViews>
    <sheetView topLeftCell="M1" workbookViewId="0">
      <selection activeCell="Y25" sqref="Y25"/>
    </sheetView>
  </sheetViews>
  <sheetFormatPr baseColWidth="10" defaultColWidth="15.265625" defaultRowHeight="14.25" x14ac:dyDescent="0.45"/>
  <sheetData>
    <row r="1" spans="1:49" ht="16.5" customHeight="1" x14ac:dyDescent="0.45">
      <c r="A1" s="8" t="s">
        <v>13</v>
      </c>
      <c r="B1" s="9" t="s">
        <v>52</v>
      </c>
      <c r="C1" s="9"/>
      <c r="D1" s="9" t="s">
        <v>52</v>
      </c>
      <c r="E1" s="9"/>
      <c r="F1" s="9"/>
      <c r="G1" s="9"/>
      <c r="H1" s="10" t="s">
        <v>68</v>
      </c>
      <c r="I1" s="10" t="s">
        <v>69</v>
      </c>
      <c r="J1" s="10"/>
      <c r="K1" s="10"/>
      <c r="L1" s="10"/>
      <c r="M1" s="10"/>
      <c r="N1" s="9"/>
      <c r="O1" s="9"/>
      <c r="P1" s="9"/>
      <c r="Q1" s="9"/>
      <c r="R1" s="9"/>
      <c r="S1" s="9"/>
      <c r="T1" s="10" t="s">
        <v>94</v>
      </c>
      <c r="U1" s="10"/>
      <c r="V1" s="10"/>
      <c r="W1" s="10"/>
      <c r="X1" s="10" t="s">
        <v>94</v>
      </c>
      <c r="Y1" s="10" t="s">
        <v>94</v>
      </c>
      <c r="Z1" s="9"/>
      <c r="AA1" s="9"/>
      <c r="AB1" s="9"/>
      <c r="AC1" s="9"/>
      <c r="AD1" s="9"/>
      <c r="AE1" s="9"/>
      <c r="AF1" s="10"/>
      <c r="AG1" s="10"/>
      <c r="AH1" s="10"/>
      <c r="AI1" s="10"/>
      <c r="AJ1" s="10"/>
      <c r="AK1" s="10"/>
      <c r="AL1" s="9"/>
      <c r="AM1" s="9"/>
      <c r="AN1" s="9"/>
      <c r="AO1" s="10" t="s">
        <v>124</v>
      </c>
      <c r="AP1" s="10"/>
      <c r="AQ1" s="10"/>
      <c r="AR1" s="9"/>
      <c r="AS1" s="9"/>
      <c r="AT1" s="9"/>
      <c r="AU1" s="10"/>
      <c r="AV1" s="10"/>
      <c r="AW1" s="10"/>
    </row>
    <row r="2" spans="1:49" ht="16.5" customHeight="1" x14ac:dyDescent="0.45">
      <c r="A2" s="8" t="s">
        <v>14</v>
      </c>
      <c r="B2" s="11" t="s">
        <v>11</v>
      </c>
      <c r="C2" s="11"/>
      <c r="D2" s="11" t="s">
        <v>36</v>
      </c>
      <c r="E2" s="11"/>
      <c r="F2" s="11"/>
      <c r="G2" s="11"/>
      <c r="H2" s="11"/>
      <c r="I2" s="11" t="s">
        <v>70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 t="s">
        <v>98</v>
      </c>
      <c r="U2" s="11"/>
      <c r="V2" s="11"/>
      <c r="W2" s="11"/>
      <c r="X2" s="11" t="s">
        <v>97</v>
      </c>
      <c r="Y2" s="11" t="s">
        <v>95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 t="s">
        <v>12</v>
      </c>
      <c r="AP2" s="11"/>
      <c r="AQ2" s="11"/>
      <c r="AR2" s="11"/>
      <c r="AS2" s="11"/>
      <c r="AT2" s="11"/>
      <c r="AU2" s="11"/>
      <c r="AV2" s="11"/>
      <c r="AW2" s="11"/>
    </row>
    <row r="3" spans="1:49" ht="16.5" customHeight="1" x14ac:dyDescent="0.45">
      <c r="A3" s="8" t="s">
        <v>67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 t="s">
        <v>96</v>
      </c>
      <c r="U3" s="11"/>
      <c r="V3" s="11"/>
      <c r="W3" s="11"/>
      <c r="X3" s="11" t="s">
        <v>96</v>
      </c>
      <c r="Y3" s="11" t="s">
        <v>96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 t="s">
        <v>125</v>
      </c>
      <c r="AP3" s="11"/>
      <c r="AQ3" s="11"/>
      <c r="AR3" s="11"/>
      <c r="AS3" s="11"/>
      <c r="AT3" s="11"/>
      <c r="AU3" s="11"/>
      <c r="AV3" s="11"/>
      <c r="AW3" s="11"/>
    </row>
    <row r="4" spans="1:49" s="19" customFormat="1" ht="25.5" customHeight="1" thickBot="1" x14ac:dyDescent="0.5">
      <c r="A4" s="15" t="s">
        <v>6</v>
      </c>
      <c r="B4" s="16" t="s">
        <v>71</v>
      </c>
      <c r="C4" s="16" t="s">
        <v>72</v>
      </c>
      <c r="D4" s="16" t="s">
        <v>73</v>
      </c>
      <c r="E4" s="16" t="s">
        <v>74</v>
      </c>
      <c r="F4" s="16" t="s">
        <v>75</v>
      </c>
      <c r="G4" s="17" t="s">
        <v>76</v>
      </c>
      <c r="H4" s="18" t="s">
        <v>77</v>
      </c>
      <c r="I4" s="18" t="s">
        <v>78</v>
      </c>
      <c r="J4" s="18" t="s">
        <v>79</v>
      </c>
      <c r="K4" s="18" t="s">
        <v>80</v>
      </c>
      <c r="L4" s="18" t="s">
        <v>81</v>
      </c>
      <c r="M4" s="20" t="s">
        <v>82</v>
      </c>
      <c r="N4" s="23" t="s">
        <v>83</v>
      </c>
      <c r="O4" s="23" t="s">
        <v>84</v>
      </c>
      <c r="P4" s="23" t="s">
        <v>85</v>
      </c>
      <c r="Q4" s="23" t="s">
        <v>86</v>
      </c>
      <c r="R4" s="23" t="s">
        <v>87</v>
      </c>
      <c r="S4" s="23" t="s">
        <v>88</v>
      </c>
      <c r="T4" s="18" t="s">
        <v>126</v>
      </c>
      <c r="U4" s="18" t="s">
        <v>89</v>
      </c>
      <c r="V4" s="18" t="s">
        <v>90</v>
      </c>
      <c r="W4" s="18" t="s">
        <v>91</v>
      </c>
      <c r="X4" s="18" t="s">
        <v>92</v>
      </c>
      <c r="Y4" s="20" t="s">
        <v>93</v>
      </c>
      <c r="Z4" s="23" t="s">
        <v>100</v>
      </c>
      <c r="AA4" s="23" t="s">
        <v>112</v>
      </c>
      <c r="AB4" s="23" t="s">
        <v>101</v>
      </c>
      <c r="AC4" s="23" t="s">
        <v>102</v>
      </c>
      <c r="AD4" s="23" t="s">
        <v>103</v>
      </c>
      <c r="AE4" s="23" t="s">
        <v>104</v>
      </c>
      <c r="AF4" s="18" t="s">
        <v>106</v>
      </c>
      <c r="AG4" s="18" t="s">
        <v>105</v>
      </c>
      <c r="AH4" s="18" t="s">
        <v>107</v>
      </c>
      <c r="AI4" s="18" t="s">
        <v>108</v>
      </c>
      <c r="AJ4" s="18" t="s">
        <v>109</v>
      </c>
      <c r="AK4" s="20" t="s">
        <v>110</v>
      </c>
      <c r="AL4" s="23" t="s">
        <v>111</v>
      </c>
      <c r="AM4" s="23" t="s">
        <v>114</v>
      </c>
      <c r="AN4" s="24" t="s">
        <v>115</v>
      </c>
      <c r="AO4" s="18" t="s">
        <v>113</v>
      </c>
      <c r="AP4" s="18" t="s">
        <v>116</v>
      </c>
      <c r="AQ4" s="20" t="s">
        <v>117</v>
      </c>
      <c r="AR4" s="23" t="s">
        <v>118</v>
      </c>
      <c r="AS4" s="23" t="s">
        <v>119</v>
      </c>
      <c r="AT4" s="23" t="s">
        <v>122</v>
      </c>
      <c r="AU4" s="18" t="s">
        <v>120</v>
      </c>
      <c r="AV4" s="18" t="s">
        <v>121</v>
      </c>
      <c r="AW4" s="18" t="s">
        <v>123</v>
      </c>
    </row>
    <row r="5" spans="1:49" x14ac:dyDescent="0.45">
      <c r="A5" s="1">
        <v>2000</v>
      </c>
      <c r="B5" s="3"/>
      <c r="C5" s="3"/>
      <c r="D5" s="3"/>
      <c r="E5" s="3"/>
      <c r="F5" s="3"/>
      <c r="G5" s="5"/>
      <c r="H5" s="3"/>
      <c r="I5" s="3"/>
      <c r="J5" s="3"/>
      <c r="K5" s="3"/>
      <c r="L5" s="3"/>
      <c r="M5" s="21"/>
      <c r="N5" s="3"/>
      <c r="O5" s="3"/>
      <c r="P5" s="3"/>
      <c r="Q5" s="3"/>
      <c r="R5" s="3"/>
      <c r="S5" s="5"/>
      <c r="T5" s="3"/>
      <c r="U5" s="3"/>
      <c r="V5" s="3"/>
      <c r="W5" s="3"/>
      <c r="X5" s="3"/>
      <c r="Y5" s="21"/>
      <c r="Z5" s="3"/>
      <c r="AA5" s="3"/>
      <c r="AB5" s="3"/>
      <c r="AC5" s="3"/>
      <c r="AD5" s="3"/>
      <c r="AE5" s="5"/>
      <c r="AF5" s="3"/>
      <c r="AG5" s="3"/>
      <c r="AH5" s="3"/>
      <c r="AI5" s="3"/>
      <c r="AJ5" s="3"/>
      <c r="AK5" s="21"/>
      <c r="AL5" s="3"/>
      <c r="AM5" s="3"/>
      <c r="AN5" s="21"/>
      <c r="AO5" s="3"/>
      <c r="AP5" s="3"/>
      <c r="AQ5" s="21"/>
      <c r="AR5" s="3"/>
      <c r="AS5" s="3"/>
      <c r="AT5" s="21"/>
      <c r="AU5" s="3"/>
      <c r="AV5" s="3"/>
      <c r="AW5" s="3"/>
    </row>
    <row r="6" spans="1:49" x14ac:dyDescent="0.45">
      <c r="A6" s="1">
        <f t="shared" ref="A6:A31" si="0">A5+1</f>
        <v>2001</v>
      </c>
      <c r="B6" s="4">
        <v>4.5000000000000004E-4</v>
      </c>
      <c r="C6" s="4">
        <v>7.0497685185185192E-4</v>
      </c>
      <c r="D6" s="4">
        <v>9.1134259259259261E-4</v>
      </c>
      <c r="E6" s="4">
        <v>7.3368055555555556E-4</v>
      </c>
      <c r="F6" s="4">
        <v>1.7942129629629629E-3</v>
      </c>
      <c r="G6" s="6">
        <v>1.5353009259259261E-3</v>
      </c>
      <c r="H6" s="4">
        <v>3.7476851851851858E-4</v>
      </c>
      <c r="I6" s="4">
        <v>6.0335648148148152E-4</v>
      </c>
      <c r="J6" s="4">
        <v>7.6516203703703718E-4</v>
      </c>
      <c r="K6" s="4">
        <v>6.4687499999999999E-4</v>
      </c>
      <c r="L6" s="4">
        <v>1.5703703703703704E-3</v>
      </c>
      <c r="M6" s="22">
        <v>1.3629629629629632E-3</v>
      </c>
      <c r="N6" s="4"/>
      <c r="O6" s="4"/>
      <c r="P6" s="4"/>
      <c r="Q6" s="4"/>
      <c r="R6" s="4"/>
      <c r="S6" s="6"/>
      <c r="T6" s="4"/>
      <c r="U6" s="4"/>
      <c r="V6" s="4"/>
      <c r="W6" s="4"/>
      <c r="X6" s="4"/>
      <c r="Y6" s="22"/>
      <c r="Z6" s="4"/>
      <c r="AA6" s="4"/>
      <c r="AB6" s="4"/>
      <c r="AC6" s="4"/>
      <c r="AD6" s="4"/>
      <c r="AE6" s="6"/>
      <c r="AF6" s="4"/>
      <c r="AG6" s="4"/>
      <c r="AH6" s="4"/>
      <c r="AI6" s="4"/>
      <c r="AJ6" s="4"/>
      <c r="AK6" s="22"/>
      <c r="AL6" s="4"/>
      <c r="AM6" s="4"/>
      <c r="AN6" s="22"/>
      <c r="AO6" s="4"/>
      <c r="AP6" s="4"/>
      <c r="AQ6" s="22"/>
      <c r="AR6" s="4"/>
      <c r="AS6" s="4"/>
      <c r="AT6" s="22"/>
      <c r="AU6" s="4"/>
      <c r="AV6" s="4"/>
      <c r="AW6" s="4"/>
    </row>
    <row r="7" spans="1:49" x14ac:dyDescent="0.45">
      <c r="A7" s="1">
        <f t="shared" si="0"/>
        <v>2002</v>
      </c>
      <c r="B7" s="3">
        <v>4.5000000000000004E-4</v>
      </c>
      <c r="C7" s="3">
        <v>7.0497685185185192E-4</v>
      </c>
      <c r="D7" s="3">
        <v>9.1134259259259261E-4</v>
      </c>
      <c r="E7" s="3">
        <v>7.3368055555555556E-4</v>
      </c>
      <c r="F7" s="3">
        <v>1.7942129629629629E-3</v>
      </c>
      <c r="G7" s="5">
        <v>1.5353009259259261E-3</v>
      </c>
      <c r="H7" s="3">
        <v>3.7476851851851858E-4</v>
      </c>
      <c r="I7" s="3">
        <v>6.0335648148148152E-4</v>
      </c>
      <c r="J7" s="3">
        <v>7.6516203703703718E-4</v>
      </c>
      <c r="K7" s="3">
        <v>6.4687499999999999E-4</v>
      </c>
      <c r="L7" s="3">
        <v>1.5703703703703704E-3</v>
      </c>
      <c r="M7" s="21">
        <v>1.3629629629629632E-3</v>
      </c>
      <c r="N7" s="3"/>
      <c r="O7" s="3"/>
      <c r="P7" s="3"/>
      <c r="Q7" s="3"/>
      <c r="R7" s="3"/>
      <c r="S7" s="5"/>
      <c r="T7" s="3"/>
      <c r="U7" s="3"/>
      <c r="V7" s="3"/>
      <c r="W7" s="3"/>
      <c r="X7" s="3"/>
      <c r="Y7" s="21"/>
      <c r="Z7" s="3"/>
      <c r="AA7" s="3"/>
      <c r="AB7" s="3"/>
      <c r="AC7" s="3"/>
      <c r="AD7" s="3"/>
      <c r="AE7" s="5"/>
      <c r="AF7" s="3"/>
      <c r="AG7" s="3"/>
      <c r="AH7" s="3"/>
      <c r="AI7" s="3"/>
      <c r="AJ7" s="3"/>
      <c r="AK7" s="21"/>
      <c r="AL7" s="3"/>
      <c r="AM7" s="3"/>
      <c r="AN7" s="21"/>
      <c r="AO7" s="3"/>
      <c r="AP7" s="3"/>
      <c r="AQ7" s="21"/>
      <c r="AR7" s="3"/>
      <c r="AS7" s="3"/>
      <c r="AT7" s="21"/>
      <c r="AU7" s="3"/>
      <c r="AV7" s="3"/>
      <c r="AW7" s="3"/>
    </row>
    <row r="8" spans="1:49" x14ac:dyDescent="0.45">
      <c r="A8" s="1">
        <f t="shared" si="0"/>
        <v>2003</v>
      </c>
      <c r="B8" s="4">
        <v>4.1504629629629633E-4</v>
      </c>
      <c r="C8" s="4">
        <v>6.864583333333333E-4</v>
      </c>
      <c r="D8" s="4">
        <v>8.6585648148148166E-4</v>
      </c>
      <c r="E8" s="4">
        <v>7.3368055555555556E-4</v>
      </c>
      <c r="F8" s="4">
        <v>1.7447916666666668E-3</v>
      </c>
      <c r="G8" s="6">
        <v>1.5210648148148147E-3</v>
      </c>
      <c r="H8" s="4">
        <v>3.5949074074074073E-4</v>
      </c>
      <c r="I8" s="4">
        <v>6.0277777777777771E-4</v>
      </c>
      <c r="J8" s="4">
        <v>7.3287037037037027E-4</v>
      </c>
      <c r="K8" s="4">
        <v>6.3622685185185191E-4</v>
      </c>
      <c r="L8" s="4">
        <v>1.5243055555555554E-3</v>
      </c>
      <c r="M8" s="22">
        <v>1.3346064814814815E-3</v>
      </c>
      <c r="N8" s="4"/>
      <c r="O8" s="4"/>
      <c r="P8" s="4"/>
      <c r="Q8" s="4"/>
      <c r="R8" s="4"/>
      <c r="S8" s="6"/>
      <c r="T8" s="4"/>
      <c r="U8" s="4"/>
      <c r="V8" s="4"/>
      <c r="W8" s="4"/>
      <c r="X8" s="4"/>
      <c r="Y8" s="22"/>
      <c r="Z8" s="4"/>
      <c r="AA8" s="4"/>
      <c r="AB8" s="4"/>
      <c r="AC8" s="4"/>
      <c r="AD8" s="4"/>
      <c r="AE8" s="6"/>
      <c r="AF8" s="4"/>
      <c r="AG8" s="4"/>
      <c r="AH8" s="4"/>
      <c r="AI8" s="4"/>
      <c r="AJ8" s="4"/>
      <c r="AK8" s="22"/>
      <c r="AL8" s="4"/>
      <c r="AM8" s="4"/>
      <c r="AN8" s="22"/>
      <c r="AO8" s="4"/>
      <c r="AP8" s="4"/>
      <c r="AQ8" s="22"/>
      <c r="AR8" s="4"/>
      <c r="AS8" s="4"/>
      <c r="AT8" s="22"/>
      <c r="AU8" s="4"/>
      <c r="AV8" s="4"/>
      <c r="AW8" s="4"/>
    </row>
    <row r="9" spans="1:49" x14ac:dyDescent="0.45">
      <c r="A9" s="1">
        <f t="shared" si="0"/>
        <v>2004</v>
      </c>
      <c r="B9" s="3">
        <v>4.1446759259259258E-4</v>
      </c>
      <c r="C9" s="3">
        <v>6.5891203703703695E-4</v>
      </c>
      <c r="D9" s="3">
        <v>8.6585648148148166E-4</v>
      </c>
      <c r="E9" s="3">
        <v>7.2858796296296289E-4</v>
      </c>
      <c r="F9" s="3">
        <v>1.7341435185185185E-3</v>
      </c>
      <c r="G9" s="5">
        <v>1.5210648148148147E-3</v>
      </c>
      <c r="H9" s="3">
        <v>3.5532407407407404E-4</v>
      </c>
      <c r="I9" s="3">
        <v>5.8472222222222226E-4</v>
      </c>
      <c r="J9" s="3">
        <v>7.3287037037037027E-4</v>
      </c>
      <c r="K9" s="3">
        <v>6.3460648148148144E-4</v>
      </c>
      <c r="L9" s="3">
        <v>1.5031249999999999E-3</v>
      </c>
      <c r="M9" s="21">
        <v>1.3346064814814815E-3</v>
      </c>
      <c r="N9" s="3"/>
      <c r="O9" s="3"/>
      <c r="P9" s="3"/>
      <c r="Q9" s="3"/>
      <c r="R9" s="3"/>
      <c r="S9" s="5"/>
      <c r="T9" s="3"/>
      <c r="U9" s="3"/>
      <c r="V9" s="3"/>
      <c r="W9" s="3"/>
      <c r="X9" s="3"/>
      <c r="Y9" s="21"/>
      <c r="Z9" s="3"/>
      <c r="AA9" s="3"/>
      <c r="AB9" s="3"/>
      <c r="AC9" s="3"/>
      <c r="AD9" s="3"/>
      <c r="AE9" s="5"/>
      <c r="AF9" s="3"/>
      <c r="AG9" s="3"/>
      <c r="AH9" s="3"/>
      <c r="AI9" s="3"/>
      <c r="AJ9" s="3"/>
      <c r="AK9" s="21"/>
      <c r="AL9" s="3"/>
      <c r="AM9" s="3"/>
      <c r="AN9" s="21"/>
      <c r="AO9" s="3"/>
      <c r="AP9" s="3"/>
      <c r="AQ9" s="21"/>
      <c r="AR9" s="3"/>
      <c r="AS9" s="3"/>
      <c r="AT9" s="21"/>
      <c r="AU9" s="3"/>
      <c r="AV9" s="3"/>
      <c r="AW9" s="3"/>
    </row>
    <row r="10" spans="1:49" x14ac:dyDescent="0.45">
      <c r="A10" s="1">
        <f t="shared" si="0"/>
        <v>2005</v>
      </c>
      <c r="B10" s="4">
        <v>4.130787037037037E-4</v>
      </c>
      <c r="C10" s="4">
        <v>6.5891203703703695E-4</v>
      </c>
      <c r="D10" s="4">
        <v>8.524305555555556E-4</v>
      </c>
      <c r="E10" s="4">
        <v>7.1979166666666665E-4</v>
      </c>
      <c r="F10" s="4">
        <v>1.7252314814814815E-3</v>
      </c>
      <c r="G10" s="6">
        <v>1.5210648148148147E-3</v>
      </c>
      <c r="H10" s="4">
        <v>3.5532407407407404E-4</v>
      </c>
      <c r="I10" s="4">
        <v>5.8472222222222226E-4</v>
      </c>
      <c r="J10" s="4">
        <v>7.2893518518518522E-4</v>
      </c>
      <c r="K10" s="4">
        <v>6.2210648148148151E-4</v>
      </c>
      <c r="L10" s="4">
        <v>1.4964120370370372E-3</v>
      </c>
      <c r="M10" s="22">
        <v>1.3346064814814815E-3</v>
      </c>
      <c r="N10" s="4"/>
      <c r="O10" s="4"/>
      <c r="P10" s="4"/>
      <c r="Q10" s="4"/>
      <c r="R10" s="4"/>
      <c r="S10" s="6"/>
      <c r="T10" s="4"/>
      <c r="U10" s="4"/>
      <c r="V10" s="4"/>
      <c r="W10" s="4"/>
      <c r="X10" s="4"/>
      <c r="Y10" s="22"/>
      <c r="Z10" s="4"/>
      <c r="AA10" s="4"/>
      <c r="AB10" s="4"/>
      <c r="AC10" s="4"/>
      <c r="AD10" s="4"/>
      <c r="AE10" s="6"/>
      <c r="AF10" s="4"/>
      <c r="AG10" s="4"/>
      <c r="AH10" s="4"/>
      <c r="AI10" s="4"/>
      <c r="AJ10" s="4"/>
      <c r="AK10" s="22"/>
      <c r="AL10" s="4"/>
      <c r="AM10" s="4"/>
      <c r="AN10" s="22"/>
      <c r="AO10" s="4"/>
      <c r="AP10" s="4"/>
      <c r="AQ10" s="22"/>
      <c r="AR10" s="4"/>
      <c r="AS10" s="4"/>
      <c r="AT10" s="22"/>
      <c r="AU10" s="4"/>
      <c r="AV10" s="4"/>
      <c r="AW10" s="4"/>
    </row>
    <row r="11" spans="1:49" x14ac:dyDescent="0.45">
      <c r="A11" s="1">
        <f t="shared" si="0"/>
        <v>2006</v>
      </c>
      <c r="B11" s="3">
        <v>4.1203703703703709E-4</v>
      </c>
      <c r="C11" s="3">
        <v>6.5891203703703695E-4</v>
      </c>
      <c r="D11" s="3">
        <v>8.524305555555556E-4</v>
      </c>
      <c r="E11" s="3">
        <v>7.1979166666666665E-4</v>
      </c>
      <c r="F11" s="3">
        <v>1.7252314814814815E-3</v>
      </c>
      <c r="G11" s="5">
        <v>1.5210648148148147E-3</v>
      </c>
      <c r="H11" s="3">
        <v>3.5532407407407404E-4</v>
      </c>
      <c r="I11" s="3">
        <v>5.8425925925925919E-4</v>
      </c>
      <c r="J11" s="3">
        <v>7.1458333333333324E-4</v>
      </c>
      <c r="K11" s="3">
        <v>6.2210648148148151E-4</v>
      </c>
      <c r="L11" s="3">
        <v>1.4964120370370372E-3</v>
      </c>
      <c r="M11" s="21">
        <v>1.3346064814814815E-3</v>
      </c>
      <c r="N11" s="3"/>
      <c r="O11" s="3"/>
      <c r="P11" s="3"/>
      <c r="Q11" s="3"/>
      <c r="R11" s="3"/>
      <c r="S11" s="5"/>
      <c r="T11" s="3"/>
      <c r="U11" s="3"/>
      <c r="V11" s="3"/>
      <c r="W11" s="3"/>
      <c r="X11" s="3"/>
      <c r="Y11" s="21"/>
      <c r="Z11" s="3"/>
      <c r="AA11" s="3"/>
      <c r="AB11" s="3"/>
      <c r="AC11" s="3"/>
      <c r="AD11" s="3"/>
      <c r="AE11" s="5"/>
      <c r="AF11" s="3"/>
      <c r="AG11" s="3"/>
      <c r="AH11" s="3"/>
      <c r="AI11" s="3"/>
      <c r="AJ11" s="3"/>
      <c r="AK11" s="21"/>
      <c r="AL11" s="3"/>
      <c r="AM11" s="3"/>
      <c r="AN11" s="21"/>
      <c r="AO11" s="3"/>
      <c r="AP11" s="3"/>
      <c r="AQ11" s="21"/>
      <c r="AR11" s="3"/>
      <c r="AS11" s="3"/>
      <c r="AT11" s="21"/>
      <c r="AU11" s="3"/>
      <c r="AV11" s="3"/>
      <c r="AW11" s="3"/>
    </row>
    <row r="12" spans="1:49" x14ac:dyDescent="0.45">
      <c r="A12" s="1">
        <f t="shared" si="0"/>
        <v>2007</v>
      </c>
      <c r="B12" s="4">
        <v>4.0810185185185182E-4</v>
      </c>
      <c r="C12" s="4">
        <v>6.5891203703703695E-4</v>
      </c>
      <c r="D12" s="4">
        <v>8.4236111111111111E-4</v>
      </c>
      <c r="E12" s="4">
        <v>7.1979166666666665E-4</v>
      </c>
      <c r="F12" s="4">
        <v>1.7197916666666666E-3</v>
      </c>
      <c r="G12" s="6">
        <v>1.5043981481481479E-3</v>
      </c>
      <c r="H12" s="4">
        <v>3.5520833333333341E-4</v>
      </c>
      <c r="I12" s="4">
        <v>5.8425925925925919E-4</v>
      </c>
      <c r="J12" s="4">
        <v>7.3657407407407406E-4</v>
      </c>
      <c r="K12" s="4">
        <v>6.2210648148148151E-4</v>
      </c>
      <c r="L12" s="4">
        <v>1.4964120370370372E-3</v>
      </c>
      <c r="M12" s="22">
        <v>1.3346064814814815E-3</v>
      </c>
      <c r="N12" s="4">
        <v>4.5254629629629632E-4</v>
      </c>
      <c r="O12" s="4">
        <v>7.1296296296296299E-4</v>
      </c>
      <c r="P12" s="4"/>
      <c r="Q12" s="4"/>
      <c r="R12" s="4"/>
      <c r="S12" s="6">
        <v>1.6435185185185183E-3</v>
      </c>
      <c r="T12" s="4">
        <v>3.8541666666666667E-4</v>
      </c>
      <c r="U12" s="4">
        <v>6.2500000000000001E-4</v>
      </c>
      <c r="V12" s="4"/>
      <c r="W12" s="4"/>
      <c r="X12" s="4"/>
      <c r="Y12" s="22">
        <v>1.5011574074074074E-3</v>
      </c>
      <c r="Z12" s="4">
        <v>4.8379629629629624E-4</v>
      </c>
      <c r="AA12" s="4">
        <v>7.4884259259259262E-4</v>
      </c>
      <c r="AB12" s="4"/>
      <c r="AC12" s="4"/>
      <c r="AD12" s="4"/>
      <c r="AE12" s="6"/>
      <c r="AF12" s="4">
        <v>4.0972222222222218E-4</v>
      </c>
      <c r="AG12" s="4">
        <v>6.7013888888888885E-4</v>
      </c>
      <c r="AH12" s="4"/>
      <c r="AI12" s="4"/>
      <c r="AJ12" s="4"/>
      <c r="AK12" s="22"/>
      <c r="AL12" s="4">
        <v>4.8263888888888895E-4</v>
      </c>
      <c r="AM12" s="4">
        <v>3.5185185185185184E-4</v>
      </c>
      <c r="AN12" s="22">
        <v>7.6620370370370373E-4</v>
      </c>
      <c r="AO12" s="4">
        <v>4.1550925925925918E-4</v>
      </c>
      <c r="AP12" s="4">
        <v>3.1134259259259261E-4</v>
      </c>
      <c r="AQ12" s="22">
        <v>6.8518518518518527E-4</v>
      </c>
      <c r="AR12" s="4">
        <v>2.8125000000000003E-4</v>
      </c>
      <c r="AS12" s="4">
        <v>4.1319444444444449E-4</v>
      </c>
      <c r="AT12" s="22">
        <v>3.692129629629629E-4</v>
      </c>
      <c r="AU12" s="4">
        <v>2.7314814814814818E-4</v>
      </c>
      <c r="AV12" s="4">
        <v>4.0625000000000009E-4</v>
      </c>
      <c r="AW12" s="4">
        <v>3.5995370370370369E-4</v>
      </c>
    </row>
    <row r="13" spans="1:49" x14ac:dyDescent="0.45">
      <c r="A13" s="1">
        <f t="shared" si="0"/>
        <v>2008</v>
      </c>
      <c r="B13" s="3">
        <v>4.0810185185185182E-4</v>
      </c>
      <c r="C13" s="3">
        <v>6.5891203703703695E-4</v>
      </c>
      <c r="D13" s="3">
        <v>8.4236111111111111E-4</v>
      </c>
      <c r="E13" s="3">
        <v>7.1712962962962963E-4</v>
      </c>
      <c r="F13" s="3">
        <v>1.7197916666666666E-3</v>
      </c>
      <c r="G13" s="5">
        <v>1.5037037037037035E-3</v>
      </c>
      <c r="H13" s="3">
        <v>3.4120370370370375E-4</v>
      </c>
      <c r="I13" s="3">
        <v>5.7280092592592593E-4</v>
      </c>
      <c r="J13" s="3">
        <v>7.2615740740740746E-4</v>
      </c>
      <c r="K13" s="3">
        <v>6.2210648148148151E-4</v>
      </c>
      <c r="L13" s="3">
        <v>1.4964120370370372E-3</v>
      </c>
      <c r="M13" s="21">
        <v>1.3346064814814815E-3</v>
      </c>
      <c r="N13" s="3">
        <v>4.5069444444444437E-4</v>
      </c>
      <c r="O13" s="3">
        <v>7.1296296296296299E-4</v>
      </c>
      <c r="P13" s="3"/>
      <c r="Q13" s="3"/>
      <c r="R13" s="3"/>
      <c r="S13" s="5">
        <v>1.5952546296296296E-3</v>
      </c>
      <c r="T13" s="3">
        <v>3.8541666666666667E-4</v>
      </c>
      <c r="U13" s="3">
        <v>6.2349537037037028E-4</v>
      </c>
      <c r="V13" s="3"/>
      <c r="W13" s="3"/>
      <c r="X13" s="3"/>
      <c r="Y13" s="21">
        <v>1.4349537037037037E-3</v>
      </c>
      <c r="Z13" s="3">
        <v>4.5069444444444437E-4</v>
      </c>
      <c r="AA13" s="3">
        <v>7.4884259259259262E-4</v>
      </c>
      <c r="AB13" s="3"/>
      <c r="AC13" s="3"/>
      <c r="AD13" s="3"/>
      <c r="AE13" s="5"/>
      <c r="AF13" s="3">
        <v>4.0659722222222226E-4</v>
      </c>
      <c r="AG13" s="3">
        <v>6.56712962962963E-4</v>
      </c>
      <c r="AH13" s="3"/>
      <c r="AI13" s="3"/>
      <c r="AJ13" s="3"/>
      <c r="AK13" s="21"/>
      <c r="AL13" s="3">
        <v>4.8263888888888895E-4</v>
      </c>
      <c r="AM13" s="3">
        <v>3.5185185185185184E-4</v>
      </c>
      <c r="AN13" s="21">
        <v>8.1539351851851836E-4</v>
      </c>
      <c r="AO13" s="3">
        <v>4.1550925925925918E-4</v>
      </c>
      <c r="AP13" s="3">
        <v>3.1134259259259261E-4</v>
      </c>
      <c r="AQ13" s="21">
        <v>7.4803240740740733E-4</v>
      </c>
      <c r="AR13" s="3">
        <v>2.8125000000000003E-4</v>
      </c>
      <c r="AS13" s="3">
        <v>4.0937499999999996E-4</v>
      </c>
      <c r="AT13" s="21">
        <v>3.692129629629629E-4</v>
      </c>
      <c r="AU13" s="3">
        <v>2.7314814814814818E-4</v>
      </c>
      <c r="AV13" s="3">
        <v>4.0625000000000009E-4</v>
      </c>
      <c r="AW13" s="3">
        <v>3.5995370370370369E-4</v>
      </c>
    </row>
    <row r="14" spans="1:49" x14ac:dyDescent="0.45">
      <c r="A14" s="1">
        <f t="shared" si="0"/>
        <v>2009</v>
      </c>
      <c r="B14" s="4">
        <v>4.0810185185185182E-4</v>
      </c>
      <c r="C14" s="4">
        <v>6.5891203703703695E-4</v>
      </c>
      <c r="D14" s="4">
        <v>8.4236111111111111E-4</v>
      </c>
      <c r="E14" s="4">
        <v>7.0150462962962961E-4</v>
      </c>
      <c r="F14" s="4">
        <v>1.7197916666666666E-3</v>
      </c>
      <c r="G14" s="6">
        <v>1.4934027777777777E-3</v>
      </c>
      <c r="H14" s="4">
        <v>3.4120370370370375E-4</v>
      </c>
      <c r="I14" s="4">
        <v>5.7199074074074075E-4</v>
      </c>
      <c r="J14" s="4">
        <v>7.1435185185185187E-4</v>
      </c>
      <c r="K14" s="4">
        <v>6.2210648148148151E-4</v>
      </c>
      <c r="L14" s="4">
        <v>1.4964120370370372E-3</v>
      </c>
      <c r="M14" s="22">
        <v>1.3346064814814815E-3</v>
      </c>
      <c r="N14" s="4">
        <v>4.4965277777777782E-4</v>
      </c>
      <c r="O14" s="4">
        <v>7.1296296296296299E-4</v>
      </c>
      <c r="P14" s="4"/>
      <c r="Q14" s="4"/>
      <c r="R14" s="4"/>
      <c r="S14" s="6">
        <v>1.5733796296296297E-3</v>
      </c>
      <c r="T14" s="4">
        <v>3.8530092592592587E-4</v>
      </c>
      <c r="U14" s="4">
        <v>6.1851851851851846E-4</v>
      </c>
      <c r="V14" s="4"/>
      <c r="W14" s="4"/>
      <c r="X14" s="4"/>
      <c r="Y14" s="22">
        <v>1.4349537037037037E-3</v>
      </c>
      <c r="Z14" s="4">
        <v>4.4965277777777782E-4</v>
      </c>
      <c r="AA14" s="4">
        <v>7.4363425925925931E-4</v>
      </c>
      <c r="AB14" s="4"/>
      <c r="AC14" s="4"/>
      <c r="AD14" s="4"/>
      <c r="AE14" s="6"/>
      <c r="AF14" s="4">
        <v>4.0659722222222226E-4</v>
      </c>
      <c r="AG14" s="4">
        <v>6.5393518518518524E-4</v>
      </c>
      <c r="AH14" s="4"/>
      <c r="AI14" s="4"/>
      <c r="AJ14" s="4"/>
      <c r="AK14" s="22"/>
      <c r="AL14" s="4">
        <v>4.8263888888888895E-4</v>
      </c>
      <c r="AM14" s="4">
        <v>3.5185185185185184E-4</v>
      </c>
      <c r="AN14" s="22">
        <v>8.1539351851851836E-4</v>
      </c>
      <c r="AO14" s="4">
        <v>4.1550925925925918E-4</v>
      </c>
      <c r="AP14" s="4">
        <v>3.1134259259259261E-4</v>
      </c>
      <c r="AQ14" s="22">
        <v>7.4803240740740733E-4</v>
      </c>
      <c r="AR14" s="4">
        <v>2.7349537037037034E-4</v>
      </c>
      <c r="AS14" s="4">
        <v>4.0937499999999996E-4</v>
      </c>
      <c r="AT14" s="22">
        <v>3.692129629629629E-4</v>
      </c>
      <c r="AU14" s="4">
        <v>2.5069444444444445E-4</v>
      </c>
      <c r="AV14" s="4">
        <v>4.0625000000000009E-4</v>
      </c>
      <c r="AW14" s="4">
        <v>3.5995370370370369E-4</v>
      </c>
    </row>
    <row r="15" spans="1:49" x14ac:dyDescent="0.45">
      <c r="A15" s="1">
        <f t="shared" si="0"/>
        <v>2010</v>
      </c>
      <c r="B15" s="3">
        <v>4.0810185185185182E-4</v>
      </c>
      <c r="C15" s="3">
        <v>6.5289351851851847E-4</v>
      </c>
      <c r="D15" s="3">
        <v>8.4236111111111111E-4</v>
      </c>
      <c r="E15" s="3">
        <v>7.0150462962962961E-4</v>
      </c>
      <c r="F15" s="3">
        <v>1.7197916666666666E-3</v>
      </c>
      <c r="G15" s="5">
        <v>1.4106481481481481E-3</v>
      </c>
      <c r="H15" s="3">
        <v>3.3495370370370368E-4</v>
      </c>
      <c r="I15" s="3">
        <v>5.597222222222222E-4</v>
      </c>
      <c r="J15" s="3">
        <v>6.9189814814814819E-4</v>
      </c>
      <c r="K15" s="3">
        <v>6.2210648148148151E-4</v>
      </c>
      <c r="L15" s="3">
        <v>1.4964120370370372E-3</v>
      </c>
      <c r="M15" s="21">
        <v>1.3306712962962966E-3</v>
      </c>
      <c r="N15" s="3">
        <v>4.3553240740740748E-4</v>
      </c>
      <c r="O15" s="3">
        <v>7.1296296296296299E-4</v>
      </c>
      <c r="P15" s="3"/>
      <c r="Q15" s="3"/>
      <c r="R15" s="3"/>
      <c r="S15" s="5">
        <v>1.5733796296296297E-3</v>
      </c>
      <c r="T15" s="3">
        <v>3.7129629629629627E-4</v>
      </c>
      <c r="U15" s="3">
        <v>6.1851851851851846E-4</v>
      </c>
      <c r="V15" s="3"/>
      <c r="W15" s="3"/>
      <c r="X15" s="3"/>
      <c r="Y15" s="21">
        <v>1.4349537037037037E-3</v>
      </c>
      <c r="Z15" s="3">
        <v>4.4965277777777782E-4</v>
      </c>
      <c r="AA15" s="3">
        <v>7.4363425925925931E-4</v>
      </c>
      <c r="AB15" s="3"/>
      <c r="AC15" s="3"/>
      <c r="AD15" s="3"/>
      <c r="AE15" s="5"/>
      <c r="AF15" s="3">
        <v>4.0659722222222226E-4</v>
      </c>
      <c r="AG15" s="3">
        <v>6.5393518518518524E-4</v>
      </c>
      <c r="AH15" s="3"/>
      <c r="AI15" s="3"/>
      <c r="AJ15" s="3"/>
      <c r="AK15" s="21"/>
      <c r="AL15" s="3">
        <v>4.8263888888888895E-4</v>
      </c>
      <c r="AM15" s="3">
        <v>3.4791666666666668E-4</v>
      </c>
      <c r="AN15" s="21">
        <v>8.1539351851851836E-4</v>
      </c>
      <c r="AO15" s="3">
        <v>4.1550925925925918E-4</v>
      </c>
      <c r="AP15" s="3">
        <v>3.1099537037037039E-4</v>
      </c>
      <c r="AQ15" s="21">
        <v>7.1458333333333324E-4</v>
      </c>
      <c r="AR15" s="3">
        <v>2.7349537037037034E-4</v>
      </c>
      <c r="AS15" s="3">
        <v>4.0937499999999996E-4</v>
      </c>
      <c r="AT15" s="21">
        <v>3.692129629629629E-4</v>
      </c>
      <c r="AU15" s="3">
        <v>2.5069444444444445E-4</v>
      </c>
      <c r="AV15" s="3">
        <v>4.0625000000000009E-4</v>
      </c>
      <c r="AW15" s="3">
        <v>3.5995370370370369E-4</v>
      </c>
    </row>
    <row r="16" spans="1:49" x14ac:dyDescent="0.45">
      <c r="A16" s="1">
        <f t="shared" si="0"/>
        <v>2011</v>
      </c>
      <c r="B16" s="4">
        <v>4.0810185185185182E-4</v>
      </c>
      <c r="C16" s="4">
        <v>6.5289351851851847E-4</v>
      </c>
      <c r="D16" s="4">
        <v>8.4178240740740741E-4</v>
      </c>
      <c r="E16" s="4">
        <v>7.0150462962962961E-4</v>
      </c>
      <c r="F16" s="4">
        <v>1.7197916666666666E-3</v>
      </c>
      <c r="G16" s="6">
        <v>1.4106481481481481E-3</v>
      </c>
      <c r="H16" s="4">
        <v>3.3495370370370368E-4</v>
      </c>
      <c r="I16" s="4">
        <v>5.597222222222222E-4</v>
      </c>
      <c r="J16" s="4">
        <v>6.9189814814814819E-4</v>
      </c>
      <c r="K16" s="4">
        <v>6.2210648148148151E-4</v>
      </c>
      <c r="L16" s="4">
        <v>1.4964120370370372E-3</v>
      </c>
      <c r="M16" s="22">
        <v>1.3306712962962966E-3</v>
      </c>
      <c r="N16" s="4">
        <v>4.0810185185185182E-4</v>
      </c>
      <c r="O16" s="4">
        <v>6.5289351851851847E-4</v>
      </c>
      <c r="P16" s="4">
        <v>8.4178240740740741E-4</v>
      </c>
      <c r="Q16" s="4">
        <v>7.0150462962962961E-4</v>
      </c>
      <c r="R16" s="4">
        <v>1.7197916666666666E-3</v>
      </c>
      <c r="S16" s="6">
        <v>1.4106481481481481E-3</v>
      </c>
      <c r="T16" s="4">
        <v>3.3495370370370368E-4</v>
      </c>
      <c r="U16" s="4">
        <v>5.597222222222222E-4</v>
      </c>
      <c r="V16" s="4">
        <v>6.9189814814814819E-4</v>
      </c>
      <c r="W16" s="4">
        <v>6.2210648148148151E-4</v>
      </c>
      <c r="X16" s="4">
        <v>1.4964120370370372E-3</v>
      </c>
      <c r="Y16" s="22">
        <v>1.3306712962962966E-3</v>
      </c>
      <c r="Z16" s="4">
        <v>4.4965277777777782E-4</v>
      </c>
      <c r="AA16" s="4">
        <v>7.4363425925925931E-4</v>
      </c>
      <c r="AB16" s="4"/>
      <c r="AC16" s="4"/>
      <c r="AD16" s="4"/>
      <c r="AE16" s="6"/>
      <c r="AF16" s="4">
        <v>3.8599537037037037E-4</v>
      </c>
      <c r="AG16" s="4">
        <v>6.4583333333333322E-4</v>
      </c>
      <c r="AH16" s="4"/>
      <c r="AI16" s="4"/>
      <c r="AJ16" s="4"/>
      <c r="AK16" s="22"/>
      <c r="AL16" s="4">
        <v>4.8263888888888895E-4</v>
      </c>
      <c r="AM16" s="4">
        <v>3.4618055555555552E-4</v>
      </c>
      <c r="AN16" s="22">
        <v>8.1539351851851836E-4</v>
      </c>
      <c r="AO16" s="4">
        <v>4.1550925925925918E-4</v>
      </c>
      <c r="AP16" s="4">
        <v>3.0451388888888889E-4</v>
      </c>
      <c r="AQ16" s="22">
        <v>7.1458333333333324E-4</v>
      </c>
      <c r="AR16" s="4">
        <v>2.7349537037037034E-4</v>
      </c>
      <c r="AS16" s="4">
        <v>4.0937499999999996E-4</v>
      </c>
      <c r="AT16" s="22">
        <v>3.692129629629629E-4</v>
      </c>
      <c r="AU16" s="4">
        <v>2.5069444444444445E-4</v>
      </c>
      <c r="AV16" s="4">
        <v>4.0625000000000009E-4</v>
      </c>
      <c r="AW16" s="4">
        <v>3.5324074074074077E-4</v>
      </c>
    </row>
    <row r="17" spans="1:49" x14ac:dyDescent="0.45">
      <c r="A17" s="1">
        <f t="shared" si="0"/>
        <v>2012</v>
      </c>
      <c r="B17" s="3">
        <v>4.0810185185185182E-4</v>
      </c>
      <c r="C17" s="3">
        <v>6.5254629629629636E-4</v>
      </c>
      <c r="D17" s="3">
        <v>8.4027777777777779E-4</v>
      </c>
      <c r="E17" s="3">
        <v>7.0011574074074073E-4</v>
      </c>
      <c r="F17" s="3">
        <v>1.6951388888888886E-3</v>
      </c>
      <c r="G17" s="5">
        <v>1.4106481481481481E-3</v>
      </c>
      <c r="H17" s="3">
        <v>3.3495370370370368E-4</v>
      </c>
      <c r="I17" s="3">
        <v>5.5416666666666667E-4</v>
      </c>
      <c r="J17" s="3">
        <v>6.9189814814814819E-4</v>
      </c>
      <c r="K17" s="3">
        <v>6.1273148148148146E-4</v>
      </c>
      <c r="L17" s="3">
        <v>1.4798611111111113E-3</v>
      </c>
      <c r="M17" s="21">
        <v>1.3306712962962966E-3</v>
      </c>
      <c r="N17" s="3">
        <v>4.0810185185185182E-4</v>
      </c>
      <c r="O17" s="3">
        <v>6.5254629629629636E-4</v>
      </c>
      <c r="P17" s="3">
        <v>8.4027777777777779E-4</v>
      </c>
      <c r="Q17" s="3">
        <v>7.0011574074074073E-4</v>
      </c>
      <c r="R17" s="3">
        <v>1.6951388888888886E-3</v>
      </c>
      <c r="S17" s="5">
        <v>1.4106481481481481E-3</v>
      </c>
      <c r="T17" s="3">
        <v>3.3495370370370368E-4</v>
      </c>
      <c r="U17" s="3">
        <v>5.5416666666666667E-4</v>
      </c>
      <c r="V17" s="3">
        <v>6.9189814814814819E-4</v>
      </c>
      <c r="W17" s="3">
        <v>6.1273148148148146E-4</v>
      </c>
      <c r="X17" s="3">
        <v>1.4798611111111113E-3</v>
      </c>
      <c r="Y17" s="21">
        <v>1.3306712962962966E-3</v>
      </c>
      <c r="Z17" s="3">
        <v>4.4965277777777782E-4</v>
      </c>
      <c r="AA17" s="3">
        <v>7.3738425925925924E-4</v>
      </c>
      <c r="AB17" s="3"/>
      <c r="AC17" s="3"/>
      <c r="AD17" s="3"/>
      <c r="AE17" s="5"/>
      <c r="AF17" s="3">
        <v>3.8599537037037037E-4</v>
      </c>
      <c r="AG17" s="3">
        <v>6.2997685185185183E-4</v>
      </c>
      <c r="AH17" s="3"/>
      <c r="AI17" s="3"/>
      <c r="AJ17" s="3"/>
      <c r="AK17" s="21"/>
      <c r="AL17" s="3">
        <v>4.8263888888888895E-4</v>
      </c>
      <c r="AM17" s="3">
        <v>3.4618055555555552E-4</v>
      </c>
      <c r="AN17" s="21">
        <v>8.1539351851851836E-4</v>
      </c>
      <c r="AO17" s="3">
        <v>4.1550925925925918E-4</v>
      </c>
      <c r="AP17" s="3">
        <v>3.0451388888888889E-4</v>
      </c>
      <c r="AQ17" s="21">
        <v>7.1458333333333324E-4</v>
      </c>
      <c r="AR17" s="3">
        <v>2.7349537037037034E-4</v>
      </c>
      <c r="AS17" s="3">
        <v>4.0937499999999996E-4</v>
      </c>
      <c r="AT17" s="21">
        <v>3.692129629629629E-4</v>
      </c>
      <c r="AU17" s="3">
        <v>2.5069444444444445E-4</v>
      </c>
      <c r="AV17" s="3">
        <v>4.0625000000000009E-4</v>
      </c>
      <c r="AW17" s="3">
        <v>3.5324074074074077E-4</v>
      </c>
    </row>
    <row r="18" spans="1:49" x14ac:dyDescent="0.45">
      <c r="A18" s="1">
        <f t="shared" si="0"/>
        <v>2013</v>
      </c>
      <c r="B18" s="4">
        <v>4.0810185185185182E-4</v>
      </c>
      <c r="C18" s="4">
        <v>6.5254629629629636E-4</v>
      </c>
      <c r="D18" s="4">
        <v>8.244212962962963E-4</v>
      </c>
      <c r="E18" s="4">
        <v>7.0011574074074073E-4</v>
      </c>
      <c r="F18" s="4">
        <v>1.6730324074074076E-3</v>
      </c>
      <c r="G18" s="6">
        <v>1.4106481481481481E-3</v>
      </c>
      <c r="H18" s="4">
        <v>3.3495370370370368E-4</v>
      </c>
      <c r="I18" s="4">
        <v>5.3749999999999989E-4</v>
      </c>
      <c r="J18" s="4">
        <v>6.9189814814814819E-4</v>
      </c>
      <c r="K18" s="4">
        <v>5.9444444444444443E-4</v>
      </c>
      <c r="L18" s="4">
        <v>1.4798611111111113E-3</v>
      </c>
      <c r="M18" s="22">
        <v>1.312962962962963E-3</v>
      </c>
      <c r="N18" s="4">
        <v>4.0810185185185182E-4</v>
      </c>
      <c r="O18" s="4">
        <v>6.5254629629629636E-4</v>
      </c>
      <c r="P18" s="4">
        <v>8.244212962962963E-4</v>
      </c>
      <c r="Q18" s="4">
        <v>7.0011574074074073E-4</v>
      </c>
      <c r="R18" s="4">
        <v>1.6730324074074076E-3</v>
      </c>
      <c r="S18" s="6">
        <v>1.4106481481481481E-3</v>
      </c>
      <c r="T18" s="4">
        <v>3.3495370370370368E-4</v>
      </c>
      <c r="U18" s="4">
        <v>5.3749999999999989E-4</v>
      </c>
      <c r="V18" s="4">
        <v>6.9189814814814819E-4</v>
      </c>
      <c r="W18" s="4">
        <v>5.9444444444444443E-4</v>
      </c>
      <c r="X18" s="4">
        <v>1.4798611111111113E-3</v>
      </c>
      <c r="Y18" s="22">
        <v>1.312962962962963E-3</v>
      </c>
      <c r="Z18" s="4">
        <v>4.4965277777777782E-4</v>
      </c>
      <c r="AA18" s="4">
        <v>7.3738425925925924E-4</v>
      </c>
      <c r="AB18" s="4"/>
      <c r="AC18" s="4"/>
      <c r="AD18" s="4"/>
      <c r="AE18" s="6"/>
      <c r="AF18" s="4">
        <v>3.7962962962962956E-4</v>
      </c>
      <c r="AG18" s="4">
        <v>6.2997685185185183E-4</v>
      </c>
      <c r="AH18" s="4"/>
      <c r="AI18" s="4"/>
      <c r="AJ18" s="4"/>
      <c r="AK18" s="22"/>
      <c r="AL18" s="4">
        <v>4.8263888888888895E-4</v>
      </c>
      <c r="AM18" s="4">
        <v>3.4618055555555552E-4</v>
      </c>
      <c r="AN18" s="22">
        <v>8.1539351851851836E-4</v>
      </c>
      <c r="AO18" s="4">
        <v>4.1550925925925918E-4</v>
      </c>
      <c r="AP18" s="4">
        <v>3.0451388888888889E-4</v>
      </c>
      <c r="AQ18" s="22">
        <v>7.1458333333333324E-4</v>
      </c>
      <c r="AR18" s="4">
        <v>2.7349537037037034E-4</v>
      </c>
      <c r="AS18" s="4">
        <v>4.0937499999999996E-4</v>
      </c>
      <c r="AT18" s="22">
        <v>3.692129629629629E-4</v>
      </c>
      <c r="AU18" s="4">
        <v>2.5069444444444445E-4</v>
      </c>
      <c r="AV18" s="4">
        <v>4.0625000000000009E-4</v>
      </c>
      <c r="AW18" s="4">
        <v>3.5324074074074077E-4</v>
      </c>
    </row>
    <row r="19" spans="1:49" x14ac:dyDescent="0.45">
      <c r="A19" s="1">
        <f t="shared" si="0"/>
        <v>2014</v>
      </c>
      <c r="B19" s="3">
        <v>4.0208333333333334E-4</v>
      </c>
      <c r="C19" s="3">
        <v>6.4490740740740741E-4</v>
      </c>
      <c r="D19" s="3">
        <v>8.0543981481481482E-4</v>
      </c>
      <c r="E19" s="3">
        <v>6.9074074074074079E-4</v>
      </c>
      <c r="F19" s="3">
        <v>1.6730324074074076E-3</v>
      </c>
      <c r="G19" s="5">
        <v>1.4106481481481481E-3</v>
      </c>
      <c r="H19" s="3">
        <v>3.3495370370370368E-4</v>
      </c>
      <c r="I19" s="3">
        <v>5.322916666666667E-4</v>
      </c>
      <c r="J19" s="3">
        <v>6.9189814814814819E-4</v>
      </c>
      <c r="K19" s="3">
        <v>5.84837962962963E-4</v>
      </c>
      <c r="L19" s="3">
        <v>1.4621527777777777E-3</v>
      </c>
      <c r="M19" s="21">
        <v>1.312962962962963E-3</v>
      </c>
      <c r="N19" s="3">
        <v>4.0208333333333334E-4</v>
      </c>
      <c r="O19" s="3">
        <v>6.4490740740740741E-4</v>
      </c>
      <c r="P19" s="3">
        <v>8.0543981481481482E-4</v>
      </c>
      <c r="Q19" s="3">
        <v>6.9074074074074079E-4</v>
      </c>
      <c r="R19" s="3">
        <v>1.6730324074074076E-3</v>
      </c>
      <c r="S19" s="5">
        <v>1.4106481481481481E-3</v>
      </c>
      <c r="T19" s="3">
        <v>3.3495370370370368E-4</v>
      </c>
      <c r="U19" s="3">
        <v>5.322916666666667E-4</v>
      </c>
      <c r="V19" s="3">
        <v>6.9189814814814819E-4</v>
      </c>
      <c r="W19" s="3">
        <v>5.84837962962963E-4</v>
      </c>
      <c r="X19" s="3">
        <v>1.4621527777777777E-3</v>
      </c>
      <c r="Y19" s="21">
        <v>1.312962962962963E-3</v>
      </c>
      <c r="Z19" s="3">
        <v>4.4062499999999999E-4</v>
      </c>
      <c r="AA19" s="3">
        <v>7.3472222222222222E-4</v>
      </c>
      <c r="AB19" s="3"/>
      <c r="AC19" s="3"/>
      <c r="AD19" s="3"/>
      <c r="AE19" s="5"/>
      <c r="AF19" s="3">
        <v>3.7962962962962956E-4</v>
      </c>
      <c r="AG19" s="3">
        <v>6.2997685185185183E-4</v>
      </c>
      <c r="AH19" s="3"/>
      <c r="AI19" s="3"/>
      <c r="AJ19" s="3"/>
      <c r="AK19" s="21"/>
      <c r="AL19" s="3">
        <v>4.8263888888888895E-4</v>
      </c>
      <c r="AM19" s="3">
        <v>3.4618055555555552E-4</v>
      </c>
      <c r="AN19" s="21">
        <v>8.0983796296296305E-4</v>
      </c>
      <c r="AO19" s="3">
        <v>4.1550925925925918E-4</v>
      </c>
      <c r="AP19" s="3">
        <v>3.0451388888888889E-4</v>
      </c>
      <c r="AQ19" s="21">
        <v>7.1458333333333324E-4</v>
      </c>
      <c r="AR19" s="3">
        <v>2.7349537037037034E-4</v>
      </c>
      <c r="AS19" s="3">
        <v>4.0937499999999996E-4</v>
      </c>
      <c r="AT19" s="21">
        <v>3.692129629629629E-4</v>
      </c>
      <c r="AU19" s="3">
        <v>2.5069444444444445E-4</v>
      </c>
      <c r="AV19" s="3">
        <v>4.0393518518518518E-4</v>
      </c>
      <c r="AW19" s="3">
        <v>3.5324074074074077E-4</v>
      </c>
    </row>
    <row r="20" spans="1:49" x14ac:dyDescent="0.45">
      <c r="A20" s="1">
        <f t="shared" si="0"/>
        <v>2015</v>
      </c>
      <c r="B20" s="4">
        <v>4.0208333333333334E-4</v>
      </c>
      <c r="C20" s="4">
        <v>5.9768518518518515E-4</v>
      </c>
      <c r="D20" s="4">
        <v>8.0069444444444448E-4</v>
      </c>
      <c r="E20" s="4">
        <v>6.7164351851851857E-4</v>
      </c>
      <c r="F20" s="4">
        <v>1.6690972222222222E-3</v>
      </c>
      <c r="G20" s="6">
        <v>1.4106481481481481E-3</v>
      </c>
      <c r="H20" s="4">
        <v>3.2696759259259262E-4</v>
      </c>
      <c r="I20" s="4">
        <v>5.2256944444444443E-4</v>
      </c>
      <c r="J20" s="4">
        <v>6.9189814814814819E-4</v>
      </c>
      <c r="K20" s="4">
        <v>5.8287037037037042E-4</v>
      </c>
      <c r="L20" s="4">
        <v>1.454398148148148E-3</v>
      </c>
      <c r="M20" s="22">
        <v>1.3116898148148148E-3</v>
      </c>
      <c r="N20" s="4">
        <v>4.0208333333333334E-4</v>
      </c>
      <c r="O20" s="4">
        <v>5.9768518518518515E-4</v>
      </c>
      <c r="P20" s="4">
        <v>8.0069444444444448E-4</v>
      </c>
      <c r="Q20" s="4">
        <v>6.7164351851851857E-4</v>
      </c>
      <c r="R20" s="4">
        <v>1.6690972222222222E-3</v>
      </c>
      <c r="S20" s="6">
        <v>1.4106481481481481E-3</v>
      </c>
      <c r="T20" s="4">
        <v>3.2696759259259262E-4</v>
      </c>
      <c r="U20" s="4">
        <v>5.2256944444444443E-4</v>
      </c>
      <c r="V20" s="4">
        <v>6.9189814814814819E-4</v>
      </c>
      <c r="W20" s="4">
        <v>5.8287037037037042E-4</v>
      </c>
      <c r="X20" s="4">
        <v>1.454398148148148E-3</v>
      </c>
      <c r="Y20" s="22">
        <v>1.3116898148148148E-3</v>
      </c>
      <c r="Z20" s="4">
        <v>4.4062499999999999E-4</v>
      </c>
      <c r="AA20" s="4">
        <v>7.2534722222222228E-4</v>
      </c>
      <c r="AB20" s="4"/>
      <c r="AC20" s="4"/>
      <c r="AD20" s="4"/>
      <c r="AE20" s="6"/>
      <c r="AF20" s="4">
        <v>3.7962962962962956E-4</v>
      </c>
      <c r="AG20" s="4">
        <v>5.929398148148148E-4</v>
      </c>
      <c r="AH20" s="4"/>
      <c r="AI20" s="4"/>
      <c r="AJ20" s="4"/>
      <c r="AK20" s="22"/>
      <c r="AL20" s="4">
        <v>4.8263888888888895E-4</v>
      </c>
      <c r="AM20" s="4">
        <v>3.4618055555555552E-4</v>
      </c>
      <c r="AN20" s="22">
        <v>8.0983796296296305E-4</v>
      </c>
      <c r="AO20" s="4">
        <v>4.1550925925925918E-4</v>
      </c>
      <c r="AP20" s="4">
        <v>3.0451388888888889E-4</v>
      </c>
      <c r="AQ20" s="22">
        <v>7.1458333333333324E-4</v>
      </c>
      <c r="AR20" s="4">
        <v>2.6273148148148146E-4</v>
      </c>
      <c r="AS20" s="4">
        <v>3.9652777777777776E-4</v>
      </c>
      <c r="AT20" s="22">
        <v>3.692129629629629E-4</v>
      </c>
      <c r="AU20" s="4">
        <v>2.5069444444444445E-4</v>
      </c>
      <c r="AV20" s="4">
        <v>4.0393518518518518E-4</v>
      </c>
      <c r="AW20" s="4">
        <v>3.5324074074074077E-4</v>
      </c>
    </row>
    <row r="21" spans="1:49" x14ac:dyDescent="0.45">
      <c r="A21" s="1">
        <f t="shared" si="0"/>
        <v>2016</v>
      </c>
      <c r="B21" s="3">
        <v>3.9664351851851856E-4</v>
      </c>
      <c r="C21" s="3">
        <v>5.9768518518518515E-4</v>
      </c>
      <c r="D21" s="3">
        <v>8.0069444444444448E-4</v>
      </c>
      <c r="E21" s="3">
        <v>6.7164351851851857E-4</v>
      </c>
      <c r="F21" s="3">
        <v>1.6690972222222222E-3</v>
      </c>
      <c r="G21" s="5">
        <v>1.4106481481481481E-3</v>
      </c>
      <c r="H21" s="3">
        <v>3.2696759259259262E-4</v>
      </c>
      <c r="I21" s="3">
        <v>5.2256944444444443E-4</v>
      </c>
      <c r="J21" s="3">
        <v>6.9189814814814819E-4</v>
      </c>
      <c r="K21" s="3">
        <v>5.8287037037037042E-4</v>
      </c>
      <c r="L21" s="3">
        <v>1.454398148148148E-3</v>
      </c>
      <c r="M21" s="21">
        <v>1.3116898148148148E-3</v>
      </c>
      <c r="N21" s="3">
        <v>3.9664351851851856E-4</v>
      </c>
      <c r="O21" s="3">
        <v>5.9768518518518515E-4</v>
      </c>
      <c r="P21" s="3">
        <v>8.0069444444444448E-4</v>
      </c>
      <c r="Q21" s="3">
        <v>6.7164351851851857E-4</v>
      </c>
      <c r="R21" s="3">
        <v>1.6690972222222222E-3</v>
      </c>
      <c r="S21" s="5">
        <v>1.4106481481481481E-3</v>
      </c>
      <c r="T21" s="3">
        <v>3.2696759259259262E-4</v>
      </c>
      <c r="U21" s="3">
        <v>5.2256944444444443E-4</v>
      </c>
      <c r="V21" s="3">
        <v>6.9189814814814819E-4</v>
      </c>
      <c r="W21" s="3">
        <v>5.8287037037037042E-4</v>
      </c>
      <c r="X21" s="3">
        <v>1.454398148148148E-3</v>
      </c>
      <c r="Y21" s="21">
        <v>1.3116898148148148E-3</v>
      </c>
      <c r="Z21" s="3">
        <v>4.4062499999999999E-4</v>
      </c>
      <c r="AA21" s="3">
        <v>6.9236111111111104E-4</v>
      </c>
      <c r="AB21" s="3"/>
      <c r="AC21" s="3"/>
      <c r="AD21" s="3"/>
      <c r="AE21" s="5"/>
      <c r="AF21" s="3">
        <v>3.7962962962962956E-4</v>
      </c>
      <c r="AG21" s="3">
        <v>5.7118055555555557E-4</v>
      </c>
      <c r="AH21" s="3"/>
      <c r="AI21" s="3"/>
      <c r="AJ21" s="3"/>
      <c r="AK21" s="21"/>
      <c r="AL21" s="3">
        <v>4.650462962962963E-4</v>
      </c>
      <c r="AM21" s="3">
        <v>3.3877314814814816E-4</v>
      </c>
      <c r="AN21" s="21">
        <v>7.9398148148148145E-4</v>
      </c>
      <c r="AO21" s="3">
        <v>4.1550925925925918E-4</v>
      </c>
      <c r="AP21" s="3">
        <v>3.0254629629629631E-4</v>
      </c>
      <c r="AQ21" s="21">
        <v>7.1458333333333324E-4</v>
      </c>
      <c r="AR21" s="3">
        <v>2.6273148148148146E-4</v>
      </c>
      <c r="AS21" s="3">
        <v>3.7835648148148147E-4</v>
      </c>
      <c r="AT21" s="21">
        <v>3.5914351851851857E-4</v>
      </c>
      <c r="AU21" s="3">
        <v>2.5069444444444445E-4</v>
      </c>
      <c r="AV21" s="3">
        <v>3.9525462962962957E-4</v>
      </c>
      <c r="AW21" s="3">
        <v>3.5324074074074077E-4</v>
      </c>
    </row>
    <row r="22" spans="1:49" x14ac:dyDescent="0.45">
      <c r="A22" s="1">
        <f t="shared" si="0"/>
        <v>2017</v>
      </c>
      <c r="B22" s="4">
        <v>3.7951388888888887E-4</v>
      </c>
      <c r="C22" s="4">
        <v>5.9768518518518515E-4</v>
      </c>
      <c r="D22" s="4">
        <v>7.969907407407408E-4</v>
      </c>
      <c r="E22" s="4">
        <v>6.7060185185185191E-4</v>
      </c>
      <c r="F22" s="4">
        <v>1.6438657407407409E-3</v>
      </c>
      <c r="G22" s="6">
        <v>1.4106481481481481E-3</v>
      </c>
      <c r="H22" s="4">
        <v>3.2476851851851845E-4</v>
      </c>
      <c r="I22" s="4">
        <v>5.2256944444444443E-4</v>
      </c>
      <c r="J22" s="4">
        <v>6.8726851851851848E-4</v>
      </c>
      <c r="K22" s="4">
        <v>5.7719907407407405E-4</v>
      </c>
      <c r="L22" s="4">
        <v>1.4452546296296297E-3</v>
      </c>
      <c r="M22" s="22">
        <v>1.3116898148148148E-3</v>
      </c>
      <c r="N22" s="4">
        <v>3.7951388888888887E-4</v>
      </c>
      <c r="O22" s="4">
        <v>5.9768518518518515E-4</v>
      </c>
      <c r="P22" s="4">
        <v>7.969907407407408E-4</v>
      </c>
      <c r="Q22" s="4">
        <v>6.7060185185185191E-4</v>
      </c>
      <c r="R22" s="4">
        <v>1.6438657407407409E-3</v>
      </c>
      <c r="S22" s="6">
        <v>1.4106481481481481E-3</v>
      </c>
      <c r="T22" s="4">
        <v>3.2476851851851845E-4</v>
      </c>
      <c r="U22" s="4">
        <v>5.2256944444444443E-4</v>
      </c>
      <c r="V22" s="4">
        <v>6.8726851851851848E-4</v>
      </c>
      <c r="W22" s="4">
        <v>5.7719907407407405E-4</v>
      </c>
      <c r="X22" s="4">
        <v>1.4452546296296297E-3</v>
      </c>
      <c r="Y22" s="22">
        <v>1.3116898148148148E-3</v>
      </c>
      <c r="Z22" s="4">
        <v>4.4062499999999999E-4</v>
      </c>
      <c r="AA22" s="4">
        <v>6.9236111111111104E-4</v>
      </c>
      <c r="AB22" s="4"/>
      <c r="AC22" s="4"/>
      <c r="AD22" s="4"/>
      <c r="AE22" s="6"/>
      <c r="AF22" s="4">
        <v>3.7962962962962956E-4</v>
      </c>
      <c r="AG22" s="4">
        <v>5.7118055555555557E-4</v>
      </c>
      <c r="AH22" s="4"/>
      <c r="AI22" s="4"/>
      <c r="AJ22" s="4"/>
      <c r="AK22" s="22"/>
      <c r="AL22" s="4">
        <v>4.6342592592592594E-4</v>
      </c>
      <c r="AM22" s="4">
        <v>3.184027777777778E-4</v>
      </c>
      <c r="AN22" s="22">
        <v>7.6979166666666678E-4</v>
      </c>
      <c r="AO22" s="4">
        <v>4.1550925925925918E-4</v>
      </c>
      <c r="AP22" s="4">
        <v>2.9907407407407405E-4</v>
      </c>
      <c r="AQ22" s="22">
        <v>7.086805555555556E-4</v>
      </c>
      <c r="AR22" s="4">
        <v>2.6273148148148146E-4</v>
      </c>
      <c r="AS22" s="4">
        <v>3.7835648148148147E-4</v>
      </c>
      <c r="AT22" s="22">
        <v>3.5914351851851857E-4</v>
      </c>
      <c r="AU22" s="4">
        <v>2.4675925925925923E-4</v>
      </c>
      <c r="AV22" s="4">
        <v>3.9525462962962957E-4</v>
      </c>
      <c r="AW22" s="4">
        <v>3.4745370370370372E-4</v>
      </c>
    </row>
    <row r="23" spans="1:49" x14ac:dyDescent="0.45">
      <c r="A23" s="1">
        <f t="shared" si="0"/>
        <v>2018</v>
      </c>
      <c r="B23" s="3">
        <v>3.7951388888888887E-4</v>
      </c>
      <c r="C23" s="3">
        <v>5.9768518518518515E-4</v>
      </c>
      <c r="D23" s="3">
        <v>7.969907407407408E-4</v>
      </c>
      <c r="E23" s="3">
        <v>6.6180555555555556E-4</v>
      </c>
      <c r="F23" s="3">
        <v>1.6403935185185185E-3</v>
      </c>
      <c r="G23" s="5">
        <v>1.4106481481481481E-3</v>
      </c>
      <c r="H23" s="3">
        <v>3.1562499999999999E-4</v>
      </c>
      <c r="I23" s="3">
        <v>5.2187500000000009E-4</v>
      </c>
      <c r="J23" s="3">
        <v>6.8078703703703704E-4</v>
      </c>
      <c r="K23" s="3">
        <v>5.6736111111111115E-4</v>
      </c>
      <c r="L23" s="3">
        <v>1.4390046296296295E-3</v>
      </c>
      <c r="M23" s="21">
        <v>1.3116898148148148E-3</v>
      </c>
      <c r="N23" s="3">
        <v>3.7951388888888887E-4</v>
      </c>
      <c r="O23" s="3">
        <v>5.9768518518518515E-4</v>
      </c>
      <c r="P23" s="3">
        <v>7.969907407407408E-4</v>
      </c>
      <c r="Q23" s="3">
        <v>6.6180555555555556E-4</v>
      </c>
      <c r="R23" s="3">
        <v>1.6403935185185185E-3</v>
      </c>
      <c r="S23" s="5">
        <v>1.4106481481481481E-3</v>
      </c>
      <c r="T23" s="3">
        <v>3.1562499999999999E-4</v>
      </c>
      <c r="U23" s="3">
        <v>5.2187500000000009E-4</v>
      </c>
      <c r="V23" s="3">
        <v>6.8078703703703704E-4</v>
      </c>
      <c r="W23" s="3">
        <v>5.6736111111111115E-4</v>
      </c>
      <c r="X23" s="3">
        <v>1.4390046296296295E-3</v>
      </c>
      <c r="Y23" s="21">
        <v>1.3116898148148148E-3</v>
      </c>
      <c r="Z23" s="3">
        <v>4.4062499999999999E-4</v>
      </c>
      <c r="AA23" s="3">
        <v>6.899305555555555E-4</v>
      </c>
      <c r="AB23" s="3"/>
      <c r="AC23" s="3"/>
      <c r="AD23" s="3"/>
      <c r="AE23" s="5"/>
      <c r="AF23" s="3">
        <v>3.7962962962962956E-4</v>
      </c>
      <c r="AG23" s="3">
        <v>5.7118055555555557E-4</v>
      </c>
      <c r="AH23" s="3"/>
      <c r="AI23" s="3"/>
      <c r="AJ23" s="3"/>
      <c r="AK23" s="21"/>
      <c r="AL23" s="3">
        <v>4.5081018518518517E-4</v>
      </c>
      <c r="AM23" s="3">
        <v>3.1018518518518521E-4</v>
      </c>
      <c r="AN23" s="21">
        <v>7.4722222222222236E-4</v>
      </c>
      <c r="AO23" s="3">
        <v>4.1550925925925918E-4</v>
      </c>
      <c r="AP23" s="3">
        <v>2.921296296296296E-4</v>
      </c>
      <c r="AQ23" s="21">
        <v>7.086805555555556E-4</v>
      </c>
      <c r="AR23" s="3">
        <v>2.6273148148148146E-4</v>
      </c>
      <c r="AS23" s="3">
        <v>3.7835648148148147E-4</v>
      </c>
      <c r="AT23" s="21">
        <v>3.5914351851851857E-4</v>
      </c>
      <c r="AU23" s="3">
        <v>2.4675925925925923E-4</v>
      </c>
      <c r="AV23" s="3">
        <v>3.9525462962962957E-4</v>
      </c>
      <c r="AW23" s="3">
        <v>3.4745370370370372E-4</v>
      </c>
    </row>
    <row r="24" spans="1:49" x14ac:dyDescent="0.45">
      <c r="A24" s="1">
        <f t="shared" si="0"/>
        <v>2019</v>
      </c>
      <c r="B24" s="4">
        <v>3.7951388888888887E-4</v>
      </c>
      <c r="C24" s="4">
        <v>5.877314814814815E-4</v>
      </c>
      <c r="D24" s="4">
        <v>7.969907407407408E-4</v>
      </c>
      <c r="E24" s="4">
        <v>6.6030092592592583E-4</v>
      </c>
      <c r="F24" s="4">
        <v>1.6403935185185185E-3</v>
      </c>
      <c r="G24" s="6">
        <v>1.4106481481481481E-3</v>
      </c>
      <c r="H24" s="4">
        <v>3.1562499999999999E-4</v>
      </c>
      <c r="I24" s="4">
        <v>5.1168981481481475E-4</v>
      </c>
      <c r="J24" s="4">
        <v>6.8078703703703704E-4</v>
      </c>
      <c r="K24" s="4">
        <v>5.6736111111111115E-4</v>
      </c>
      <c r="L24" s="4">
        <v>1.4390046296296295E-3</v>
      </c>
      <c r="M24" s="22">
        <v>1.3116898148148148E-3</v>
      </c>
      <c r="N24" s="4">
        <v>3.7951388888888887E-4</v>
      </c>
      <c r="O24" s="4">
        <v>5.877314814814815E-4</v>
      </c>
      <c r="P24" s="4">
        <v>7.969907407407408E-4</v>
      </c>
      <c r="Q24" s="4">
        <v>6.6030092592592583E-4</v>
      </c>
      <c r="R24" s="4">
        <v>1.6403935185185185E-3</v>
      </c>
      <c r="S24" s="6">
        <v>1.4106481481481481E-3</v>
      </c>
      <c r="T24" s="4">
        <v>3.1562499999999999E-4</v>
      </c>
      <c r="U24" s="4">
        <v>5.1168981481481475E-4</v>
      </c>
      <c r="V24" s="4">
        <v>6.8078703703703704E-4</v>
      </c>
      <c r="W24" s="4">
        <v>5.6736111111111115E-4</v>
      </c>
      <c r="X24" s="4">
        <v>1.4390046296296295E-3</v>
      </c>
      <c r="Y24" s="22">
        <v>1.3116898148148148E-3</v>
      </c>
      <c r="Z24" s="4">
        <v>4.2777777777777779E-4</v>
      </c>
      <c r="AA24" s="4">
        <v>6.3668981481481476E-4</v>
      </c>
      <c r="AB24" s="4"/>
      <c r="AC24" s="4"/>
      <c r="AD24" s="4"/>
      <c r="AE24" s="6"/>
      <c r="AF24" s="4">
        <v>3.7962962962962956E-4</v>
      </c>
      <c r="AG24" s="4">
        <v>5.7118055555555557E-4</v>
      </c>
      <c r="AH24" s="4"/>
      <c r="AI24" s="4"/>
      <c r="AJ24" s="4"/>
      <c r="AK24" s="22"/>
      <c r="AL24" s="4">
        <v>4.5081018518518517E-4</v>
      </c>
      <c r="AM24" s="4">
        <v>3.1018518518518521E-4</v>
      </c>
      <c r="AN24" s="22">
        <v>7.4722222222222236E-4</v>
      </c>
      <c r="AO24" s="4">
        <v>4.1550925925925918E-4</v>
      </c>
      <c r="AP24" s="4">
        <v>2.6886574074074074E-4</v>
      </c>
      <c r="AQ24" s="22">
        <v>7.086805555555556E-4</v>
      </c>
      <c r="AR24" s="4">
        <v>2.6273148148148146E-4</v>
      </c>
      <c r="AS24" s="4">
        <v>3.7835648148148147E-4</v>
      </c>
      <c r="AT24" s="22">
        <v>3.5914351851851857E-4</v>
      </c>
      <c r="AU24" s="4">
        <v>2.4675925925925923E-4</v>
      </c>
      <c r="AV24" s="4">
        <v>3.9525462962962957E-4</v>
      </c>
      <c r="AW24" s="4">
        <v>3.4745370370370372E-4</v>
      </c>
    </row>
    <row r="25" spans="1:49" x14ac:dyDescent="0.45">
      <c r="A25" s="1">
        <f t="shared" si="0"/>
        <v>2020</v>
      </c>
      <c r="B25" s="3">
        <v>3.9675925925925924E-4</v>
      </c>
      <c r="C25" s="3">
        <v>6.03587962962963E-4</v>
      </c>
      <c r="D25" s="3">
        <v>8.267361111111111E-4</v>
      </c>
      <c r="E25" s="3">
        <v>6.6643518518518516E-4</v>
      </c>
      <c r="F25" s="3">
        <v>1.6587962962962962E-3</v>
      </c>
      <c r="G25" s="5">
        <v>1.5241898148148148E-3</v>
      </c>
      <c r="H25" s="3">
        <v>3.1562499999999999E-4</v>
      </c>
      <c r="I25" s="3">
        <v>5.0972222222222228E-4</v>
      </c>
      <c r="J25" s="3">
        <v>6.835648148148148E-4</v>
      </c>
      <c r="K25" s="3">
        <v>5.7152777777777779E-4</v>
      </c>
      <c r="L25" s="3">
        <v>1.454398148148148E-3</v>
      </c>
      <c r="M25" s="21">
        <v>1.3541666666666667E-3</v>
      </c>
      <c r="N25" s="3">
        <v>4.0798611111111114E-4</v>
      </c>
      <c r="O25" s="3">
        <v>6.03587962962963E-4</v>
      </c>
      <c r="P25" s="3">
        <v>8.5196759259259264E-4</v>
      </c>
      <c r="Q25" s="3">
        <v>7.052083333333334E-4</v>
      </c>
      <c r="R25" s="3">
        <v>1.740625E-3</v>
      </c>
      <c r="S25" s="5">
        <v>1.5274305555555555E-3</v>
      </c>
      <c r="T25" s="3">
        <v>3.4907407407407413E-4</v>
      </c>
      <c r="U25" s="3">
        <v>5.3194444444444448E-4</v>
      </c>
      <c r="V25" s="3">
        <v>7.2303240740740737E-4</v>
      </c>
      <c r="W25" s="3">
        <v>6.0405092592592596E-4</v>
      </c>
      <c r="X25" s="3">
        <v>1.5442129629629627E-3</v>
      </c>
      <c r="Y25" s="21">
        <v>1.4155092592592589E-3</v>
      </c>
      <c r="Z25" s="3">
        <v>4.0798611111111114E-4</v>
      </c>
      <c r="AA25" s="3">
        <v>6.03587962962963E-4</v>
      </c>
      <c r="AB25" s="3">
        <v>8.5196759259259264E-4</v>
      </c>
      <c r="AC25" s="3">
        <v>7.0879629629629624E-4</v>
      </c>
      <c r="AD25" s="3">
        <v>1.740625E-3</v>
      </c>
      <c r="AE25" s="5">
        <v>1.5274305555555555E-3</v>
      </c>
      <c r="AF25" s="3">
        <v>3.7488425925925927E-4</v>
      </c>
      <c r="AG25" s="3">
        <v>5.7118055555555557E-4</v>
      </c>
      <c r="AH25" s="3">
        <v>8.2638888888888877E-4</v>
      </c>
      <c r="AI25" s="3">
        <v>6.5324074074074069E-4</v>
      </c>
      <c r="AJ25" s="3">
        <v>1.6990740740740742E-3</v>
      </c>
      <c r="AK25" s="21">
        <v>1.433449074074074E-3</v>
      </c>
      <c r="AL25" s="3">
        <v>4.5081018518518517E-4</v>
      </c>
      <c r="AM25" s="3">
        <v>3.1018518518518521E-4</v>
      </c>
      <c r="AN25" s="21">
        <v>7.4722222222222236E-4</v>
      </c>
      <c r="AO25" s="3">
        <v>4.1550925925925918E-4</v>
      </c>
      <c r="AP25" s="3">
        <v>2.6886574074074074E-4</v>
      </c>
      <c r="AQ25" s="21">
        <v>7.086805555555556E-4</v>
      </c>
      <c r="AR25" s="3">
        <v>2.6273148148148146E-4</v>
      </c>
      <c r="AS25" s="3">
        <v>3.7835648148148147E-4</v>
      </c>
      <c r="AT25" s="21">
        <v>3.5914351851851857E-4</v>
      </c>
      <c r="AU25" s="3">
        <v>2.4675925925925923E-4</v>
      </c>
      <c r="AV25" s="3">
        <v>3.9525462962962957E-4</v>
      </c>
      <c r="AW25" s="3">
        <v>3.4745370370370372E-4</v>
      </c>
    </row>
    <row r="26" spans="1:49" x14ac:dyDescent="0.45">
      <c r="A26" s="1">
        <f t="shared" si="0"/>
        <v>2021</v>
      </c>
      <c r="B26" s="4">
        <v>3.9675925925925924E-4</v>
      </c>
      <c r="C26" s="4">
        <v>6.03587962962963E-4</v>
      </c>
      <c r="D26" s="4">
        <v>8.267361111111111E-4</v>
      </c>
      <c r="E26" s="4">
        <v>6.6643518518518516E-4</v>
      </c>
      <c r="F26" s="4">
        <v>1.6879629629629632E-3</v>
      </c>
      <c r="G26" s="6">
        <v>1.5241898148148148E-3</v>
      </c>
      <c r="H26" s="4">
        <v>3.1562499999999999E-4</v>
      </c>
      <c r="I26" s="4">
        <v>5.0972222222222228E-4</v>
      </c>
      <c r="J26" s="4">
        <v>6.835648148148148E-4</v>
      </c>
      <c r="K26" s="4">
        <v>5.7152777777777779E-4</v>
      </c>
      <c r="L26" s="4">
        <v>1.454398148148148E-3</v>
      </c>
      <c r="M26" s="22">
        <v>1.3541666666666667E-3</v>
      </c>
      <c r="N26" s="4">
        <v>4.0798611111111114E-4</v>
      </c>
      <c r="O26" s="4">
        <v>6.03587962962963E-4</v>
      </c>
      <c r="P26" s="4">
        <v>8.5196759259259264E-4</v>
      </c>
      <c r="Q26" s="4">
        <v>7.052083333333334E-4</v>
      </c>
      <c r="R26" s="4">
        <v>1.740625E-3</v>
      </c>
      <c r="S26" s="6">
        <v>1.5274305555555555E-3</v>
      </c>
      <c r="T26" s="4">
        <v>3.4907407407407413E-4</v>
      </c>
      <c r="U26" s="4">
        <v>5.3194444444444448E-4</v>
      </c>
      <c r="V26" s="4">
        <v>7.2303240740740737E-4</v>
      </c>
      <c r="W26" s="4">
        <v>6.0405092592592596E-4</v>
      </c>
      <c r="X26" s="4">
        <v>1.5442129629629627E-3</v>
      </c>
      <c r="Y26" s="22">
        <v>1.4155092592592589E-3</v>
      </c>
      <c r="Z26" s="4">
        <v>4.0798611111111114E-4</v>
      </c>
      <c r="AA26" s="4">
        <v>6.03587962962963E-4</v>
      </c>
      <c r="AB26" s="4">
        <v>8.5196759259259264E-4</v>
      </c>
      <c r="AC26" s="4">
        <v>7.0879629629629624E-4</v>
      </c>
      <c r="AD26" s="4">
        <v>1.740625E-3</v>
      </c>
      <c r="AE26" s="6">
        <v>1.5274305555555555E-3</v>
      </c>
      <c r="AF26" s="4">
        <v>3.7488425925925927E-4</v>
      </c>
      <c r="AG26" s="4">
        <v>5.7118055555555557E-4</v>
      </c>
      <c r="AH26" s="4">
        <v>8.2638888888888877E-4</v>
      </c>
      <c r="AI26" s="4">
        <v>6.5324074074074069E-4</v>
      </c>
      <c r="AJ26" s="4">
        <v>1.6990740740740742E-3</v>
      </c>
      <c r="AK26" s="22">
        <v>1.433449074074074E-3</v>
      </c>
      <c r="AL26" s="4">
        <v>4.5081018518518517E-4</v>
      </c>
      <c r="AM26" s="4">
        <v>3.1018518518518521E-4</v>
      </c>
      <c r="AN26" s="22">
        <v>7.4722222222222236E-4</v>
      </c>
      <c r="AO26" s="4">
        <v>4.1550925925925918E-4</v>
      </c>
      <c r="AP26" s="4">
        <v>2.6886574074074074E-4</v>
      </c>
      <c r="AQ26" s="22">
        <v>7.086805555555556E-4</v>
      </c>
      <c r="AR26" s="4">
        <v>2.6273148148148146E-4</v>
      </c>
      <c r="AS26" s="4">
        <v>3.7835648148148147E-4</v>
      </c>
      <c r="AT26" s="22">
        <v>3.5914351851851857E-4</v>
      </c>
      <c r="AU26" s="4">
        <v>2.4675925925925923E-4</v>
      </c>
      <c r="AV26" s="4">
        <v>3.9525462962962957E-4</v>
      </c>
      <c r="AW26" s="4">
        <v>3.4745370370370372E-4</v>
      </c>
    </row>
    <row r="27" spans="1:49" x14ac:dyDescent="0.45">
      <c r="A27" s="1">
        <f t="shared" si="0"/>
        <v>2022</v>
      </c>
      <c r="B27" s="3">
        <v>3.9398148148148148E-4</v>
      </c>
      <c r="C27" s="3">
        <v>6.03587962962963E-4</v>
      </c>
      <c r="D27" s="3">
        <v>8.166666666666666E-4</v>
      </c>
      <c r="E27" s="3">
        <v>6.6643518518518516E-4</v>
      </c>
      <c r="F27" s="3">
        <v>1.6879629629629632E-3</v>
      </c>
      <c r="G27" s="5">
        <v>1.5050925925925924E-3</v>
      </c>
      <c r="H27" s="3">
        <v>3.1562499999999999E-4</v>
      </c>
      <c r="I27" s="3">
        <v>5.0972222222222228E-4</v>
      </c>
      <c r="J27" s="3">
        <v>6.835648148148148E-4</v>
      </c>
      <c r="K27" s="3">
        <v>5.7152777777777779E-4</v>
      </c>
      <c r="L27" s="3">
        <v>1.454398148148148E-3</v>
      </c>
      <c r="M27" s="21">
        <v>1.3541666666666667E-3</v>
      </c>
      <c r="N27" s="3">
        <v>3.9398148148148148E-4</v>
      </c>
      <c r="O27" s="3">
        <v>6.03587962962963E-4</v>
      </c>
      <c r="P27" s="3">
        <v>8.166666666666666E-4</v>
      </c>
      <c r="Q27" s="3">
        <v>7.052083333333334E-4</v>
      </c>
      <c r="R27" s="3">
        <v>1.6906250000000001E-3</v>
      </c>
      <c r="S27" s="5">
        <v>1.5050925925925924E-3</v>
      </c>
      <c r="T27" s="3">
        <v>3.4907407407407413E-4</v>
      </c>
      <c r="U27" s="3">
        <v>5.3194444444444448E-4</v>
      </c>
      <c r="V27" s="3">
        <v>7.2303240740740737E-4</v>
      </c>
      <c r="W27" s="3">
        <v>6.0405092592592596E-4</v>
      </c>
      <c r="X27" s="3">
        <v>1.5442129629629627E-3</v>
      </c>
      <c r="Y27" s="21">
        <v>1.4155092592592589E-3</v>
      </c>
      <c r="Z27" s="3">
        <v>4.0798611111111114E-4</v>
      </c>
      <c r="AA27" s="3">
        <v>6.03587962962963E-4</v>
      </c>
      <c r="AB27" s="3">
        <v>8.5196759259259264E-4</v>
      </c>
      <c r="AC27" s="3">
        <v>7.0879629629629624E-4</v>
      </c>
      <c r="AD27" s="3">
        <v>1.740625E-3</v>
      </c>
      <c r="AE27" s="5">
        <v>1.5274305555555555E-3</v>
      </c>
      <c r="AF27" s="3">
        <v>3.7488425925925927E-4</v>
      </c>
      <c r="AG27" s="3">
        <v>5.7118055555555557E-4</v>
      </c>
      <c r="AH27" s="3">
        <v>8.2638888888888877E-4</v>
      </c>
      <c r="AI27" s="3">
        <v>6.5324074074074069E-4</v>
      </c>
      <c r="AJ27" s="3">
        <v>1.6990740740740742E-3</v>
      </c>
      <c r="AK27" s="21">
        <v>1.433449074074074E-3</v>
      </c>
      <c r="AL27" s="3">
        <v>4.50462962962963E-4</v>
      </c>
      <c r="AM27" s="3">
        <v>3.1018518518518521E-4</v>
      </c>
      <c r="AN27" s="21">
        <v>7.4722222222222236E-4</v>
      </c>
      <c r="AO27" s="3">
        <v>4.1550925925925918E-4</v>
      </c>
      <c r="AP27" s="3">
        <v>2.6886574074074074E-4</v>
      </c>
      <c r="AQ27" s="21">
        <v>7.086805555555556E-4</v>
      </c>
      <c r="AR27" s="3">
        <v>2.6273148148148146E-4</v>
      </c>
      <c r="AS27" s="3">
        <v>3.7835648148148147E-4</v>
      </c>
      <c r="AT27" s="21">
        <v>3.5914351851851857E-4</v>
      </c>
      <c r="AU27" s="3">
        <v>2.4675925925925923E-4</v>
      </c>
      <c r="AV27" s="3">
        <v>3.9525462962962957E-4</v>
      </c>
      <c r="AW27" s="3">
        <v>3.4745370370370372E-4</v>
      </c>
    </row>
    <row r="28" spans="1:49" x14ac:dyDescent="0.45">
      <c r="A28" s="1">
        <f t="shared" si="0"/>
        <v>2023</v>
      </c>
      <c r="B28" s="4">
        <v>3.797453703703704E-4</v>
      </c>
      <c r="C28" s="4">
        <v>5.8599537037037029E-4</v>
      </c>
      <c r="D28" s="4">
        <v>7.7592592592592589E-4</v>
      </c>
      <c r="E28" s="4">
        <v>6.4930555555555564E-4</v>
      </c>
      <c r="F28" s="4">
        <v>1.6552083333333334E-3</v>
      </c>
      <c r="G28" s="6">
        <v>1.4525462962962964E-3</v>
      </c>
      <c r="H28" s="4">
        <v>3.1562499999999999E-4</v>
      </c>
      <c r="I28" s="4">
        <v>5.0972222222222228E-4</v>
      </c>
      <c r="J28" s="4">
        <v>6.835648148148148E-4</v>
      </c>
      <c r="K28" s="4">
        <v>5.7152777777777779E-4</v>
      </c>
      <c r="L28" s="4">
        <v>1.454398148148148E-3</v>
      </c>
      <c r="M28" s="22">
        <v>1.3541666666666667E-3</v>
      </c>
      <c r="N28" s="4">
        <v>3.9398148148148148E-4</v>
      </c>
      <c r="O28" s="4">
        <v>6.03587962962963E-4</v>
      </c>
      <c r="P28" s="4">
        <v>8.166666666666666E-4</v>
      </c>
      <c r="Q28" s="4">
        <v>7.052083333333334E-4</v>
      </c>
      <c r="R28" s="4">
        <v>1.6906250000000001E-3</v>
      </c>
      <c r="S28" s="6">
        <v>1.5050925925925924E-3</v>
      </c>
      <c r="T28" s="4">
        <v>3.4907407407407413E-4</v>
      </c>
      <c r="U28" s="4">
        <v>5.3194444444444448E-4</v>
      </c>
      <c r="V28" s="4">
        <v>7.2303240740740737E-4</v>
      </c>
      <c r="W28" s="4">
        <v>6.0405092592592596E-4</v>
      </c>
      <c r="X28" s="4">
        <v>1.5442129629629627E-3</v>
      </c>
      <c r="Y28" s="22">
        <v>1.4155092592592589E-3</v>
      </c>
      <c r="Z28" s="4">
        <v>4.0798611111111114E-4</v>
      </c>
      <c r="AA28" s="4">
        <v>6.03587962962963E-4</v>
      </c>
      <c r="AB28" s="4">
        <v>8.5196759259259264E-4</v>
      </c>
      <c r="AC28" s="4">
        <v>7.0879629629629624E-4</v>
      </c>
      <c r="AD28" s="4">
        <v>1.740625E-3</v>
      </c>
      <c r="AE28" s="6">
        <v>1.5274305555555555E-3</v>
      </c>
      <c r="AF28" s="4">
        <v>3.7488425925925927E-4</v>
      </c>
      <c r="AG28" s="4">
        <v>5.7118055555555557E-4</v>
      </c>
      <c r="AH28" s="4">
        <v>8.0173611111111114E-4</v>
      </c>
      <c r="AI28" s="4">
        <v>6.5324074074074069E-4</v>
      </c>
      <c r="AJ28" s="4">
        <v>1.6990740740740742E-3</v>
      </c>
      <c r="AK28" s="22">
        <v>1.433449074074074E-3</v>
      </c>
      <c r="AL28" s="4">
        <v>4.50462962962963E-4</v>
      </c>
      <c r="AM28" s="4">
        <v>3.1018518518518521E-4</v>
      </c>
      <c r="AN28" s="22">
        <v>7.4722222222222236E-4</v>
      </c>
      <c r="AO28" s="4">
        <v>4.1550925925925918E-4</v>
      </c>
      <c r="AP28" s="4">
        <v>2.6886574074074074E-4</v>
      </c>
      <c r="AQ28" s="22">
        <v>7.086805555555556E-4</v>
      </c>
      <c r="AR28" s="4">
        <v>2.6273148148148146E-4</v>
      </c>
      <c r="AS28" s="4">
        <v>3.7835648148148147E-4</v>
      </c>
      <c r="AT28" s="22">
        <v>3.5914351851851857E-4</v>
      </c>
      <c r="AU28" s="4">
        <v>2.4675925925925923E-4</v>
      </c>
      <c r="AV28" s="4">
        <v>3.9525462962962957E-4</v>
      </c>
      <c r="AW28" s="4">
        <v>3.4745370370370372E-4</v>
      </c>
    </row>
    <row r="29" spans="1:49" x14ac:dyDescent="0.45">
      <c r="A29" s="1">
        <f t="shared" si="0"/>
        <v>2024</v>
      </c>
      <c r="B29" s="3">
        <v>3.7835648148148147E-4</v>
      </c>
      <c r="C29" s="3">
        <v>5.8599537037037029E-4</v>
      </c>
      <c r="D29" s="3">
        <v>7.693287037037036E-4</v>
      </c>
      <c r="E29" s="3">
        <v>6.4930555555555564E-4</v>
      </c>
      <c r="F29" s="3">
        <v>1.6347222222222223E-3</v>
      </c>
      <c r="G29" s="5">
        <v>1.4525462962962964E-3</v>
      </c>
      <c r="H29" s="3">
        <v>3.1562499999999999E-4</v>
      </c>
      <c r="I29" s="3">
        <v>5.0972222222222228E-4</v>
      </c>
      <c r="J29" s="3">
        <v>6.835648148148148E-4</v>
      </c>
      <c r="K29" s="3">
        <v>5.7152777777777779E-4</v>
      </c>
      <c r="L29" s="3">
        <v>1.454398148148148E-3</v>
      </c>
      <c r="M29" s="21">
        <v>1.3541666666666667E-3</v>
      </c>
      <c r="N29" s="3">
        <v>3.8692129629629629E-4</v>
      </c>
      <c r="O29" s="3">
        <v>6.03587962962963E-4</v>
      </c>
      <c r="P29" s="3">
        <v>8.1539351851851857E-4</v>
      </c>
      <c r="Q29" s="3">
        <v>6.7349537037037031E-4</v>
      </c>
      <c r="R29" s="3">
        <v>1.6906250000000001E-3</v>
      </c>
      <c r="S29" s="5">
        <v>1.5050925925925924E-3</v>
      </c>
      <c r="T29" s="3">
        <v>3.4907407407407413E-4</v>
      </c>
      <c r="U29" s="3">
        <v>5.3194444444444448E-4</v>
      </c>
      <c r="V29" s="3">
        <v>7.2303240740740737E-4</v>
      </c>
      <c r="W29" s="3">
        <v>6.0405092592592596E-4</v>
      </c>
      <c r="X29" s="3">
        <v>1.529398148148148E-3</v>
      </c>
      <c r="Y29" s="21">
        <v>1.3997685185185187E-3</v>
      </c>
      <c r="Z29" s="3">
        <v>4.0798611111111114E-4</v>
      </c>
      <c r="AA29" s="3">
        <v>6.03587962962963E-4</v>
      </c>
      <c r="AB29" s="3">
        <v>8.5196759259259264E-4</v>
      </c>
      <c r="AC29" s="3">
        <v>7.0879629629629624E-4</v>
      </c>
      <c r="AD29" s="3">
        <v>1.740625E-3</v>
      </c>
      <c r="AE29" s="5">
        <v>1.5274305555555555E-3</v>
      </c>
      <c r="AF29" s="3">
        <v>3.6064814814814813E-4</v>
      </c>
      <c r="AG29" s="3">
        <v>5.6747685185185189E-4</v>
      </c>
      <c r="AH29" s="3">
        <v>7.5671296296296294E-4</v>
      </c>
      <c r="AI29" s="3">
        <v>6.4710648148148147E-4</v>
      </c>
      <c r="AJ29" s="3">
        <v>1.6254629629629629E-3</v>
      </c>
      <c r="AK29" s="21">
        <v>1.433449074074074E-3</v>
      </c>
      <c r="AL29" s="3">
        <v>4.50462962962963E-4</v>
      </c>
      <c r="AM29" s="3">
        <v>3.1018518518518521E-4</v>
      </c>
      <c r="AN29" s="21">
        <v>7.4722222222222236E-4</v>
      </c>
      <c r="AO29" s="3">
        <v>3.9733796296296289E-4</v>
      </c>
      <c r="AP29" s="3">
        <v>2.6886574074074074E-4</v>
      </c>
      <c r="AQ29" s="21">
        <v>6.9618055555555546E-4</v>
      </c>
      <c r="AR29" s="3">
        <v>2.6273148148148146E-4</v>
      </c>
      <c r="AS29" s="3">
        <v>3.7835648148148147E-4</v>
      </c>
      <c r="AT29" s="21">
        <v>3.5914351851851857E-4</v>
      </c>
      <c r="AU29" s="3">
        <v>2.4675925925925923E-4</v>
      </c>
      <c r="AV29" s="3">
        <v>3.7349537037037039E-4</v>
      </c>
      <c r="AW29" s="3">
        <v>3.4745370370370372E-4</v>
      </c>
    </row>
    <row r="30" spans="1:49" x14ac:dyDescent="0.45">
      <c r="A30" s="1">
        <f t="shared" si="0"/>
        <v>2025</v>
      </c>
      <c r="B30" s="4">
        <v>3.7268518518518526E-4</v>
      </c>
      <c r="C30" s="4">
        <v>5.8599537037037029E-4</v>
      </c>
      <c r="D30" s="4">
        <v>7.6099537037037054E-4</v>
      </c>
      <c r="E30" s="4">
        <v>6.4606481481481481E-4</v>
      </c>
      <c r="F30" s="4">
        <v>1.6347222222222223E-3</v>
      </c>
      <c r="G30" s="6">
        <v>1.438773148148148E-3</v>
      </c>
      <c r="H30" s="4">
        <v>3.1562499999999999E-4</v>
      </c>
      <c r="I30" s="4">
        <v>5.0972222222222228E-4</v>
      </c>
      <c r="J30" s="4">
        <v>6.835648148148148E-4</v>
      </c>
      <c r="K30" s="4">
        <v>5.7152777777777779E-4</v>
      </c>
      <c r="L30" s="4">
        <v>1.454398148148148E-3</v>
      </c>
      <c r="M30" s="22">
        <v>1.3541666666666667E-3</v>
      </c>
      <c r="N30" s="4">
        <v>3.8692129629629629E-4</v>
      </c>
      <c r="O30" s="4">
        <v>6.03587962962963E-4</v>
      </c>
      <c r="P30" s="4">
        <v>8.1539351851851857E-4</v>
      </c>
      <c r="Q30" s="4">
        <v>6.7349537037037031E-4</v>
      </c>
      <c r="R30" s="4">
        <v>1.6906250000000001E-3</v>
      </c>
      <c r="S30" s="6">
        <v>1.5050925925925924E-3</v>
      </c>
      <c r="T30" s="4">
        <v>3.3518518518518516E-4</v>
      </c>
      <c r="U30" s="4">
        <v>5.3194444444444448E-4</v>
      </c>
      <c r="V30" s="4">
        <v>7.2303240740740737E-4</v>
      </c>
      <c r="W30" s="4">
        <v>6.0405092592592596E-4</v>
      </c>
      <c r="X30" s="4">
        <v>1.529398148148148E-3</v>
      </c>
      <c r="Y30" s="22">
        <v>1.3666666666666669E-3</v>
      </c>
      <c r="Z30" s="4">
        <v>4.0798611111111114E-4</v>
      </c>
      <c r="AA30" s="4">
        <v>6.03587962962963E-4</v>
      </c>
      <c r="AB30" s="4">
        <v>8.5196759259259264E-4</v>
      </c>
      <c r="AC30" s="4">
        <v>7.0879629629629624E-4</v>
      </c>
      <c r="AD30" s="4">
        <v>1.740625E-3</v>
      </c>
      <c r="AE30" s="6">
        <v>1.5274305555555555E-3</v>
      </c>
      <c r="AF30" s="4">
        <v>3.3518518518518516E-4</v>
      </c>
      <c r="AG30" s="4">
        <v>5.6747685185185189E-4</v>
      </c>
      <c r="AH30" s="4">
        <v>7.3993055555555563E-4</v>
      </c>
      <c r="AI30" s="4">
        <v>6.4710648148148147E-4</v>
      </c>
      <c r="AJ30" s="4">
        <v>1.5910879629629632E-3</v>
      </c>
      <c r="AK30" s="22">
        <v>1.3666666666666669E-3</v>
      </c>
      <c r="AL30" s="4">
        <v>4.50462962962963E-4</v>
      </c>
      <c r="AM30" s="4">
        <v>3.1018518518518521E-4</v>
      </c>
      <c r="AN30" s="22">
        <v>7.4722222222222236E-4</v>
      </c>
      <c r="AO30" s="4">
        <v>3.9733796296296289E-4</v>
      </c>
      <c r="AP30" s="4">
        <v>2.6886574074074074E-4</v>
      </c>
      <c r="AQ30" s="22">
        <v>6.9618055555555546E-4</v>
      </c>
      <c r="AR30" s="4">
        <v>2.6273148148148146E-4</v>
      </c>
      <c r="AS30" s="4">
        <v>3.7835648148148147E-4</v>
      </c>
      <c r="AT30" s="22">
        <v>3.5914351851851857E-4</v>
      </c>
      <c r="AU30" s="4">
        <v>2.4675925925925923E-4</v>
      </c>
      <c r="AV30" s="4">
        <v>3.7349537037037039E-4</v>
      </c>
      <c r="AW30" s="4">
        <v>3.4745370370370372E-4</v>
      </c>
    </row>
    <row r="31" spans="1:49" x14ac:dyDescent="0.45">
      <c r="A31" s="1">
        <f t="shared" si="0"/>
        <v>2026</v>
      </c>
      <c r="B31" s="3">
        <v>3.6435185185185187E-4</v>
      </c>
      <c r="C31" s="3">
        <v>5.8599537037037029E-4</v>
      </c>
      <c r="D31" s="3">
        <v>7.3715277777777776E-4</v>
      </c>
      <c r="E31" s="3">
        <v>6.4606481481481481E-4</v>
      </c>
      <c r="F31" s="3">
        <v>1.6347222222222223E-3</v>
      </c>
      <c r="G31" s="5">
        <v>1.4387731481481482E-3</v>
      </c>
      <c r="H31" s="3">
        <v>3.1562499999999999E-4</v>
      </c>
      <c r="I31" s="3">
        <v>5.0972222222222228E-4</v>
      </c>
      <c r="J31" s="3">
        <v>6.835648148148148E-4</v>
      </c>
      <c r="K31" s="3">
        <v>5.7152777777777779E-4</v>
      </c>
      <c r="L31" s="3">
        <v>1.454398148148148E-3</v>
      </c>
      <c r="M31" s="21">
        <v>1.3541666666666667E-3</v>
      </c>
      <c r="N31" s="3">
        <v>3.8692129629629629E-4</v>
      </c>
      <c r="O31" s="3">
        <v>6.03587962962963E-4</v>
      </c>
      <c r="P31" s="3">
        <v>8.1539351851851857E-4</v>
      </c>
      <c r="Q31" s="3">
        <v>6.7349537037037031E-4</v>
      </c>
      <c r="R31" s="3">
        <v>1.6906249999999999E-3</v>
      </c>
      <c r="S31" s="5">
        <v>1.5050925925925926E-3</v>
      </c>
      <c r="T31" s="3">
        <v>3.3518518518518522E-4</v>
      </c>
      <c r="U31" s="3">
        <v>5.3194444444444448E-4</v>
      </c>
      <c r="V31" s="3">
        <v>7.2303240740740737E-4</v>
      </c>
      <c r="W31" s="3">
        <v>6.0405092592592585E-4</v>
      </c>
      <c r="X31" s="3">
        <v>1.4880787037037037E-3</v>
      </c>
      <c r="Y31" s="21">
        <v>1.3666666666666666E-3</v>
      </c>
      <c r="Z31" s="3">
        <v>4.0798611111111114E-4</v>
      </c>
      <c r="AA31" s="3">
        <v>6.03587962962963E-4</v>
      </c>
      <c r="AB31" s="3">
        <v>8.5196759259259253E-4</v>
      </c>
      <c r="AC31" s="3">
        <v>7.0879629629629634E-4</v>
      </c>
      <c r="AD31" s="3">
        <v>1.7406249999999998E-3</v>
      </c>
      <c r="AE31" s="5">
        <v>1.5274305555555555E-3</v>
      </c>
      <c r="AF31" s="3">
        <v>3.3518518518518522E-4</v>
      </c>
      <c r="AG31" s="3">
        <v>5.6747685185185189E-4</v>
      </c>
      <c r="AH31" s="3">
        <v>7.3993055555555552E-4</v>
      </c>
      <c r="AI31" s="3">
        <v>6.4710648148148147E-4</v>
      </c>
      <c r="AJ31" s="3">
        <v>1.591087962962963E-3</v>
      </c>
      <c r="AK31" s="21">
        <v>1.3666666666666666E-3</v>
      </c>
      <c r="AL31" s="3">
        <v>4.50462962962963E-4</v>
      </c>
      <c r="AM31" s="3">
        <v>3.1018518518518521E-4</v>
      </c>
      <c r="AN31" s="21">
        <v>7.4722222222222236E-4</v>
      </c>
      <c r="AO31" s="3">
        <v>3.9062500000000002E-4</v>
      </c>
      <c r="AP31" s="3">
        <v>2.6886574074074074E-4</v>
      </c>
      <c r="AQ31" s="21">
        <v>6.9618055555555546E-4</v>
      </c>
      <c r="AR31" s="3">
        <v>2.6273148148148146E-4</v>
      </c>
      <c r="AS31" s="3">
        <v>3.7835648148148147E-4</v>
      </c>
      <c r="AT31" s="21">
        <v>3.5914351851851857E-4</v>
      </c>
      <c r="AU31" s="3">
        <v>2.4675925925925923E-4</v>
      </c>
      <c r="AV31" s="3">
        <v>3.7349537037037039E-4</v>
      </c>
      <c r="AW31" s="3">
        <v>3.4745370370370372E-4</v>
      </c>
    </row>
  </sheetData>
  <conditionalFormatting sqref="B5:G31">
    <cfRule type="expression" dxfId="34" priority="15">
      <formula>B5&lt;&gt;B4</formula>
    </cfRule>
  </conditionalFormatting>
  <conditionalFormatting sqref="H5:M31">
    <cfRule type="expression" dxfId="33" priority="14">
      <formula>H5&lt;&gt;H4</formula>
    </cfRule>
  </conditionalFormatting>
  <conditionalFormatting sqref="N5:S31">
    <cfRule type="expression" dxfId="32" priority="13">
      <formula>N5&lt;&gt;N4</formula>
    </cfRule>
  </conditionalFormatting>
  <conditionalFormatting sqref="T5:Y31">
    <cfRule type="expression" dxfId="31" priority="12">
      <formula>T5&lt;&gt;T4</formula>
    </cfRule>
  </conditionalFormatting>
  <conditionalFormatting sqref="Z5:AE31">
    <cfRule type="expression" dxfId="30" priority="9">
      <formula>Z5&lt;&gt;Z4</formula>
    </cfRule>
  </conditionalFormatting>
  <conditionalFormatting sqref="AF5:AK31">
    <cfRule type="expression" dxfId="29" priority="8">
      <formula>AF5&lt;&gt;AF4</formula>
    </cfRule>
  </conditionalFormatting>
  <conditionalFormatting sqref="AL5:AN31">
    <cfRule type="expression" dxfId="28" priority="6">
      <formula>AL5&lt;&gt;AL4</formula>
    </cfRule>
  </conditionalFormatting>
  <conditionalFormatting sqref="AO5:AQ31">
    <cfRule type="expression" dxfId="27" priority="5">
      <formula>AO5&lt;&gt;AO4</formula>
    </cfRule>
  </conditionalFormatting>
  <conditionalFormatting sqref="AR5:AT31">
    <cfRule type="expression" dxfId="26" priority="2">
      <formula>AR5&lt;&gt;AR4</formula>
    </cfRule>
  </conditionalFormatting>
  <conditionalFormatting sqref="AU5:AW31">
    <cfRule type="expression" dxfId="25" priority="1">
      <formula>AU5&lt;&gt;AU4</formula>
    </cfRule>
  </conditionalFormatting>
  <pageMargins left="0.7" right="0.7" top="0.78740157499999996" bottom="0.78740157499999996" header="0.3" footer="0.3"/>
  <pageSetup paperSize="9"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168-68B3-410F-B4A6-8D511F9C32E0}">
  <sheetPr codeName="Tabelle1"/>
  <dimension ref="A1:M32"/>
  <sheetViews>
    <sheetView topLeftCell="A20" workbookViewId="0">
      <selection activeCell="C18" sqref="C18"/>
    </sheetView>
  </sheetViews>
  <sheetFormatPr baseColWidth="10" defaultRowHeight="14.25" x14ac:dyDescent="0.45"/>
  <cols>
    <col min="1" max="1" width="12.265625" customWidth="1"/>
    <col min="2" max="5" width="18.73046875" customWidth="1"/>
    <col min="6" max="6" width="21.1328125" customWidth="1"/>
    <col min="7" max="11" width="18.73046875" customWidth="1"/>
    <col min="12" max="12" width="22.1328125" customWidth="1"/>
    <col min="13" max="13" width="18.73046875" customWidth="1"/>
  </cols>
  <sheetData>
    <row r="1" spans="1:13" ht="16.5" customHeight="1" x14ac:dyDescent="0.45">
      <c r="A1" s="8" t="s">
        <v>13</v>
      </c>
      <c r="B1" s="9" t="s">
        <v>16</v>
      </c>
      <c r="C1" s="9" t="s">
        <v>18</v>
      </c>
      <c r="D1" s="9" t="s">
        <v>16</v>
      </c>
      <c r="E1" s="9" t="s">
        <v>20</v>
      </c>
      <c r="F1" s="9" t="s">
        <v>21</v>
      </c>
      <c r="G1" s="9" t="s">
        <v>23</v>
      </c>
      <c r="H1" s="10" t="s">
        <v>24</v>
      </c>
      <c r="I1" s="10" t="s">
        <v>27</v>
      </c>
      <c r="J1" s="10" t="s">
        <v>26</v>
      </c>
      <c r="K1" s="10" t="s">
        <v>28</v>
      </c>
      <c r="L1" s="10" t="s">
        <v>29</v>
      </c>
      <c r="M1" s="10" t="s">
        <v>30</v>
      </c>
    </row>
    <row r="2" spans="1:13" ht="16.5" customHeight="1" x14ac:dyDescent="0.45">
      <c r="A2" s="8" t="s">
        <v>14</v>
      </c>
      <c r="B2" s="11" t="s">
        <v>41</v>
      </c>
      <c r="C2" s="11" t="s">
        <v>42</v>
      </c>
      <c r="D2" s="11" t="s">
        <v>39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45</v>
      </c>
      <c r="M2" s="11" t="s">
        <v>50</v>
      </c>
    </row>
    <row r="3" spans="1:13" ht="16.5" customHeight="1" x14ac:dyDescent="0.45">
      <c r="A3" s="8" t="s">
        <v>15</v>
      </c>
      <c r="B3" s="11" t="s">
        <v>17</v>
      </c>
      <c r="C3" s="11" t="s">
        <v>19</v>
      </c>
      <c r="D3" s="11" t="s">
        <v>17</v>
      </c>
      <c r="E3" s="11" t="s">
        <v>19</v>
      </c>
      <c r="F3" s="11" t="s">
        <v>22</v>
      </c>
      <c r="G3" s="11" t="s">
        <v>19</v>
      </c>
      <c r="H3" s="11" t="s">
        <v>19</v>
      </c>
      <c r="I3" s="11" t="s">
        <v>25</v>
      </c>
      <c r="J3" s="11" t="s">
        <v>19</v>
      </c>
      <c r="K3" s="11" t="s">
        <v>25</v>
      </c>
      <c r="L3" s="11" t="s">
        <v>19</v>
      </c>
      <c r="M3" s="11" t="s">
        <v>22</v>
      </c>
    </row>
    <row r="4" spans="1:13" ht="14.65" thickBot="1" x14ac:dyDescent="0.5">
      <c r="A4" s="2" t="s">
        <v>7</v>
      </c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3" t="s">
        <v>5</v>
      </c>
      <c r="H4" s="14" t="s">
        <v>8</v>
      </c>
      <c r="I4" s="14" t="s">
        <v>62</v>
      </c>
      <c r="J4" s="14" t="s">
        <v>63</v>
      </c>
      <c r="K4" s="14" t="s">
        <v>64</v>
      </c>
      <c r="L4" s="14" t="s">
        <v>65</v>
      </c>
      <c r="M4" s="14" t="s">
        <v>66</v>
      </c>
    </row>
    <row r="5" spans="1:13" x14ac:dyDescent="0.45">
      <c r="A5" s="1">
        <v>2000</v>
      </c>
      <c r="B5" s="4"/>
      <c r="C5" s="4"/>
      <c r="D5" s="4"/>
      <c r="E5" s="4"/>
      <c r="F5" s="4"/>
      <c r="G5" s="6"/>
      <c r="H5" s="4"/>
      <c r="I5" s="4"/>
      <c r="J5" s="4"/>
      <c r="K5" s="4"/>
      <c r="L5" s="4"/>
      <c r="M5" s="4"/>
    </row>
    <row r="6" spans="1:13" x14ac:dyDescent="0.45">
      <c r="A6" s="1">
        <f t="shared" ref="A6:A32" si="0">A5+1</f>
        <v>2001</v>
      </c>
      <c r="B6" s="3"/>
      <c r="C6" s="3"/>
      <c r="D6" s="3"/>
      <c r="E6" s="3"/>
      <c r="F6" s="3"/>
      <c r="G6" s="5"/>
      <c r="H6" s="3"/>
      <c r="I6" s="3"/>
      <c r="J6" s="3"/>
      <c r="K6" s="3"/>
      <c r="L6" s="3"/>
      <c r="M6" s="3"/>
    </row>
    <row r="7" spans="1:13" x14ac:dyDescent="0.45">
      <c r="A7" s="1">
        <f t="shared" si="0"/>
        <v>2002</v>
      </c>
      <c r="B7" s="4"/>
      <c r="C7" s="4"/>
      <c r="D7" s="4"/>
      <c r="E7" s="4"/>
      <c r="F7" s="4"/>
      <c r="G7" s="6"/>
      <c r="H7" s="4"/>
      <c r="I7" s="4"/>
      <c r="J7" s="4"/>
      <c r="K7" s="4"/>
      <c r="L7" s="4"/>
      <c r="M7" s="4"/>
    </row>
    <row r="8" spans="1:13" x14ac:dyDescent="0.45">
      <c r="A8" s="1">
        <f t="shared" si="0"/>
        <v>2003</v>
      </c>
      <c r="B8" s="3"/>
      <c r="C8" s="3"/>
      <c r="D8" s="3"/>
      <c r="E8" s="3"/>
      <c r="F8" s="3"/>
      <c r="G8" s="5"/>
      <c r="H8" s="3"/>
      <c r="I8" s="3"/>
      <c r="J8" s="3"/>
      <c r="K8" s="3"/>
      <c r="L8" s="3"/>
      <c r="M8" s="3"/>
    </row>
    <row r="9" spans="1:13" x14ac:dyDescent="0.45">
      <c r="A9" s="1">
        <f t="shared" si="0"/>
        <v>2004</v>
      </c>
      <c r="B9" s="4"/>
      <c r="C9" s="4"/>
      <c r="D9" s="4"/>
      <c r="E9" s="4"/>
      <c r="F9" s="4"/>
      <c r="G9" s="6"/>
      <c r="H9" s="4"/>
      <c r="I9" s="4"/>
      <c r="J9" s="4"/>
      <c r="K9" s="4"/>
      <c r="L9" s="4"/>
      <c r="M9" s="4"/>
    </row>
    <row r="10" spans="1:13" x14ac:dyDescent="0.45">
      <c r="A10" s="1">
        <f t="shared" si="0"/>
        <v>2005</v>
      </c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</row>
    <row r="11" spans="1:13" x14ac:dyDescent="0.45">
      <c r="A11" s="1">
        <f t="shared" si="0"/>
        <v>2006</v>
      </c>
      <c r="B11" s="4"/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</row>
    <row r="12" spans="1:13" x14ac:dyDescent="0.45">
      <c r="A12" s="1">
        <f t="shared" si="0"/>
        <v>2007</v>
      </c>
      <c r="B12" s="3"/>
      <c r="C12" s="3"/>
      <c r="D12" s="3"/>
      <c r="E12" s="3"/>
      <c r="F12" s="3"/>
      <c r="G12" s="5"/>
      <c r="H12" s="3"/>
      <c r="I12" s="3"/>
      <c r="J12" s="3"/>
      <c r="K12" s="3"/>
      <c r="L12" s="3"/>
      <c r="M12" s="3"/>
    </row>
    <row r="13" spans="1:13" x14ac:dyDescent="0.45">
      <c r="A13" s="1">
        <f t="shared" si="0"/>
        <v>2008</v>
      </c>
      <c r="B13" s="4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</row>
    <row r="14" spans="1:13" x14ac:dyDescent="0.45">
      <c r="A14" s="1">
        <f t="shared" si="0"/>
        <v>2009</v>
      </c>
      <c r="B14" s="3"/>
      <c r="C14" s="3"/>
      <c r="D14" s="3"/>
      <c r="E14" s="3"/>
      <c r="F14" s="3"/>
      <c r="G14" s="5"/>
      <c r="H14" s="3"/>
      <c r="I14" s="3"/>
      <c r="J14" s="3"/>
      <c r="K14" s="3"/>
      <c r="L14" s="3"/>
      <c r="M14" s="3"/>
    </row>
    <row r="15" spans="1:13" x14ac:dyDescent="0.45">
      <c r="A15" s="1">
        <f t="shared" si="0"/>
        <v>2010</v>
      </c>
      <c r="B15" s="4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</row>
    <row r="16" spans="1:13" x14ac:dyDescent="0.45">
      <c r="A16" s="1">
        <f t="shared" si="0"/>
        <v>2011</v>
      </c>
      <c r="B16" s="3"/>
      <c r="C16" s="3"/>
      <c r="D16" s="3"/>
      <c r="E16" s="3"/>
      <c r="F16" s="3"/>
      <c r="G16" s="5"/>
      <c r="H16" s="3"/>
      <c r="I16" s="3"/>
      <c r="J16" s="3"/>
      <c r="K16" s="3"/>
      <c r="L16" s="3"/>
      <c r="M16" s="3"/>
    </row>
    <row r="17" spans="1:13" x14ac:dyDescent="0.45">
      <c r="A17" s="1">
        <f t="shared" si="0"/>
        <v>2012</v>
      </c>
      <c r="B17" s="4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</row>
    <row r="18" spans="1:13" x14ac:dyDescent="0.45">
      <c r="A18" s="1">
        <f t="shared" si="0"/>
        <v>2013</v>
      </c>
      <c r="B18" s="3"/>
      <c r="C18" s="3"/>
      <c r="D18" s="3"/>
      <c r="E18" s="3"/>
      <c r="F18" s="3"/>
      <c r="G18" s="5"/>
      <c r="H18" s="3"/>
      <c r="I18" s="3"/>
      <c r="J18" s="3"/>
      <c r="K18" s="3"/>
      <c r="L18" s="3"/>
      <c r="M18" s="3"/>
    </row>
    <row r="19" spans="1:13" x14ac:dyDescent="0.45">
      <c r="A19" s="1">
        <f t="shared" si="0"/>
        <v>2014</v>
      </c>
      <c r="B19" s="4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</row>
    <row r="20" spans="1:13" x14ac:dyDescent="0.45">
      <c r="A20" s="1">
        <f t="shared" si="0"/>
        <v>2015</v>
      </c>
      <c r="B20" s="3">
        <v>4.3194444444444443E-4</v>
      </c>
      <c r="C20" s="3">
        <v>6.5798611111111103E-4</v>
      </c>
      <c r="D20" s="3">
        <v>8.4861111111111107E-4</v>
      </c>
      <c r="E20" s="3">
        <v>7.0185185185185183E-4</v>
      </c>
      <c r="F20" s="3">
        <v>1.7334490740740739E-3</v>
      </c>
      <c r="G20" s="5">
        <v>1.4596064814814816E-3</v>
      </c>
      <c r="H20" s="3">
        <v>3.6018518518518523E-4</v>
      </c>
      <c r="I20" s="3">
        <v>5.5081018518518521E-4</v>
      </c>
      <c r="J20" s="3">
        <v>7.3599537037037036E-4</v>
      </c>
      <c r="K20" s="3">
        <v>6.2881944444444443E-4</v>
      </c>
      <c r="L20" s="3">
        <v>1.5302083333333333E-3</v>
      </c>
      <c r="M20" s="3">
        <v>1.3592592592592591E-3</v>
      </c>
    </row>
    <row r="21" spans="1:13" x14ac:dyDescent="0.45">
      <c r="A21" s="1">
        <f t="shared" si="0"/>
        <v>2016</v>
      </c>
      <c r="B21" s="4">
        <v>4.1574074074074077E-4</v>
      </c>
      <c r="C21" s="4">
        <v>6.4398148148148149E-4</v>
      </c>
      <c r="D21" s="4">
        <v>8.4861111111111107E-4</v>
      </c>
      <c r="E21" s="4">
        <v>7.0185185185185183E-4</v>
      </c>
      <c r="F21" s="4">
        <v>1.7334490740740739E-3</v>
      </c>
      <c r="G21" s="6">
        <v>1.4596064814814816E-3</v>
      </c>
      <c r="H21" s="4">
        <v>3.4456018518518516E-4</v>
      </c>
      <c r="I21" s="4">
        <v>5.4108796296296294E-4</v>
      </c>
      <c r="J21" s="4">
        <v>7.1898148148148158E-4</v>
      </c>
      <c r="K21" s="4">
        <v>6.0405092592592596E-4</v>
      </c>
      <c r="L21" s="4">
        <v>1.5302083333333333E-3</v>
      </c>
      <c r="M21" s="4">
        <v>1.3592592592592591E-3</v>
      </c>
    </row>
    <row r="22" spans="1:13" x14ac:dyDescent="0.45">
      <c r="A22" s="1">
        <f t="shared" si="0"/>
        <v>2017</v>
      </c>
      <c r="B22" s="3">
        <v>3.9884259259259262E-4</v>
      </c>
      <c r="C22" s="3">
        <v>6.4039351851851855E-4</v>
      </c>
      <c r="D22" s="3">
        <v>8.4398148148148158E-4</v>
      </c>
      <c r="E22" s="3">
        <v>6.9409722222222225E-4</v>
      </c>
      <c r="F22" s="3">
        <v>1.7334490740740739E-3</v>
      </c>
      <c r="G22" s="5">
        <v>1.4596064814814816E-3</v>
      </c>
      <c r="H22" s="3">
        <v>3.4456018518518516E-4</v>
      </c>
      <c r="I22" s="3">
        <v>5.4108796296296294E-4</v>
      </c>
      <c r="J22" s="3">
        <v>7.1898148148148158E-4</v>
      </c>
      <c r="K22" s="3">
        <v>6.0405092592592596E-4</v>
      </c>
      <c r="L22" s="3">
        <v>1.5229166666666666E-3</v>
      </c>
      <c r="M22" s="3">
        <v>1.3577546296296298E-3</v>
      </c>
    </row>
    <row r="23" spans="1:13" x14ac:dyDescent="0.45">
      <c r="A23" s="1">
        <f t="shared" si="0"/>
        <v>2018</v>
      </c>
      <c r="B23" s="4">
        <v>3.9884259259259262E-4</v>
      </c>
      <c r="C23" s="4">
        <v>6.041666666666667E-4</v>
      </c>
      <c r="D23" s="4">
        <v>8.3888888888888891E-4</v>
      </c>
      <c r="E23" s="4">
        <v>6.887731481481481E-4</v>
      </c>
      <c r="F23" s="4">
        <v>1.7063657407407407E-3</v>
      </c>
      <c r="G23" s="6">
        <v>1.4596064814814816E-3</v>
      </c>
      <c r="H23" s="4">
        <v>3.4456018518518516E-4</v>
      </c>
      <c r="I23" s="4">
        <v>5.4108796296296294E-4</v>
      </c>
      <c r="J23" s="4">
        <v>7.1898148148148158E-4</v>
      </c>
      <c r="K23" s="4">
        <v>6.0405092592592596E-4</v>
      </c>
      <c r="L23" s="4">
        <v>1.5229166666666666E-3</v>
      </c>
      <c r="M23" s="4">
        <v>1.3577546296296298E-3</v>
      </c>
    </row>
    <row r="24" spans="1:13" x14ac:dyDescent="0.45">
      <c r="A24" s="1">
        <f t="shared" si="0"/>
        <v>2019</v>
      </c>
      <c r="B24" s="3">
        <v>3.9884259259259262E-4</v>
      </c>
      <c r="C24" s="3">
        <v>5.836805555555556E-4</v>
      </c>
      <c r="D24" s="3">
        <v>8.1261574074074081E-4</v>
      </c>
      <c r="E24" s="3">
        <v>6.887731481481481E-4</v>
      </c>
      <c r="F24" s="3">
        <v>1.665162037037037E-3</v>
      </c>
      <c r="G24" s="5">
        <v>1.4596064814814816E-3</v>
      </c>
      <c r="H24" s="3">
        <v>3.4456018518518516E-4</v>
      </c>
      <c r="I24" s="3">
        <v>5.3310185185185188E-4</v>
      </c>
      <c r="J24" s="3">
        <v>7.1898148148148158E-4</v>
      </c>
      <c r="K24" s="3">
        <v>6.0405092592592596E-4</v>
      </c>
      <c r="L24" s="3">
        <v>1.5229166666666666E-3</v>
      </c>
      <c r="M24" s="3">
        <v>1.3511574074074075E-3</v>
      </c>
    </row>
    <row r="25" spans="1:13" x14ac:dyDescent="0.45">
      <c r="A25" s="1">
        <f t="shared" si="0"/>
        <v>2020</v>
      </c>
      <c r="B25" s="4">
        <v>3.9884259259259262E-4</v>
      </c>
      <c r="C25" s="4">
        <v>5.7094907407407409E-4</v>
      </c>
      <c r="D25" s="4">
        <v>8.1261574074074081E-4</v>
      </c>
      <c r="E25" s="4">
        <v>6.8321759259259258E-4</v>
      </c>
      <c r="F25" s="4">
        <v>1.647222222222222E-3</v>
      </c>
      <c r="G25" s="6">
        <v>1.4596064814814816E-3</v>
      </c>
      <c r="H25" s="4">
        <v>3.4456018518518516E-4</v>
      </c>
      <c r="I25" s="4">
        <v>5.3194444444444448E-4</v>
      </c>
      <c r="J25" s="4">
        <v>7.1898148148148158E-4</v>
      </c>
      <c r="K25" s="4">
        <v>6.0405092592592596E-4</v>
      </c>
      <c r="L25" s="4">
        <v>1.5229166666666666E-3</v>
      </c>
      <c r="M25" s="4">
        <v>1.3511574074074075E-3</v>
      </c>
    </row>
    <row r="26" spans="1:13" x14ac:dyDescent="0.45">
      <c r="A26" s="1">
        <f t="shared" si="0"/>
        <v>2021</v>
      </c>
      <c r="B26" s="3">
        <v>3.9884259259259262E-4</v>
      </c>
      <c r="C26" s="3">
        <v>5.7094907407407409E-4</v>
      </c>
      <c r="D26" s="3">
        <v>8.1261574074074081E-4</v>
      </c>
      <c r="E26" s="3">
        <v>6.8321759259259258E-4</v>
      </c>
      <c r="F26" s="3">
        <v>1.647222222222222E-3</v>
      </c>
      <c r="G26" s="5">
        <v>1.4596064814814816E-3</v>
      </c>
      <c r="H26" s="3">
        <v>3.4456018518518516E-4</v>
      </c>
      <c r="I26" s="3">
        <v>5.3194444444444448E-4</v>
      </c>
      <c r="J26" s="3">
        <v>7.1898148148148158E-4</v>
      </c>
      <c r="K26" s="3">
        <v>6.0405092592592596E-4</v>
      </c>
      <c r="L26" s="3">
        <v>1.5229166666666666E-3</v>
      </c>
      <c r="M26" s="3">
        <v>1.3511574074074075E-3</v>
      </c>
    </row>
    <row r="27" spans="1:13" x14ac:dyDescent="0.45">
      <c r="A27" s="1">
        <f t="shared" si="0"/>
        <v>2022</v>
      </c>
      <c r="B27" s="4">
        <v>3.9398148148148148E-4</v>
      </c>
      <c r="C27" s="4">
        <v>5.7094907407407409E-4</v>
      </c>
      <c r="D27" s="4">
        <v>8.1261574074074081E-4</v>
      </c>
      <c r="E27" s="4">
        <v>6.7870370370370383E-4</v>
      </c>
      <c r="F27" s="4">
        <v>1.647222222222222E-3</v>
      </c>
      <c r="G27" s="6">
        <v>1.4388888888888889E-3</v>
      </c>
      <c r="H27" s="4">
        <v>3.4224537037037036E-4</v>
      </c>
      <c r="I27" s="4">
        <v>5.3194444444444448E-4</v>
      </c>
      <c r="J27" s="4">
        <v>7.0277777777777775E-4</v>
      </c>
      <c r="K27" s="4">
        <v>5.7881944444444441E-4</v>
      </c>
      <c r="L27" s="4">
        <v>1.5097222222222222E-3</v>
      </c>
      <c r="M27" s="4">
        <v>1.3511574074074075E-3</v>
      </c>
    </row>
    <row r="28" spans="1:13" x14ac:dyDescent="0.45">
      <c r="A28" s="1">
        <f t="shared" si="0"/>
        <v>2023</v>
      </c>
      <c r="B28" s="3">
        <v>3.9398148148148148E-4</v>
      </c>
      <c r="C28" s="3">
        <v>5.7094907407407409E-4</v>
      </c>
      <c r="D28" s="3">
        <v>8.1261574074074081E-4</v>
      </c>
      <c r="E28" s="3">
        <v>6.7719907407407399E-4</v>
      </c>
      <c r="F28" s="3">
        <v>1.647222222222222E-3</v>
      </c>
      <c r="G28" s="5">
        <v>1.4339120370370371E-3</v>
      </c>
      <c r="H28" s="3">
        <v>3.3807870370370372E-4</v>
      </c>
      <c r="I28" s="3">
        <v>5.3194444444444448E-4</v>
      </c>
      <c r="J28" s="3">
        <v>6.9027777777777783E-4</v>
      </c>
      <c r="K28" s="3">
        <v>5.7881944444444441E-4</v>
      </c>
      <c r="L28" s="3">
        <v>1.4707175925925927E-3</v>
      </c>
      <c r="M28" s="3">
        <v>1.3511574074074075E-3</v>
      </c>
    </row>
    <row r="29" spans="1:13" x14ac:dyDescent="0.45">
      <c r="A29" s="1">
        <f t="shared" si="0"/>
        <v>2024</v>
      </c>
      <c r="B29" s="4">
        <v>3.8692129629629629E-4</v>
      </c>
      <c r="C29" s="4">
        <v>5.7094907407407409E-4</v>
      </c>
      <c r="D29" s="4">
        <v>8.1261574074074081E-4</v>
      </c>
      <c r="E29" s="4">
        <v>6.613425925925926E-4</v>
      </c>
      <c r="F29" s="4">
        <v>1.647222222222222E-3</v>
      </c>
      <c r="G29" s="6">
        <v>1.4339120370370371E-3</v>
      </c>
      <c r="H29" s="4">
        <v>3.3807870370370372E-4</v>
      </c>
      <c r="I29" s="4">
        <v>5.3194444444444448E-4</v>
      </c>
      <c r="J29" s="4">
        <v>6.9027777777777783E-4</v>
      </c>
      <c r="K29" s="4">
        <v>5.7881944444444441E-4</v>
      </c>
      <c r="L29" s="4">
        <v>1.4707175925925927E-3</v>
      </c>
      <c r="M29" s="4">
        <v>1.3511574074074075E-3</v>
      </c>
    </row>
    <row r="30" spans="1:13" x14ac:dyDescent="0.45">
      <c r="A30" s="1">
        <f t="shared" si="0"/>
        <v>2025</v>
      </c>
      <c r="B30" s="3">
        <v>3.8692129629629629E-4</v>
      </c>
      <c r="C30" s="3">
        <v>5.7094907407407409E-4</v>
      </c>
      <c r="D30" s="3">
        <v>7.9976851851851845E-4</v>
      </c>
      <c r="E30" s="3">
        <v>6.607638888888889E-4</v>
      </c>
      <c r="F30" s="3">
        <v>1.647222222222222E-3</v>
      </c>
      <c r="G30" s="5">
        <v>1.4339120370370371E-3</v>
      </c>
      <c r="H30" s="3">
        <v>3.3425925925925924E-4</v>
      </c>
      <c r="I30" s="3">
        <v>5.2685185185185192E-4</v>
      </c>
      <c r="J30" s="3">
        <v>6.9027777777777783E-4</v>
      </c>
      <c r="K30" s="3">
        <v>5.7881944444444441E-4</v>
      </c>
      <c r="L30" s="3">
        <v>1.4707175925925927E-3</v>
      </c>
      <c r="M30" s="3">
        <v>1.3511574074074075E-3</v>
      </c>
    </row>
    <row r="31" spans="1:13" x14ac:dyDescent="0.45">
      <c r="A31" s="1">
        <f t="shared" si="0"/>
        <v>2026</v>
      </c>
      <c r="B31" s="4">
        <v>3.8287037037037033E-4</v>
      </c>
      <c r="C31" s="4">
        <v>5.7094907407407409E-4</v>
      </c>
      <c r="D31" s="4">
        <v>7.9976851851851845E-4</v>
      </c>
      <c r="E31" s="4">
        <v>6.607638888888889E-4</v>
      </c>
      <c r="F31" s="4">
        <v>1.6468749999999999E-3</v>
      </c>
      <c r="G31" s="6">
        <v>1.4339120370370371E-3</v>
      </c>
      <c r="H31" s="4">
        <v>3.3425925925925924E-4</v>
      </c>
      <c r="I31" s="4">
        <v>5.2685185185185192E-4</v>
      </c>
      <c r="J31" s="4">
        <v>6.9027777777777783E-4</v>
      </c>
      <c r="K31" s="4">
        <v>5.7881944444444441E-4</v>
      </c>
      <c r="L31" s="4">
        <v>1.4707175925925927E-3</v>
      </c>
      <c r="M31" s="4">
        <v>1.3511574074074075E-3</v>
      </c>
    </row>
    <row r="32" spans="1:13" x14ac:dyDescent="0.45">
      <c r="A32" s="1">
        <f t="shared" si="0"/>
        <v>2027</v>
      </c>
      <c r="B32" s="3">
        <v>3.8287037037037033E-4</v>
      </c>
      <c r="C32" s="3">
        <v>5.7094907407407409E-4</v>
      </c>
      <c r="D32" s="3">
        <v>7.9976851851851845E-4</v>
      </c>
      <c r="E32" s="3">
        <v>6.607638888888889E-4</v>
      </c>
      <c r="F32" s="3">
        <v>1.6468749999999999E-3</v>
      </c>
      <c r="G32" s="5">
        <v>1.4339120370370371E-3</v>
      </c>
      <c r="H32" s="3">
        <v>3.3425925925925924E-4</v>
      </c>
      <c r="I32" s="3">
        <v>5.2685185185185192E-4</v>
      </c>
      <c r="J32" s="3">
        <v>6.9027777777777783E-4</v>
      </c>
      <c r="K32" s="3">
        <v>5.7881944444444441E-4</v>
      </c>
      <c r="L32" s="3">
        <v>1.4707175925925927E-3</v>
      </c>
      <c r="M32" s="3">
        <v>1.3511574074074075E-3</v>
      </c>
    </row>
  </sheetData>
  <conditionalFormatting sqref="B6:G6">
    <cfRule type="expression" dxfId="24" priority="20">
      <formula>B6&lt;&gt;B4</formula>
    </cfRule>
  </conditionalFormatting>
  <conditionalFormatting sqref="B7:G32">
    <cfRule type="expression" dxfId="23" priority="1">
      <formula>B7&lt;&gt;B6</formula>
    </cfRule>
  </conditionalFormatting>
  <conditionalFormatting sqref="H6:M6">
    <cfRule type="expression" dxfId="22" priority="22">
      <formula>H6&lt;&gt;H4</formula>
    </cfRule>
  </conditionalFormatting>
  <conditionalFormatting sqref="H7:M32">
    <cfRule type="expression" dxfId="21" priority="2">
      <formula>H7&lt;&gt;H6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FB6C-7DEA-4C95-82B5-1769BD3934D8}">
  <sheetPr codeName="Tabelle2"/>
  <dimension ref="A1:M32"/>
  <sheetViews>
    <sheetView topLeftCell="A4" workbookViewId="0">
      <selection activeCell="B31" sqref="B31"/>
    </sheetView>
  </sheetViews>
  <sheetFormatPr baseColWidth="10" defaultRowHeight="14.25" x14ac:dyDescent="0.45"/>
  <cols>
    <col min="1" max="1" width="11.86328125" customWidth="1"/>
    <col min="2" max="5" width="18.73046875" customWidth="1"/>
    <col min="6" max="6" width="21.1328125" customWidth="1"/>
    <col min="7" max="11" width="18.73046875" customWidth="1"/>
    <col min="12" max="12" width="22.1328125" customWidth="1"/>
    <col min="13" max="13" width="18.73046875" customWidth="1"/>
  </cols>
  <sheetData>
    <row r="1" spans="1:13" ht="16.5" customHeight="1" x14ac:dyDescent="0.45">
      <c r="A1" s="8" t="s">
        <v>13</v>
      </c>
      <c r="B1" s="9" t="s">
        <v>52</v>
      </c>
      <c r="C1" s="9" t="s">
        <v>54</v>
      </c>
      <c r="D1" s="9" t="s">
        <v>52</v>
      </c>
      <c r="E1" s="9" t="s">
        <v>56</v>
      </c>
      <c r="F1" s="9" t="s">
        <v>57</v>
      </c>
      <c r="G1" s="9" t="s">
        <v>59</v>
      </c>
      <c r="H1" s="10" t="s">
        <v>31</v>
      </c>
      <c r="I1" s="10" t="s">
        <v>32</v>
      </c>
      <c r="J1" s="10" t="s">
        <v>26</v>
      </c>
      <c r="K1" s="10" t="s">
        <v>38</v>
      </c>
      <c r="L1" s="10" t="s">
        <v>40</v>
      </c>
      <c r="M1" s="10" t="s">
        <v>35</v>
      </c>
    </row>
    <row r="2" spans="1:13" ht="16.5" customHeight="1" x14ac:dyDescent="0.45">
      <c r="A2" s="8" t="s">
        <v>14</v>
      </c>
      <c r="B2" s="11" t="s">
        <v>11</v>
      </c>
      <c r="C2" s="11" t="s">
        <v>55</v>
      </c>
      <c r="D2" s="11" t="s">
        <v>36</v>
      </c>
      <c r="E2" s="11" t="s">
        <v>41</v>
      </c>
      <c r="F2" s="11" t="s">
        <v>58</v>
      </c>
      <c r="G2" s="11" t="s">
        <v>60</v>
      </c>
      <c r="H2" s="11" t="s">
        <v>39</v>
      </c>
      <c r="I2" s="11" t="s">
        <v>33</v>
      </c>
      <c r="J2" s="11" t="s">
        <v>99</v>
      </c>
      <c r="K2" s="11" t="s">
        <v>39</v>
      </c>
      <c r="L2" s="11" t="s">
        <v>51</v>
      </c>
      <c r="M2" s="11" t="s">
        <v>39</v>
      </c>
    </row>
    <row r="3" spans="1:13" ht="16.5" customHeight="1" x14ac:dyDescent="0.45">
      <c r="A3" s="8" t="s">
        <v>15</v>
      </c>
      <c r="B3" s="11" t="s">
        <v>53</v>
      </c>
      <c r="C3" s="11" t="s">
        <v>19</v>
      </c>
      <c r="D3" s="11" t="s">
        <v>53</v>
      </c>
      <c r="E3" s="11" t="s">
        <v>17</v>
      </c>
      <c r="F3" s="11" t="s">
        <v>34</v>
      </c>
      <c r="G3" s="11" t="s">
        <v>61</v>
      </c>
      <c r="H3" s="11" t="s">
        <v>17</v>
      </c>
      <c r="I3" s="11" t="s">
        <v>34</v>
      </c>
      <c r="J3" s="11" t="s">
        <v>19</v>
      </c>
      <c r="K3" s="11" t="s">
        <v>22</v>
      </c>
      <c r="L3" s="11" t="s">
        <v>19</v>
      </c>
      <c r="M3" s="11" t="s">
        <v>37</v>
      </c>
    </row>
    <row r="4" spans="1:13" ht="14.65" thickBot="1" x14ac:dyDescent="0.5">
      <c r="A4" s="2" t="s">
        <v>6</v>
      </c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3" t="s">
        <v>5</v>
      </c>
      <c r="H4" s="14" t="s">
        <v>8</v>
      </c>
      <c r="I4" s="14" t="s">
        <v>62</v>
      </c>
      <c r="J4" s="14" t="s">
        <v>63</v>
      </c>
      <c r="K4" s="14" t="s">
        <v>64</v>
      </c>
      <c r="L4" s="14" t="s">
        <v>65</v>
      </c>
      <c r="M4" s="14" t="s">
        <v>66</v>
      </c>
    </row>
    <row r="5" spans="1:13" x14ac:dyDescent="0.45">
      <c r="A5" s="1">
        <v>2000</v>
      </c>
      <c r="B5" s="4"/>
      <c r="C5" s="4"/>
      <c r="D5" s="4"/>
      <c r="E5" s="4"/>
      <c r="F5" s="4"/>
      <c r="G5" s="6"/>
      <c r="H5" s="4"/>
      <c r="I5" s="4"/>
      <c r="J5" s="7"/>
      <c r="K5" s="7"/>
      <c r="L5" s="7"/>
      <c r="M5" s="7"/>
    </row>
    <row r="6" spans="1:13" x14ac:dyDescent="0.45">
      <c r="A6" s="1">
        <f t="shared" ref="A6:A31" si="0">A5+1</f>
        <v>2001</v>
      </c>
      <c r="B6" s="3"/>
      <c r="C6" s="3">
        <v>7.0497685185185192E-4</v>
      </c>
      <c r="D6" s="3"/>
      <c r="E6" s="3">
        <v>7.3368055555555556E-4</v>
      </c>
      <c r="F6" s="3"/>
      <c r="G6" s="5">
        <v>1.5353009259259261E-3</v>
      </c>
      <c r="H6" s="3"/>
      <c r="I6" s="3">
        <v>6.0335648148148152E-4</v>
      </c>
      <c r="J6" s="3"/>
      <c r="K6" s="3">
        <v>6.4687499999999999E-4</v>
      </c>
      <c r="L6" s="3"/>
      <c r="M6" s="3">
        <v>1.3629629629629632E-3</v>
      </c>
    </row>
    <row r="7" spans="1:13" x14ac:dyDescent="0.45">
      <c r="A7" s="1">
        <f t="shared" si="0"/>
        <v>2002</v>
      </c>
      <c r="B7" s="4">
        <v>4.5000000000000004E-4</v>
      </c>
      <c r="C7" s="4">
        <v>6.864583333333333E-4</v>
      </c>
      <c r="D7" s="4">
        <v>9.1134259259259261E-4</v>
      </c>
      <c r="E7" s="4">
        <v>7.3368055555555556E-4</v>
      </c>
      <c r="F7" s="4">
        <v>1.7942129629629629E-3</v>
      </c>
      <c r="G7" s="6">
        <v>1.5353009259259261E-3</v>
      </c>
      <c r="H7" s="4">
        <v>3.7476851851851858E-4</v>
      </c>
      <c r="I7" s="4">
        <v>6.0335648148148152E-4</v>
      </c>
      <c r="J7" s="4">
        <v>7.6516203703703718E-4</v>
      </c>
      <c r="K7" s="4">
        <v>6.4687499999999999E-4</v>
      </c>
      <c r="L7" s="4">
        <v>1.5703703703703704E-3</v>
      </c>
      <c r="M7" s="4">
        <v>1.3629629629629632E-3</v>
      </c>
    </row>
    <row r="8" spans="1:13" x14ac:dyDescent="0.45">
      <c r="A8" s="1">
        <f t="shared" si="0"/>
        <v>2003</v>
      </c>
      <c r="B8" s="3">
        <v>4.1504629629629633E-4</v>
      </c>
      <c r="C8" s="3">
        <v>6.9363425925925929E-4</v>
      </c>
      <c r="D8" s="3">
        <v>8.6585648148148166E-4</v>
      </c>
      <c r="E8" s="3">
        <v>7.3368055555555556E-4</v>
      </c>
      <c r="F8" s="3">
        <v>1.7427083333333333E-3</v>
      </c>
      <c r="G8" s="5">
        <v>1.5210648148148147E-3</v>
      </c>
      <c r="H8" s="3">
        <v>3.5949074074074073E-4</v>
      </c>
      <c r="I8" s="3">
        <v>6.0335648148148152E-4</v>
      </c>
      <c r="J8" s="3">
        <v>7.3287037037037027E-4</v>
      </c>
      <c r="K8" s="3">
        <v>6.3622685185185191E-4</v>
      </c>
      <c r="L8" s="3">
        <v>1.5243055555555554E-3</v>
      </c>
      <c r="M8" s="3">
        <v>1.3346064814814815E-3</v>
      </c>
    </row>
    <row r="9" spans="1:13" x14ac:dyDescent="0.45">
      <c r="A9" s="1">
        <f t="shared" si="0"/>
        <v>2004</v>
      </c>
      <c r="B9" s="4">
        <v>4.1446759259259258E-4</v>
      </c>
      <c r="C9" s="4">
        <v>6.9363425925925929E-4</v>
      </c>
      <c r="D9" s="4">
        <v>8.6585648148148166E-4</v>
      </c>
      <c r="E9" s="4">
        <v>7.2858796296296289E-4</v>
      </c>
      <c r="F9" s="4">
        <v>1.7341435185185185E-3</v>
      </c>
      <c r="G9" s="6">
        <v>1.5210648148148147E-3</v>
      </c>
      <c r="H9" s="4">
        <v>3.5532407407407404E-4</v>
      </c>
      <c r="I9" s="4">
        <v>5.8472222222222226E-4</v>
      </c>
      <c r="J9" s="4">
        <v>7.3287037037037027E-4</v>
      </c>
      <c r="K9" s="4">
        <v>6.3460648148148144E-4</v>
      </c>
      <c r="L9" s="4">
        <v>1.5031249999999999E-3</v>
      </c>
      <c r="M9" s="4">
        <v>1.3346064814814815E-3</v>
      </c>
    </row>
    <row r="10" spans="1:13" x14ac:dyDescent="0.45">
      <c r="A10" s="1">
        <f t="shared" si="0"/>
        <v>2005</v>
      </c>
      <c r="B10" s="3">
        <v>4.130787037037037E-4</v>
      </c>
      <c r="C10" s="3">
        <v>6.9363425925925929E-4</v>
      </c>
      <c r="D10" s="3">
        <v>8.524305555555556E-4</v>
      </c>
      <c r="E10" s="3">
        <v>7.1979166666666665E-4</v>
      </c>
      <c r="F10" s="3">
        <v>1.7252314814814815E-3</v>
      </c>
      <c r="G10" s="5">
        <v>1.5210648148148147E-3</v>
      </c>
      <c r="H10" s="3">
        <v>3.5532407407407404E-4</v>
      </c>
      <c r="I10" s="3">
        <v>5.8472222222222226E-4</v>
      </c>
      <c r="J10" s="3">
        <v>7.2893518518518522E-4</v>
      </c>
      <c r="K10" s="3">
        <v>6.2210648148148151E-4</v>
      </c>
      <c r="L10" s="3">
        <v>1.4964120370370372E-3</v>
      </c>
      <c r="M10" s="3">
        <v>1.3346064814814815E-3</v>
      </c>
    </row>
    <row r="11" spans="1:13" x14ac:dyDescent="0.45">
      <c r="A11" s="1">
        <f t="shared" si="0"/>
        <v>2006</v>
      </c>
      <c r="B11" s="4">
        <v>4.1203703703703709E-4</v>
      </c>
      <c r="C11" s="4">
        <v>6.9363425925925929E-4</v>
      </c>
      <c r="D11" s="4">
        <v>8.524305555555556E-4</v>
      </c>
      <c r="E11" s="4">
        <v>7.1979166666666665E-4</v>
      </c>
      <c r="F11" s="4">
        <v>1.7252314814814815E-3</v>
      </c>
      <c r="G11" s="6">
        <v>1.5210648148148147E-3</v>
      </c>
      <c r="H11" s="4">
        <v>3.5532407407407404E-4</v>
      </c>
      <c r="I11" s="4">
        <v>5.8425925925925919E-4</v>
      </c>
      <c r="J11" s="4">
        <v>7.1458333333333324E-4</v>
      </c>
      <c r="K11" s="4">
        <v>6.2210648148148151E-4</v>
      </c>
      <c r="L11" s="4">
        <v>1.4964120370370372E-3</v>
      </c>
      <c r="M11" s="4">
        <v>1.3346064814814815E-3</v>
      </c>
    </row>
    <row r="12" spans="1:13" x14ac:dyDescent="0.45">
      <c r="A12" s="1">
        <f t="shared" si="0"/>
        <v>2007</v>
      </c>
      <c r="B12" s="3">
        <v>4.0810185185185182E-4</v>
      </c>
      <c r="C12" s="3">
        <v>6.5891203703703695E-4</v>
      </c>
      <c r="D12" s="3">
        <v>8.4236111111111111E-4</v>
      </c>
      <c r="E12" s="3">
        <v>7.1979166666666665E-4</v>
      </c>
      <c r="F12" s="3">
        <v>1.7197916666666666E-3</v>
      </c>
      <c r="G12" s="5">
        <v>1.5043981481481479E-3</v>
      </c>
      <c r="H12" s="3">
        <v>3.5520833333333341E-4</v>
      </c>
      <c r="I12" s="3">
        <v>5.8425925925925919E-4</v>
      </c>
      <c r="J12" s="3">
        <v>7.3657407407407406E-4</v>
      </c>
      <c r="K12" s="3">
        <v>6.2210648148148151E-4</v>
      </c>
      <c r="L12" s="3">
        <v>1.4964120370370372E-3</v>
      </c>
      <c r="M12" s="3">
        <v>1.3346064814814815E-3</v>
      </c>
    </row>
    <row r="13" spans="1:13" x14ac:dyDescent="0.45">
      <c r="A13" s="1">
        <f t="shared" si="0"/>
        <v>2008</v>
      </c>
      <c r="B13" s="4">
        <v>4.0810185185185182E-4</v>
      </c>
      <c r="C13" s="4">
        <v>6.5891203703703695E-4</v>
      </c>
      <c r="D13" s="4">
        <v>8.4236111111111111E-4</v>
      </c>
      <c r="E13" s="4">
        <v>7.1712962962962963E-4</v>
      </c>
      <c r="F13" s="4">
        <v>1.7197916666666666E-3</v>
      </c>
      <c r="G13" s="6">
        <v>1.4934027777777777E-3</v>
      </c>
      <c r="H13" s="4">
        <v>3.4120370370370375E-4</v>
      </c>
      <c r="I13" s="4">
        <v>5.7280092592592593E-4</v>
      </c>
      <c r="J13" s="4">
        <v>7.2615740740740746E-4</v>
      </c>
      <c r="K13" s="4">
        <v>6.2210648148148151E-4</v>
      </c>
      <c r="L13" s="4">
        <v>1.4964120370370372E-3</v>
      </c>
      <c r="M13" s="4">
        <v>1.3346064814814815E-3</v>
      </c>
    </row>
    <row r="14" spans="1:13" x14ac:dyDescent="0.45">
      <c r="A14" s="1">
        <f t="shared" si="0"/>
        <v>2009</v>
      </c>
      <c r="B14" s="3">
        <v>4.0810185185185182E-4</v>
      </c>
      <c r="C14" s="3">
        <v>6.5891203703703695E-4</v>
      </c>
      <c r="D14" s="3">
        <v>8.4236111111111111E-4</v>
      </c>
      <c r="E14" s="3">
        <v>7.0150462962962961E-4</v>
      </c>
      <c r="F14" s="3">
        <v>1.7197916666666666E-3</v>
      </c>
      <c r="G14" s="5">
        <v>1.4934027777777777E-3</v>
      </c>
      <c r="H14" s="3">
        <v>3.4120370370370375E-4</v>
      </c>
      <c r="I14" s="3">
        <v>5.7199074074074075E-4</v>
      </c>
      <c r="J14" s="3">
        <v>7.1435185185185187E-4</v>
      </c>
      <c r="K14" s="3">
        <v>6.2210648148148151E-4</v>
      </c>
      <c r="L14" s="3">
        <v>1.4964120370370372E-3</v>
      </c>
      <c r="M14" s="3">
        <v>1.3346064814814815E-3</v>
      </c>
    </row>
    <row r="15" spans="1:13" x14ac:dyDescent="0.45">
      <c r="A15" s="1">
        <f t="shared" si="0"/>
        <v>2010</v>
      </c>
      <c r="B15" s="4">
        <v>4.0810185185185182E-4</v>
      </c>
      <c r="C15" s="4">
        <v>6.5289351851851847E-4</v>
      </c>
      <c r="D15" s="4">
        <v>8.4236111111111111E-4</v>
      </c>
      <c r="E15" s="4">
        <v>7.0150462962962961E-4</v>
      </c>
      <c r="F15" s="4">
        <v>1.7197916666666666E-3</v>
      </c>
      <c r="G15" s="6">
        <v>1.4106481481481481E-3</v>
      </c>
      <c r="H15" s="4">
        <v>3.3495370370370368E-4</v>
      </c>
      <c r="I15" s="4">
        <v>5.597222222222222E-4</v>
      </c>
      <c r="J15" s="4">
        <v>6.9189814814814819E-4</v>
      </c>
      <c r="K15" s="4">
        <v>6.2210648148148151E-4</v>
      </c>
      <c r="L15" s="4">
        <v>1.4964120370370372E-3</v>
      </c>
      <c r="M15" s="4">
        <v>1.3306712962962966E-3</v>
      </c>
    </row>
    <row r="16" spans="1:13" x14ac:dyDescent="0.45">
      <c r="A16" s="1">
        <f t="shared" si="0"/>
        <v>2011</v>
      </c>
      <c r="B16" s="3">
        <v>4.0810185185185182E-4</v>
      </c>
      <c r="C16" s="3">
        <v>6.5289351851851847E-4</v>
      </c>
      <c r="D16" s="3">
        <v>8.4178240740740741E-4</v>
      </c>
      <c r="E16" s="3">
        <v>7.0150462962962961E-4</v>
      </c>
      <c r="F16" s="3">
        <v>1.7197916666666666E-3</v>
      </c>
      <c r="G16" s="5">
        <v>1.4106481481481481E-3</v>
      </c>
      <c r="H16" s="3">
        <v>3.3495370370370368E-4</v>
      </c>
      <c r="I16" s="3">
        <v>5.597222222222222E-4</v>
      </c>
      <c r="J16" s="3">
        <v>6.9189814814814819E-4</v>
      </c>
      <c r="K16" s="3">
        <v>6.2210648148148151E-4</v>
      </c>
      <c r="L16" s="3">
        <v>1.4964120370370372E-3</v>
      </c>
      <c r="M16" s="3">
        <v>1.3306712962962966E-3</v>
      </c>
    </row>
    <row r="17" spans="1:13" x14ac:dyDescent="0.45">
      <c r="A17" s="1">
        <f t="shared" si="0"/>
        <v>2012</v>
      </c>
      <c r="B17" s="4">
        <v>4.0810185185185182E-4</v>
      </c>
      <c r="C17" s="4">
        <v>6.5254629629629636E-4</v>
      </c>
      <c r="D17" s="4">
        <v>8.4027777777777779E-4</v>
      </c>
      <c r="E17" s="4">
        <v>7.0011574074074073E-4</v>
      </c>
      <c r="F17" s="4">
        <v>1.6951388888888886E-3</v>
      </c>
      <c r="G17" s="6">
        <v>1.4106481481481481E-3</v>
      </c>
      <c r="H17" s="4">
        <v>3.3495370370370368E-4</v>
      </c>
      <c r="I17" s="4">
        <v>5.5416666666666667E-4</v>
      </c>
      <c r="J17" s="4">
        <v>6.9189814814814819E-4</v>
      </c>
      <c r="K17" s="4">
        <v>6.1273148148148146E-4</v>
      </c>
      <c r="L17" s="4">
        <v>1.4798611111111113E-3</v>
      </c>
      <c r="M17" s="4">
        <v>1.3306712962962966E-3</v>
      </c>
    </row>
    <row r="18" spans="1:13" x14ac:dyDescent="0.45">
      <c r="A18" s="1">
        <f t="shared" si="0"/>
        <v>2013</v>
      </c>
      <c r="B18" s="3">
        <v>4.0810185185185182E-4</v>
      </c>
      <c r="C18" s="3">
        <v>6.5254629629629636E-4</v>
      </c>
      <c r="D18" s="3">
        <v>8.244212962962963E-4</v>
      </c>
      <c r="E18" s="3">
        <v>6.9224537037037041E-4</v>
      </c>
      <c r="F18" s="3">
        <v>1.6730324074074076E-3</v>
      </c>
      <c r="G18" s="5">
        <v>1.4106481481481481E-3</v>
      </c>
      <c r="H18" s="3">
        <v>3.3495370370370368E-4</v>
      </c>
      <c r="I18" s="3">
        <v>5.3749999999999989E-4</v>
      </c>
      <c r="J18" s="3">
        <v>6.9189814814814819E-4</v>
      </c>
      <c r="K18" s="3">
        <v>5.9444444444444443E-4</v>
      </c>
      <c r="L18" s="3">
        <v>1.4798611111111113E-3</v>
      </c>
      <c r="M18" s="3">
        <v>1.312962962962963E-3</v>
      </c>
    </row>
    <row r="19" spans="1:13" x14ac:dyDescent="0.45">
      <c r="A19" s="1">
        <f t="shared" si="0"/>
        <v>2014</v>
      </c>
      <c r="B19" s="4">
        <v>4.0208333333333334E-4</v>
      </c>
      <c r="C19" s="4">
        <v>6.4490740740740741E-4</v>
      </c>
      <c r="D19" s="4">
        <v>8.0543981481481482E-4</v>
      </c>
      <c r="E19" s="4">
        <v>6.9074074074074079E-4</v>
      </c>
      <c r="F19" s="4">
        <v>1.6730324074074076E-3</v>
      </c>
      <c r="G19" s="6">
        <v>1.4106481481481481E-3</v>
      </c>
      <c r="H19" s="4">
        <v>3.3495370370370368E-4</v>
      </c>
      <c r="I19" s="4">
        <v>5.322916666666667E-4</v>
      </c>
      <c r="J19" s="4">
        <v>6.9189814814814819E-4</v>
      </c>
      <c r="K19" s="4">
        <v>5.84837962962963E-4</v>
      </c>
      <c r="L19" s="4">
        <v>1.4621527777777777E-3</v>
      </c>
      <c r="M19" s="4">
        <v>1.312962962962963E-3</v>
      </c>
    </row>
    <row r="20" spans="1:13" x14ac:dyDescent="0.45">
      <c r="A20" s="1">
        <f t="shared" si="0"/>
        <v>2015</v>
      </c>
      <c r="B20" s="3">
        <v>4.0208333333333334E-4</v>
      </c>
      <c r="C20" s="3">
        <v>5.9768518518518515E-4</v>
      </c>
      <c r="D20" s="3">
        <v>8.0069444444444448E-4</v>
      </c>
      <c r="E20" s="3">
        <v>6.7164351851851857E-4</v>
      </c>
      <c r="F20" s="3">
        <v>1.6690972222222222E-3</v>
      </c>
      <c r="G20" s="5">
        <v>1.4106481481481481E-3</v>
      </c>
      <c r="H20" s="3">
        <v>3.2696759259259262E-4</v>
      </c>
      <c r="I20" s="3">
        <v>5.2256944444444443E-4</v>
      </c>
      <c r="J20" s="3">
        <v>6.9189814814814819E-4</v>
      </c>
      <c r="K20" s="3">
        <v>5.8287037037037042E-4</v>
      </c>
      <c r="L20" s="3">
        <v>1.454398148148148E-3</v>
      </c>
      <c r="M20" s="3">
        <v>1.3116898148148148E-3</v>
      </c>
    </row>
    <row r="21" spans="1:13" x14ac:dyDescent="0.45">
      <c r="A21" s="1">
        <f t="shared" si="0"/>
        <v>2016</v>
      </c>
      <c r="B21" s="4">
        <v>3.9664351851851856E-4</v>
      </c>
      <c r="C21" s="4">
        <v>5.9768518518518515E-4</v>
      </c>
      <c r="D21" s="4">
        <v>7.969907407407408E-4</v>
      </c>
      <c r="E21" s="4">
        <v>6.7164351851851857E-4</v>
      </c>
      <c r="F21" s="4">
        <v>1.6690972222222222E-3</v>
      </c>
      <c r="G21" s="6">
        <v>1.4106481481481481E-3</v>
      </c>
      <c r="H21" s="4">
        <v>3.2696759259259262E-4</v>
      </c>
      <c r="I21" s="4">
        <v>5.2256944444444443E-4</v>
      </c>
      <c r="J21" s="4">
        <v>6.9189814814814819E-4</v>
      </c>
      <c r="K21" s="4">
        <v>5.8287037037037042E-4</v>
      </c>
      <c r="L21" s="4">
        <v>1.454398148148148E-3</v>
      </c>
      <c r="M21" s="4">
        <v>1.3116898148148148E-3</v>
      </c>
    </row>
    <row r="22" spans="1:13" x14ac:dyDescent="0.45">
      <c r="A22" s="1">
        <f t="shared" si="0"/>
        <v>2017</v>
      </c>
      <c r="B22" s="3">
        <v>3.7951388888888887E-4</v>
      </c>
      <c r="C22" s="3">
        <v>5.9768518518518515E-4</v>
      </c>
      <c r="D22" s="3">
        <v>7.969907407407408E-4</v>
      </c>
      <c r="E22" s="3">
        <v>6.7060185185185191E-4</v>
      </c>
      <c r="F22" s="3">
        <v>1.6438657407407409E-3</v>
      </c>
      <c r="G22" s="5">
        <v>1.4106481481481481E-3</v>
      </c>
      <c r="H22" s="3">
        <v>3.2476851851851845E-4</v>
      </c>
      <c r="I22" s="3">
        <v>5.2256944444444443E-4</v>
      </c>
      <c r="J22" s="3">
        <v>6.8726851851851848E-4</v>
      </c>
      <c r="K22" s="3">
        <v>5.7719907407407405E-4</v>
      </c>
      <c r="L22" s="3">
        <v>1.4452546296296297E-3</v>
      </c>
      <c r="M22" s="3">
        <v>1.3116898148148148E-3</v>
      </c>
    </row>
    <row r="23" spans="1:13" x14ac:dyDescent="0.45">
      <c r="A23" s="1">
        <f t="shared" si="0"/>
        <v>2018</v>
      </c>
      <c r="B23" s="4">
        <v>3.7951388888888887E-4</v>
      </c>
      <c r="C23" s="4">
        <v>5.9768518518518515E-4</v>
      </c>
      <c r="D23" s="4">
        <v>7.969907407407408E-4</v>
      </c>
      <c r="E23" s="4">
        <v>6.6180555555555556E-4</v>
      </c>
      <c r="F23" s="4">
        <v>1.6403935185185185E-3</v>
      </c>
      <c r="G23" s="6">
        <v>1.4106481481481481E-3</v>
      </c>
      <c r="H23" s="4">
        <v>3.1562499999999999E-4</v>
      </c>
      <c r="I23" s="4">
        <v>5.2187500000000009E-4</v>
      </c>
      <c r="J23" s="4">
        <v>6.8113425925925926E-4</v>
      </c>
      <c r="K23" s="4">
        <v>5.6736111111111115E-4</v>
      </c>
      <c r="L23" s="4">
        <v>1.4390046296296295E-3</v>
      </c>
      <c r="M23" s="4">
        <v>1.3116898148148148E-3</v>
      </c>
    </row>
    <row r="24" spans="1:13" x14ac:dyDescent="0.45">
      <c r="A24" s="1">
        <f t="shared" si="0"/>
        <v>2019</v>
      </c>
      <c r="B24" s="3">
        <v>3.7951388888888887E-4</v>
      </c>
      <c r="C24" s="3">
        <v>5.836805555555556E-4</v>
      </c>
      <c r="D24" s="3">
        <v>7.969907407407408E-4</v>
      </c>
      <c r="E24" s="3">
        <v>6.6030092592592583E-4</v>
      </c>
      <c r="F24" s="3">
        <v>1.6390046296296298E-3</v>
      </c>
      <c r="G24" s="5">
        <v>1.4106481481481481E-3</v>
      </c>
      <c r="H24" s="3">
        <v>3.1562499999999999E-4</v>
      </c>
      <c r="I24" s="3">
        <v>5.1168981481481475E-4</v>
      </c>
      <c r="J24" s="3">
        <v>6.8113425925925926E-4</v>
      </c>
      <c r="K24" s="3">
        <v>5.6736111111111115E-4</v>
      </c>
      <c r="L24" s="3">
        <v>1.4390046296296295E-3</v>
      </c>
      <c r="M24" s="3">
        <v>1.3116898148148148E-3</v>
      </c>
    </row>
    <row r="25" spans="1:13" x14ac:dyDescent="0.45">
      <c r="A25" s="1">
        <f t="shared" si="0"/>
        <v>2020</v>
      </c>
      <c r="B25" s="4">
        <v>3.7951388888888887E-4</v>
      </c>
      <c r="C25" s="4">
        <v>5.7094907407407409E-4</v>
      </c>
      <c r="D25" s="4">
        <v>7.969907407407408E-4</v>
      </c>
      <c r="E25" s="4">
        <v>6.4120370370370373E-4</v>
      </c>
      <c r="F25" s="4">
        <v>1.6209490740740739E-3</v>
      </c>
      <c r="G25" s="6">
        <v>1.4106481481481481E-3</v>
      </c>
      <c r="H25" s="4">
        <v>3.1562499999999999E-4</v>
      </c>
      <c r="I25" s="4">
        <v>5.0972222222222228E-4</v>
      </c>
      <c r="J25" s="4">
        <v>6.8113425925925926E-4</v>
      </c>
      <c r="K25" s="4">
        <v>5.6736111111111115E-4</v>
      </c>
      <c r="L25" s="4">
        <v>1.4390046296296295E-3</v>
      </c>
      <c r="M25" s="4">
        <v>1.3097222222222223E-3</v>
      </c>
    </row>
    <row r="26" spans="1:13" x14ac:dyDescent="0.45">
      <c r="A26" s="1">
        <f t="shared" si="0"/>
        <v>2021</v>
      </c>
      <c r="B26" s="3">
        <v>3.7951388888888887E-4</v>
      </c>
      <c r="C26" s="3">
        <v>5.7094907407407409E-4</v>
      </c>
      <c r="D26" s="3">
        <v>7.969907407407408E-4</v>
      </c>
      <c r="E26" s="3">
        <v>6.4120370370370373E-4</v>
      </c>
      <c r="F26" s="3">
        <v>1.6209490740740739E-3</v>
      </c>
      <c r="G26" s="5">
        <v>1.4106481481481481E-3</v>
      </c>
      <c r="H26" s="3">
        <v>3.1562499999999999E-4</v>
      </c>
      <c r="I26" s="3">
        <v>5.0972222222222228E-4</v>
      </c>
      <c r="J26" s="3">
        <v>6.8113425925925926E-4</v>
      </c>
      <c r="K26" s="3">
        <v>5.6736111111111115E-4</v>
      </c>
      <c r="L26" s="3">
        <v>1.4390046296296295E-3</v>
      </c>
      <c r="M26" s="3">
        <v>1.3097222222222223E-3</v>
      </c>
    </row>
    <row r="27" spans="1:13" x14ac:dyDescent="0.45">
      <c r="A27" s="1">
        <f t="shared" si="0"/>
        <v>2022</v>
      </c>
      <c r="B27" s="4">
        <v>3.7951388888888887E-4</v>
      </c>
      <c r="C27" s="4">
        <v>5.7094907407407409E-4</v>
      </c>
      <c r="D27" s="4">
        <v>7.9398148148148145E-4</v>
      </c>
      <c r="E27" s="4">
        <v>6.4120370370370373E-4</v>
      </c>
      <c r="F27" s="4">
        <v>1.6065972222222222E-3</v>
      </c>
      <c r="G27" s="6">
        <v>1.4106481481481481E-3</v>
      </c>
      <c r="H27" s="4">
        <v>3.1562499999999999E-4</v>
      </c>
      <c r="I27" s="4">
        <v>5.0972222222222228E-4</v>
      </c>
      <c r="J27" s="4">
        <v>6.6736111111111108E-4</v>
      </c>
      <c r="K27" s="4">
        <v>5.6736111111111115E-4</v>
      </c>
      <c r="L27" s="4">
        <v>1.4390046296296295E-3</v>
      </c>
      <c r="M27" s="4">
        <v>1.3097222222222223E-3</v>
      </c>
    </row>
    <row r="28" spans="1:13" x14ac:dyDescent="0.45">
      <c r="A28" s="1">
        <f t="shared" si="0"/>
        <v>2023</v>
      </c>
      <c r="B28" s="3">
        <v>3.7951388888888887E-4</v>
      </c>
      <c r="C28" s="3">
        <v>5.7060185185185187E-4</v>
      </c>
      <c r="D28" s="3">
        <v>7.7592592592592589E-4</v>
      </c>
      <c r="E28" s="3">
        <v>6.4120370370370373E-4</v>
      </c>
      <c r="F28" s="3">
        <v>1.5748842592592594E-3</v>
      </c>
      <c r="G28" s="5">
        <v>1.4106481481481481E-3</v>
      </c>
      <c r="H28" s="3">
        <v>3.1562499999999999E-4</v>
      </c>
      <c r="I28" s="3">
        <v>5.0972222222222228E-4</v>
      </c>
      <c r="J28" s="3">
        <v>6.6736111111111108E-4</v>
      </c>
      <c r="K28" s="3">
        <v>5.6736111111111115E-4</v>
      </c>
      <c r="L28" s="3">
        <v>1.4390046296296295E-3</v>
      </c>
      <c r="M28" s="3">
        <v>1.3097222222222223E-3</v>
      </c>
    </row>
    <row r="29" spans="1:13" x14ac:dyDescent="0.45">
      <c r="A29" s="1">
        <f t="shared" si="0"/>
        <v>2024</v>
      </c>
      <c r="B29" s="4">
        <v>3.7835648148148147E-4</v>
      </c>
      <c r="C29" s="4">
        <v>5.7060185185185187E-4</v>
      </c>
      <c r="D29" s="4">
        <v>7.693287037037036E-4</v>
      </c>
      <c r="E29" s="4">
        <v>6.4120370370370373E-4</v>
      </c>
      <c r="F29" s="4">
        <v>1.5748842592592594E-3</v>
      </c>
      <c r="G29" s="6">
        <v>1.4106481481481481E-3</v>
      </c>
      <c r="H29" s="4">
        <v>3.1562499999999999E-4</v>
      </c>
      <c r="I29" s="4">
        <v>5.0972222222222228E-4</v>
      </c>
      <c r="J29" s="4">
        <v>6.6736111111111108E-4</v>
      </c>
      <c r="K29" s="4">
        <v>5.660879629629629E-4</v>
      </c>
      <c r="L29" s="4">
        <v>1.4233796296296295E-3</v>
      </c>
      <c r="M29" s="4">
        <v>1.3097222222222223E-3</v>
      </c>
    </row>
    <row r="30" spans="1:13" x14ac:dyDescent="0.45">
      <c r="A30" s="1">
        <f t="shared" si="0"/>
        <v>2025</v>
      </c>
      <c r="B30" s="3">
        <v>3.7268518518518526E-4</v>
      </c>
      <c r="C30" s="3">
        <v>5.7060185185185187E-4</v>
      </c>
      <c r="D30" s="3">
        <v>7.6099537037037032E-4</v>
      </c>
      <c r="E30" s="3">
        <v>6.3692129629629635E-4</v>
      </c>
      <c r="F30" s="3">
        <v>1.5748842592592594E-3</v>
      </c>
      <c r="G30" s="5">
        <v>1.4106481481481481E-3</v>
      </c>
      <c r="H30" s="3">
        <v>3.1481481481481481E-4</v>
      </c>
      <c r="I30" s="3">
        <v>5.0891203703703699E-4</v>
      </c>
      <c r="J30" s="3">
        <v>6.6736111111111108E-4</v>
      </c>
      <c r="K30" s="3">
        <v>5.5185185185185187E-4</v>
      </c>
      <c r="L30" s="3">
        <v>1.4233796296296295E-3</v>
      </c>
      <c r="M30" s="3">
        <v>1.2931712962962962E-3</v>
      </c>
    </row>
    <row r="31" spans="1:13" x14ac:dyDescent="0.45">
      <c r="A31" s="1">
        <f t="shared" si="0"/>
        <v>2026</v>
      </c>
      <c r="B31" s="4">
        <v>3.6435185185185187E-4</v>
      </c>
      <c r="C31" s="4">
        <v>5.7060185185185187E-4</v>
      </c>
      <c r="D31" s="4">
        <v>7.3715277777777776E-4</v>
      </c>
      <c r="E31" s="4">
        <v>6.2731481481481481E-4</v>
      </c>
      <c r="F31" s="4">
        <v>1.5748842592592594E-3</v>
      </c>
      <c r="G31" s="6">
        <v>1.4106481481481481E-3</v>
      </c>
      <c r="H31" s="4">
        <v>3.1481481481481481E-4</v>
      </c>
      <c r="I31" s="4">
        <v>5.0104166666666667E-4</v>
      </c>
      <c r="J31" s="4">
        <v>6.648148148148148E-4</v>
      </c>
      <c r="K31" s="4">
        <v>5.5185185185185187E-4</v>
      </c>
      <c r="L31" s="4">
        <v>1.4233796296296295E-3</v>
      </c>
      <c r="M31" s="4">
        <v>1.2931712962962962E-3</v>
      </c>
    </row>
    <row r="32" spans="1:13" x14ac:dyDescent="0.45">
      <c r="A32" s="1">
        <f>A31+1</f>
        <v>2027</v>
      </c>
      <c r="B32" s="3">
        <v>3.6435185185185187E-4</v>
      </c>
      <c r="C32" s="3">
        <v>5.7060185185185187E-4</v>
      </c>
      <c r="D32" s="3">
        <v>7.3715277777777776E-4</v>
      </c>
      <c r="E32" s="3">
        <v>6.2731481481481481E-4</v>
      </c>
      <c r="F32" s="3">
        <v>1.5748842592592594E-3</v>
      </c>
      <c r="G32" s="5">
        <v>1.4106481481481481E-3</v>
      </c>
      <c r="H32" s="3">
        <v>3.1481481481481481E-4</v>
      </c>
      <c r="I32" s="3">
        <v>5.0104166666666667E-4</v>
      </c>
      <c r="J32" s="3">
        <v>6.648148148148148E-4</v>
      </c>
      <c r="K32" s="3">
        <v>5.5185185185185187E-4</v>
      </c>
      <c r="L32" s="3">
        <v>1.4233796296296295E-3</v>
      </c>
      <c r="M32" s="3">
        <v>1.2931712962962962E-3</v>
      </c>
    </row>
  </sheetData>
  <conditionalFormatting sqref="B6:G6">
    <cfRule type="expression" dxfId="20" priority="19">
      <formula>B6&lt;&gt;B4</formula>
    </cfRule>
  </conditionalFormatting>
  <conditionalFormatting sqref="B7:G32">
    <cfRule type="expression" dxfId="19" priority="2">
      <formula>B7&lt;&gt;B6</formula>
    </cfRule>
  </conditionalFormatting>
  <conditionalFormatting sqref="H6:M6">
    <cfRule type="expression" dxfId="18" priority="20">
      <formula>H6&lt;&gt;H4</formula>
    </cfRule>
  </conditionalFormatting>
  <conditionalFormatting sqref="H7:M32">
    <cfRule type="expression" dxfId="17" priority="1">
      <formula>H7&lt;&gt;H6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27F-1458-41E5-8334-8536EBB7542D}">
  <sheetPr codeName="Tabelle7">
    <tabColor theme="5"/>
  </sheetPr>
  <dimension ref="A1:U3"/>
  <sheetViews>
    <sheetView topLeftCell="D1" workbookViewId="0">
      <selection activeCell="G3" sqref="G3"/>
    </sheetView>
  </sheetViews>
  <sheetFormatPr baseColWidth="10" defaultRowHeight="14.25" x14ac:dyDescent="0.45"/>
  <cols>
    <col min="1" max="1" width="31.86328125" bestFit="1" customWidth="1"/>
    <col min="2" max="2" width="15.86328125" bestFit="1" customWidth="1"/>
    <col min="3" max="3" width="17.3984375" bestFit="1" customWidth="1"/>
    <col min="4" max="4" width="19.86328125" bestFit="1" customWidth="1"/>
    <col min="5" max="5" width="24.73046875" bestFit="1" customWidth="1"/>
    <col min="6" max="6" width="23.265625" bestFit="1" customWidth="1"/>
    <col min="7" max="7" width="25.59765625" bestFit="1" customWidth="1"/>
    <col min="8" max="8" width="13.265625" bestFit="1" customWidth="1"/>
    <col min="9" max="9" width="19.265625" bestFit="1" customWidth="1"/>
    <col min="10" max="10" width="9.73046875" bestFit="1" customWidth="1"/>
    <col min="11" max="11" width="15.59765625" bestFit="1" customWidth="1"/>
    <col min="12" max="12" width="15" bestFit="1" customWidth="1"/>
    <col min="13" max="13" width="13.73046875" bestFit="1" customWidth="1"/>
    <col min="14" max="14" width="15.73046875" customWidth="1"/>
    <col min="15" max="16" width="19" customWidth="1"/>
    <col min="17" max="17" width="18.59765625" bestFit="1" customWidth="1"/>
    <col min="18" max="19" width="22.265625" bestFit="1" customWidth="1"/>
    <col min="20" max="20" width="17.73046875" bestFit="1" customWidth="1"/>
    <col min="21" max="21" width="47.265625" bestFit="1" customWidth="1"/>
  </cols>
  <sheetData>
    <row r="1" spans="1:21" ht="30.75" customHeight="1" x14ac:dyDescent="0.45">
      <c r="A1" s="26" t="s">
        <v>127</v>
      </c>
      <c r="B1" s="26" t="s">
        <v>129</v>
      </c>
      <c r="C1" s="26" t="s">
        <v>128</v>
      </c>
      <c r="D1" s="26" t="s">
        <v>9</v>
      </c>
      <c r="E1" s="26" t="s">
        <v>131</v>
      </c>
      <c r="F1" s="26" t="s">
        <v>132</v>
      </c>
      <c r="G1" s="26" t="s">
        <v>133</v>
      </c>
      <c r="H1" s="26" t="s">
        <v>10</v>
      </c>
      <c r="I1" s="26" t="s">
        <v>134</v>
      </c>
      <c r="J1" s="26" t="s">
        <v>136</v>
      </c>
      <c r="K1" s="26" t="s">
        <v>135</v>
      </c>
      <c r="L1" s="26" t="s">
        <v>137</v>
      </c>
      <c r="M1" s="26" t="s">
        <v>138</v>
      </c>
      <c r="N1" s="26" t="s">
        <v>151</v>
      </c>
      <c r="O1" s="26" t="s">
        <v>153</v>
      </c>
      <c r="P1" s="26" t="s">
        <v>154</v>
      </c>
      <c r="Q1" s="26" t="s">
        <v>139</v>
      </c>
      <c r="R1" s="26" t="s">
        <v>140</v>
      </c>
      <c r="S1" s="26" t="s">
        <v>141</v>
      </c>
      <c r="T1" s="26" t="s">
        <v>142</v>
      </c>
      <c r="U1" s="26" t="s">
        <v>147</v>
      </c>
    </row>
    <row r="2" spans="1:21" x14ac:dyDescent="0.45">
      <c r="A2" s="25" t="s">
        <v>163</v>
      </c>
      <c r="B2" s="25" t="s">
        <v>130</v>
      </c>
      <c r="C2" s="25">
        <v>15</v>
      </c>
      <c r="D2" s="25">
        <v>50</v>
      </c>
      <c r="E2" s="25" t="s">
        <v>183</v>
      </c>
      <c r="F2" s="25" t="s">
        <v>184</v>
      </c>
      <c r="G2" s="25" t="s">
        <v>162</v>
      </c>
      <c r="H2" s="25" t="s">
        <v>143</v>
      </c>
      <c r="I2" s="25" t="s">
        <v>144</v>
      </c>
      <c r="J2" s="25" t="s">
        <v>145</v>
      </c>
      <c r="K2" s="25"/>
      <c r="L2" s="25"/>
      <c r="M2" s="25" t="s">
        <v>6</v>
      </c>
      <c r="N2" s="25" t="s">
        <v>182</v>
      </c>
      <c r="O2" s="25">
        <v>0</v>
      </c>
      <c r="P2" s="25">
        <v>3</v>
      </c>
      <c r="Q2" s="25" t="s">
        <v>146</v>
      </c>
      <c r="R2" s="25">
        <v>6</v>
      </c>
      <c r="S2" s="25">
        <v>2</v>
      </c>
      <c r="T2" s="25">
        <v>10</v>
      </c>
      <c r="U2" s="25" t="s">
        <v>150</v>
      </c>
    </row>
    <row r="3" spans="1:21" x14ac:dyDescent="0.45">
      <c r="A3" s="25" t="s">
        <v>164</v>
      </c>
      <c r="B3" s="25" t="s">
        <v>148</v>
      </c>
      <c r="C3" s="25">
        <v>15</v>
      </c>
      <c r="D3" s="25">
        <v>50</v>
      </c>
      <c r="E3" s="25" t="s">
        <v>183</v>
      </c>
      <c r="F3" s="25" t="s">
        <v>184</v>
      </c>
      <c r="G3" s="25" t="s">
        <v>162</v>
      </c>
      <c r="H3" s="25" t="s">
        <v>143</v>
      </c>
      <c r="I3" s="25" t="s">
        <v>144</v>
      </c>
      <c r="J3" s="25" t="s">
        <v>145</v>
      </c>
      <c r="K3" s="25"/>
      <c r="L3" s="25"/>
      <c r="M3" s="25" t="s">
        <v>6</v>
      </c>
      <c r="N3" s="25" t="s">
        <v>182</v>
      </c>
      <c r="O3" s="25">
        <v>0</v>
      </c>
      <c r="P3" s="25">
        <v>3</v>
      </c>
      <c r="Q3" s="25" t="s">
        <v>146</v>
      </c>
      <c r="R3" s="25">
        <v>6</v>
      </c>
      <c r="S3" s="25">
        <v>2</v>
      </c>
      <c r="T3" s="25">
        <v>10</v>
      </c>
      <c r="U3" s="25" t="s">
        <v>149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671C-060D-4DE3-898D-CFDBFAA908F9}">
  <sheetPr codeName="Tabelle8">
    <tabColor theme="5"/>
  </sheetPr>
  <dimension ref="A1:U7"/>
  <sheetViews>
    <sheetView workbookViewId="0">
      <selection activeCell="E10" sqref="E10"/>
    </sheetView>
  </sheetViews>
  <sheetFormatPr baseColWidth="10" defaultRowHeight="14.25" x14ac:dyDescent="0.45"/>
  <cols>
    <col min="1" max="1" width="19" bestFit="1" customWidth="1"/>
    <col min="2" max="2" width="15.86328125" bestFit="1" customWidth="1"/>
    <col min="3" max="3" width="17.3984375" bestFit="1" customWidth="1"/>
    <col min="4" max="4" width="19.86328125" bestFit="1" customWidth="1"/>
    <col min="5" max="5" width="24.73046875" bestFit="1" customWidth="1"/>
    <col min="6" max="6" width="23.265625" bestFit="1" customWidth="1"/>
    <col min="7" max="7" width="25.59765625" bestFit="1" customWidth="1"/>
    <col min="8" max="8" width="13.265625" bestFit="1" customWidth="1"/>
    <col min="9" max="9" width="19.265625" bestFit="1" customWidth="1"/>
    <col min="10" max="10" width="9.73046875" bestFit="1" customWidth="1"/>
    <col min="11" max="11" width="15.59765625" bestFit="1" customWidth="1"/>
    <col min="12" max="12" width="15" bestFit="1" customWidth="1"/>
    <col min="13" max="13" width="13.73046875" bestFit="1" customWidth="1"/>
    <col min="14" max="14" width="15.73046875" customWidth="1"/>
    <col min="15" max="16" width="19" customWidth="1"/>
    <col min="17" max="17" width="18.59765625" bestFit="1" customWidth="1"/>
    <col min="18" max="19" width="22.265625" bestFit="1" customWidth="1"/>
    <col min="20" max="20" width="17.73046875" bestFit="1" customWidth="1"/>
    <col min="21" max="21" width="47.265625" bestFit="1" customWidth="1"/>
  </cols>
  <sheetData>
    <row r="1" spans="1:21" ht="30.75" customHeight="1" x14ac:dyDescent="0.45">
      <c r="A1" s="26" t="s">
        <v>127</v>
      </c>
      <c r="B1" s="26" t="s">
        <v>129</v>
      </c>
      <c r="C1" s="26" t="s">
        <v>128</v>
      </c>
      <c r="D1" s="26" t="s">
        <v>9</v>
      </c>
      <c r="E1" s="26" t="s">
        <v>131</v>
      </c>
      <c r="F1" s="26" t="s">
        <v>132</v>
      </c>
      <c r="G1" s="26" t="s">
        <v>133</v>
      </c>
      <c r="H1" s="26" t="s">
        <v>10</v>
      </c>
      <c r="I1" s="26" t="s">
        <v>134</v>
      </c>
      <c r="J1" s="26" t="s">
        <v>136</v>
      </c>
      <c r="K1" s="26" t="s">
        <v>135</v>
      </c>
      <c r="L1" s="26" t="s">
        <v>137</v>
      </c>
      <c r="M1" s="26" t="s">
        <v>138</v>
      </c>
      <c r="N1" s="26" t="s">
        <v>151</v>
      </c>
      <c r="O1" s="26" t="s">
        <v>153</v>
      </c>
      <c r="P1" s="26" t="s">
        <v>154</v>
      </c>
      <c r="Q1" s="26" t="s">
        <v>139</v>
      </c>
      <c r="R1" s="26" t="s">
        <v>140</v>
      </c>
      <c r="S1" s="26" t="s">
        <v>141</v>
      </c>
      <c r="T1" s="26" t="s">
        <v>142</v>
      </c>
      <c r="U1" s="26" t="s">
        <v>147</v>
      </c>
    </row>
    <row r="2" spans="1:21" x14ac:dyDescent="0.45">
      <c r="A2" s="25" t="s">
        <v>155</v>
      </c>
      <c r="B2" s="25" t="s">
        <v>130</v>
      </c>
      <c r="C2" s="25">
        <v>19</v>
      </c>
      <c r="D2" s="25">
        <v>50</v>
      </c>
      <c r="E2" s="25" t="s">
        <v>218</v>
      </c>
      <c r="F2" s="25" t="s">
        <v>161</v>
      </c>
      <c r="G2" s="25" t="s">
        <v>162</v>
      </c>
      <c r="H2" s="25" t="s">
        <v>143</v>
      </c>
      <c r="I2" s="25" t="s">
        <v>144</v>
      </c>
      <c r="J2" s="25" t="s">
        <v>145</v>
      </c>
      <c r="K2" s="25"/>
      <c r="L2" s="25"/>
      <c r="M2" s="25" t="s">
        <v>6</v>
      </c>
      <c r="N2" s="25" t="s">
        <v>152</v>
      </c>
      <c r="O2" s="25">
        <v>0</v>
      </c>
      <c r="P2" s="25">
        <v>3</v>
      </c>
      <c r="Q2" s="25" t="s">
        <v>145</v>
      </c>
      <c r="R2" s="25">
        <v>0</v>
      </c>
      <c r="S2" s="25">
        <v>0</v>
      </c>
      <c r="T2" s="25">
        <v>10</v>
      </c>
      <c r="U2" s="25" t="s">
        <v>150</v>
      </c>
    </row>
    <row r="3" spans="1:21" x14ac:dyDescent="0.45">
      <c r="A3" s="25" t="s">
        <v>156</v>
      </c>
      <c r="B3" s="25" t="s">
        <v>148</v>
      </c>
      <c r="C3" s="25">
        <v>19</v>
      </c>
      <c r="D3" s="25">
        <v>50</v>
      </c>
      <c r="E3" s="25" t="s">
        <v>218</v>
      </c>
      <c r="F3" s="25" t="s">
        <v>161</v>
      </c>
      <c r="G3" s="25" t="s">
        <v>162</v>
      </c>
      <c r="H3" s="25" t="s">
        <v>143</v>
      </c>
      <c r="I3" s="25" t="s">
        <v>144</v>
      </c>
      <c r="J3" s="25" t="s">
        <v>145</v>
      </c>
      <c r="K3" s="25"/>
      <c r="L3" s="25"/>
      <c r="M3" s="25" t="s">
        <v>6</v>
      </c>
      <c r="N3" s="25" t="s">
        <v>152</v>
      </c>
      <c r="O3" s="25">
        <v>0</v>
      </c>
      <c r="P3" s="25">
        <v>3</v>
      </c>
      <c r="Q3" s="25" t="s">
        <v>145</v>
      </c>
      <c r="R3" s="25">
        <v>0</v>
      </c>
      <c r="S3" s="25">
        <v>0</v>
      </c>
      <c r="T3" s="25">
        <v>10</v>
      </c>
      <c r="U3" s="25" t="s">
        <v>149</v>
      </c>
    </row>
    <row r="4" spans="1:21" x14ac:dyDescent="0.45">
      <c r="A4" s="25" t="s">
        <v>157</v>
      </c>
      <c r="B4" s="25" t="s">
        <v>130</v>
      </c>
      <c r="C4" s="25">
        <v>17</v>
      </c>
      <c r="D4" s="25">
        <v>18</v>
      </c>
      <c r="E4" s="25" t="s">
        <v>218</v>
      </c>
      <c r="F4" s="25" t="s">
        <v>161</v>
      </c>
      <c r="G4" s="25" t="s">
        <v>162</v>
      </c>
      <c r="H4" s="25" t="s">
        <v>143</v>
      </c>
      <c r="I4" s="25" t="s">
        <v>144</v>
      </c>
      <c r="J4" s="25" t="s">
        <v>145</v>
      </c>
      <c r="K4" s="25"/>
      <c r="L4" s="25"/>
      <c r="M4" s="25" t="s">
        <v>6</v>
      </c>
      <c r="N4" s="25" t="s">
        <v>152</v>
      </c>
      <c r="O4" s="25">
        <v>0</v>
      </c>
      <c r="P4" s="25">
        <v>3</v>
      </c>
      <c r="Q4" s="25" t="s">
        <v>145</v>
      </c>
      <c r="R4" s="25">
        <v>0</v>
      </c>
      <c r="S4" s="25">
        <v>0</v>
      </c>
      <c r="T4" s="25">
        <v>10</v>
      </c>
      <c r="U4" s="25" t="s">
        <v>219</v>
      </c>
    </row>
    <row r="5" spans="1:21" x14ac:dyDescent="0.45">
      <c r="A5" s="25" t="s">
        <v>158</v>
      </c>
      <c r="B5" s="25" t="s">
        <v>148</v>
      </c>
      <c r="C5" s="25">
        <v>17</v>
      </c>
      <c r="D5" s="25">
        <v>18</v>
      </c>
      <c r="E5" s="25" t="s">
        <v>218</v>
      </c>
      <c r="F5" s="25" t="s">
        <v>161</v>
      </c>
      <c r="G5" s="25" t="s">
        <v>162</v>
      </c>
      <c r="H5" s="25" t="s">
        <v>143</v>
      </c>
      <c r="I5" s="25" t="s">
        <v>144</v>
      </c>
      <c r="J5" s="25" t="s">
        <v>145</v>
      </c>
      <c r="K5" s="25"/>
      <c r="L5" s="25"/>
      <c r="M5" s="25" t="s">
        <v>6</v>
      </c>
      <c r="N5" s="25" t="s">
        <v>152</v>
      </c>
      <c r="O5" s="25">
        <v>0</v>
      </c>
      <c r="P5" s="25">
        <v>3</v>
      </c>
      <c r="Q5" s="25" t="s">
        <v>145</v>
      </c>
      <c r="R5" s="25">
        <v>0</v>
      </c>
      <c r="S5" s="25">
        <v>0</v>
      </c>
      <c r="T5" s="25">
        <v>10</v>
      </c>
      <c r="U5" s="25"/>
    </row>
    <row r="6" spans="1:21" x14ac:dyDescent="0.45">
      <c r="A6" s="25" t="s">
        <v>159</v>
      </c>
      <c r="B6" s="25" t="s">
        <v>130</v>
      </c>
      <c r="C6" s="25">
        <v>15</v>
      </c>
      <c r="D6" s="25">
        <v>16</v>
      </c>
      <c r="E6" s="25" t="s">
        <v>218</v>
      </c>
      <c r="F6" s="25" t="s">
        <v>161</v>
      </c>
      <c r="G6" s="25" t="s">
        <v>162</v>
      </c>
      <c r="H6" s="25" t="s">
        <v>143</v>
      </c>
      <c r="I6" s="25" t="s">
        <v>144</v>
      </c>
      <c r="J6" s="25" t="s">
        <v>145</v>
      </c>
      <c r="K6" s="25"/>
      <c r="L6" s="25"/>
      <c r="M6" s="25" t="s">
        <v>6</v>
      </c>
      <c r="N6" s="25" t="s">
        <v>152</v>
      </c>
      <c r="O6" s="25">
        <v>0</v>
      </c>
      <c r="P6" s="25">
        <v>3</v>
      </c>
      <c r="Q6" s="25" t="s">
        <v>145</v>
      </c>
      <c r="R6" s="25">
        <v>0</v>
      </c>
      <c r="S6" s="25">
        <v>0</v>
      </c>
      <c r="T6" s="25">
        <v>10</v>
      </c>
      <c r="U6" s="25"/>
    </row>
    <row r="7" spans="1:21" x14ac:dyDescent="0.45">
      <c r="A7" s="25" t="s">
        <v>160</v>
      </c>
      <c r="B7" s="25" t="s">
        <v>148</v>
      </c>
      <c r="C7" s="25">
        <v>15</v>
      </c>
      <c r="D7" s="25">
        <v>16</v>
      </c>
      <c r="E7" s="25" t="s">
        <v>218</v>
      </c>
      <c r="F7" s="25" t="s">
        <v>161</v>
      </c>
      <c r="G7" s="25" t="s">
        <v>162</v>
      </c>
      <c r="H7" s="25" t="s">
        <v>143</v>
      </c>
      <c r="I7" s="25" t="s">
        <v>144</v>
      </c>
      <c r="J7" s="25" t="s">
        <v>145</v>
      </c>
      <c r="K7" s="25"/>
      <c r="L7" s="25"/>
      <c r="M7" s="25" t="s">
        <v>6</v>
      </c>
      <c r="N7" s="25" t="s">
        <v>152</v>
      </c>
      <c r="O7" s="25">
        <v>0</v>
      </c>
      <c r="P7" s="25">
        <v>3</v>
      </c>
      <c r="Q7" s="25" t="s">
        <v>145</v>
      </c>
      <c r="R7" s="25">
        <v>0</v>
      </c>
      <c r="S7" s="25">
        <v>0</v>
      </c>
      <c r="T7" s="25">
        <v>10</v>
      </c>
      <c r="U7" s="25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97B8-4E61-4811-AFAC-69F978DDEBB3}">
  <sheetPr codeName="Tabelle9">
    <tabColor theme="5"/>
  </sheetPr>
  <dimension ref="A1:X7"/>
  <sheetViews>
    <sheetView workbookViewId="0">
      <selection activeCell="D24" sqref="D24"/>
    </sheetView>
  </sheetViews>
  <sheetFormatPr baseColWidth="10" defaultRowHeight="14.25" x14ac:dyDescent="0.45"/>
  <cols>
    <col min="1" max="1" width="14.86328125" bestFit="1" customWidth="1"/>
    <col min="2" max="2" width="12" bestFit="1" customWidth="1"/>
    <col min="3" max="3" width="13.3984375" bestFit="1" customWidth="1"/>
    <col min="4" max="4" width="15.73046875" bestFit="1" customWidth="1"/>
    <col min="5" max="5" width="19.86328125" bestFit="1" customWidth="1"/>
    <col min="6" max="6" width="18.59765625" bestFit="1" customWidth="1"/>
    <col min="7" max="7" width="20.3984375" bestFit="1" customWidth="1"/>
    <col min="8" max="8" width="15" bestFit="1" customWidth="1"/>
    <col min="9" max="9" width="6.73046875" bestFit="1" customWidth="1"/>
    <col min="10" max="10" width="11.86328125" bestFit="1" customWidth="1"/>
    <col min="11" max="11" width="11.3984375" bestFit="1" customWidth="1"/>
    <col min="12" max="12" width="13.73046875" bestFit="1" customWidth="1"/>
    <col min="13" max="13" width="16.3984375" bestFit="1" customWidth="1"/>
    <col min="14" max="14" width="17.3984375" bestFit="1" customWidth="1"/>
    <col min="15" max="15" width="17.1328125" bestFit="1" customWidth="1"/>
    <col min="16" max="16" width="19.3984375" bestFit="1" customWidth="1"/>
    <col min="17" max="17" width="24.86328125" bestFit="1" customWidth="1"/>
    <col min="18" max="18" width="19.86328125" bestFit="1" customWidth="1"/>
    <col min="19" max="19" width="16.3984375" bestFit="1" customWidth="1"/>
    <col min="20" max="20" width="17.3984375" bestFit="1" customWidth="1"/>
    <col min="21" max="21" width="17.1328125" bestFit="1" customWidth="1"/>
    <col min="22" max="22" width="19.3984375" bestFit="1" customWidth="1"/>
    <col min="23" max="23" width="24.86328125" bestFit="1" customWidth="1"/>
    <col min="24" max="24" width="19.86328125" bestFit="1" customWidth="1"/>
  </cols>
  <sheetData>
    <row r="1" spans="1:24" x14ac:dyDescent="0.45">
      <c r="A1" s="25" t="s">
        <v>127</v>
      </c>
      <c r="B1" s="25" t="s">
        <v>129</v>
      </c>
      <c r="C1" s="25" t="s">
        <v>165</v>
      </c>
      <c r="D1" s="25" t="s">
        <v>9</v>
      </c>
      <c r="E1" s="25" t="s">
        <v>131</v>
      </c>
      <c r="F1" s="25" t="s">
        <v>132</v>
      </c>
      <c r="G1" s="25" t="s">
        <v>133</v>
      </c>
      <c r="H1" s="25" t="s">
        <v>134</v>
      </c>
      <c r="I1" s="25" t="s">
        <v>136</v>
      </c>
      <c r="J1" s="25" t="s">
        <v>135</v>
      </c>
      <c r="K1" s="25" t="s">
        <v>137</v>
      </c>
      <c r="L1" s="25" t="s">
        <v>142</v>
      </c>
      <c r="M1" s="25" t="s">
        <v>166</v>
      </c>
      <c r="N1" s="25" t="s">
        <v>167</v>
      </c>
      <c r="O1" s="25" t="s">
        <v>168</v>
      </c>
      <c r="P1" s="25" t="s">
        <v>171</v>
      </c>
      <c r="Q1" s="25" t="s">
        <v>170</v>
      </c>
      <c r="R1" s="25" t="s">
        <v>169</v>
      </c>
      <c r="S1" s="25" t="s">
        <v>172</v>
      </c>
      <c r="T1" s="25" t="s">
        <v>173</v>
      </c>
      <c r="U1" s="25" t="s">
        <v>174</v>
      </c>
      <c r="V1" s="25" t="s">
        <v>175</v>
      </c>
      <c r="W1" s="25" t="s">
        <v>176</v>
      </c>
      <c r="X1" s="25" t="s">
        <v>177</v>
      </c>
    </row>
    <row r="2" spans="1:24" x14ac:dyDescent="0.45">
      <c r="A2" s="25" t="s">
        <v>178</v>
      </c>
      <c r="B2" s="25" t="s">
        <v>130</v>
      </c>
      <c r="C2" s="25">
        <v>15</v>
      </c>
      <c r="D2" s="25">
        <v>16</v>
      </c>
      <c r="E2" s="27">
        <v>45658</v>
      </c>
      <c r="F2" s="27">
        <v>46113</v>
      </c>
      <c r="G2" s="27">
        <v>45658</v>
      </c>
      <c r="H2" s="25" t="s">
        <v>144</v>
      </c>
      <c r="I2" s="25" t="s">
        <v>146</v>
      </c>
      <c r="J2" s="25"/>
      <c r="K2" s="25"/>
      <c r="L2" s="25">
        <v>10</v>
      </c>
      <c r="M2" s="28">
        <v>4.8136574074074076E-4</v>
      </c>
      <c r="N2" s="28">
        <v>8.0497685185185186E-4</v>
      </c>
      <c r="O2" s="28">
        <v>1.0570601851851852E-3</v>
      </c>
      <c r="P2" s="28">
        <v>8.5497685185185188E-4</v>
      </c>
      <c r="Q2" s="28">
        <v>2.0892361111111112E-3</v>
      </c>
      <c r="R2" s="28">
        <v>1.8401620370370371E-3</v>
      </c>
      <c r="S2" s="28">
        <v>5.0462962962962961E-4</v>
      </c>
      <c r="T2" s="28">
        <v>8.5474537037037029E-4</v>
      </c>
      <c r="U2" s="28">
        <v>1.1590277777777777E-3</v>
      </c>
      <c r="V2" s="28">
        <v>8.9409722222222223E-4</v>
      </c>
      <c r="W2" s="28">
        <v>2.2304398148148149E-3</v>
      </c>
      <c r="X2" s="28">
        <v>1.9623842592592592E-3</v>
      </c>
    </row>
    <row r="3" spans="1:24" x14ac:dyDescent="0.45">
      <c r="A3" s="25" t="s">
        <v>179</v>
      </c>
      <c r="B3" s="25" t="s">
        <v>148</v>
      </c>
      <c r="C3" s="25">
        <v>15</v>
      </c>
      <c r="D3" s="25">
        <v>16</v>
      </c>
      <c r="E3" s="27">
        <v>45658</v>
      </c>
      <c r="F3" s="27">
        <v>46113</v>
      </c>
      <c r="G3" s="27">
        <v>45658</v>
      </c>
      <c r="H3" s="25" t="s">
        <v>144</v>
      </c>
      <c r="I3" s="25" t="s">
        <v>146</v>
      </c>
      <c r="J3" s="25"/>
      <c r="K3" s="25"/>
      <c r="L3" s="25">
        <v>10</v>
      </c>
      <c r="M3" s="28">
        <v>4.2962962962962958E-4</v>
      </c>
      <c r="N3" s="28">
        <v>7.1435185185185187E-4</v>
      </c>
      <c r="O3" s="28">
        <v>9.710648148148149E-4</v>
      </c>
      <c r="P3" s="28">
        <v>7.6932870370370371E-4</v>
      </c>
      <c r="Q3" s="28">
        <v>1.8946759259259257E-3</v>
      </c>
      <c r="R3" s="28">
        <v>1.6849537037037035E-3</v>
      </c>
      <c r="S3" s="28">
        <v>4.5416666666666668E-4</v>
      </c>
      <c r="T3" s="28">
        <v>7.6006944444444451E-4</v>
      </c>
      <c r="U3" s="28">
        <v>1.0402777777777778E-3</v>
      </c>
      <c r="V3" s="28">
        <v>8.1701388888888893E-4</v>
      </c>
      <c r="W3" s="28">
        <v>2.0715277777777776E-3</v>
      </c>
      <c r="X3" s="28">
        <v>1.8121527777777778E-3</v>
      </c>
    </row>
    <row r="4" spans="1:24" x14ac:dyDescent="0.45">
      <c r="A4" s="25" t="s">
        <v>180</v>
      </c>
      <c r="B4" s="25" t="s">
        <v>130</v>
      </c>
      <c r="C4" s="25">
        <v>17</v>
      </c>
      <c r="D4" s="25">
        <v>18</v>
      </c>
      <c r="E4" s="27">
        <v>45658</v>
      </c>
      <c r="F4" s="27">
        <v>46113</v>
      </c>
      <c r="G4" s="27">
        <v>45658</v>
      </c>
      <c r="H4" s="25" t="s">
        <v>144</v>
      </c>
      <c r="I4" s="25" t="s">
        <v>146</v>
      </c>
      <c r="J4" s="25"/>
      <c r="K4" s="25"/>
      <c r="L4" s="25">
        <v>10</v>
      </c>
      <c r="M4" s="28">
        <v>4.7048611111111108E-4</v>
      </c>
      <c r="N4" s="28">
        <v>7.8125000000000004E-4</v>
      </c>
      <c r="O4" s="28">
        <v>1.0002314814814815E-3</v>
      </c>
      <c r="P4" s="28">
        <v>8.2349537037037048E-4</v>
      </c>
      <c r="Q4" s="28">
        <v>1.9892361111111113E-3</v>
      </c>
      <c r="R4" s="28">
        <v>1.8848379629629629E-3</v>
      </c>
      <c r="S4" s="28">
        <v>5.0428240740740739E-4</v>
      </c>
      <c r="T4" s="28">
        <v>8.2812499999999998E-4</v>
      </c>
      <c r="U4" s="28">
        <v>1.0603009259259259E-3</v>
      </c>
      <c r="V4" s="28">
        <v>8.729166666666667E-4</v>
      </c>
      <c r="W4" s="28">
        <v>2.1085648148148149E-3</v>
      </c>
      <c r="X4" s="28">
        <v>1.9979166666666665E-3</v>
      </c>
    </row>
    <row r="5" spans="1:24" x14ac:dyDescent="0.45">
      <c r="A5" s="25" t="s">
        <v>181</v>
      </c>
      <c r="B5" s="25" t="s">
        <v>148</v>
      </c>
      <c r="C5" s="25">
        <v>17</v>
      </c>
      <c r="D5" s="25">
        <v>18</v>
      </c>
      <c r="E5" s="27">
        <v>45658</v>
      </c>
      <c r="F5" s="27">
        <v>46113</v>
      </c>
      <c r="G5" s="27">
        <v>45658</v>
      </c>
      <c r="H5" s="25" t="s">
        <v>144</v>
      </c>
      <c r="I5" s="25" t="s">
        <v>146</v>
      </c>
      <c r="J5" s="25"/>
      <c r="K5" s="25"/>
      <c r="L5" s="25">
        <v>10</v>
      </c>
      <c r="M5" s="28">
        <v>3.9583333333333338E-4</v>
      </c>
      <c r="N5" s="28">
        <v>6.596064814814815E-4</v>
      </c>
      <c r="O5" s="28">
        <v>8.7384259259259262E-4</v>
      </c>
      <c r="P5" s="28">
        <v>7.2835648148148152E-4</v>
      </c>
      <c r="Q5" s="28">
        <v>1.7810185185185184E-3</v>
      </c>
      <c r="R5" s="28">
        <v>1.6655092592592594E-3</v>
      </c>
      <c r="S5" s="28">
        <v>4.1574074074074077E-4</v>
      </c>
      <c r="T5" s="28">
        <v>6.9918981481481481E-4</v>
      </c>
      <c r="U5" s="28">
        <v>9.2627314814814818E-4</v>
      </c>
      <c r="V5" s="28">
        <v>7.7210648148148136E-4</v>
      </c>
      <c r="W5" s="28">
        <v>1.8949074074074074E-3</v>
      </c>
      <c r="X5" s="28">
        <v>1.7653935185185186E-3</v>
      </c>
    </row>
    <row r="6" spans="1:24" x14ac:dyDescent="0.45">
      <c r="A6" s="25" t="s">
        <v>155</v>
      </c>
      <c r="B6" s="25" t="s">
        <v>130</v>
      </c>
      <c r="C6" s="25">
        <v>19</v>
      </c>
      <c r="D6" s="25">
        <v>100</v>
      </c>
      <c r="E6" s="27">
        <v>45658</v>
      </c>
      <c r="F6" s="27">
        <v>46113</v>
      </c>
      <c r="G6" s="27">
        <v>45658</v>
      </c>
      <c r="H6" s="25" t="s">
        <v>144</v>
      </c>
      <c r="I6" s="25" t="s">
        <v>146</v>
      </c>
      <c r="J6" s="25"/>
      <c r="K6" s="25"/>
      <c r="L6" s="25">
        <v>10</v>
      </c>
      <c r="M6" s="28">
        <v>4.5150462962962961E-4</v>
      </c>
      <c r="N6" s="28">
        <v>7.2407407407407414E-4</v>
      </c>
      <c r="O6" s="28">
        <v>1.0059027777777777E-3</v>
      </c>
      <c r="P6" s="28">
        <v>7.6840277777777779E-4</v>
      </c>
      <c r="Q6" s="28">
        <v>1.9185185185185184E-3</v>
      </c>
      <c r="R6" s="28">
        <v>1.7923611111111113E-3</v>
      </c>
      <c r="S6" s="28">
        <v>4.7858796296296299E-4</v>
      </c>
      <c r="T6" s="28">
        <v>7.6747685185185187E-4</v>
      </c>
      <c r="U6" s="28">
        <v>1.0662037037037038E-3</v>
      </c>
      <c r="V6" s="28">
        <v>8.1446759259259265E-4</v>
      </c>
      <c r="W6" s="28">
        <v>2.0336805555555555E-3</v>
      </c>
      <c r="X6" s="28">
        <v>1.8998842592592594E-3</v>
      </c>
    </row>
    <row r="7" spans="1:24" x14ac:dyDescent="0.45">
      <c r="A7" s="25" t="s">
        <v>156</v>
      </c>
      <c r="B7" s="25" t="s">
        <v>148</v>
      </c>
      <c r="C7" s="25">
        <v>19</v>
      </c>
      <c r="D7" s="25">
        <v>100</v>
      </c>
      <c r="E7" s="27">
        <v>45658</v>
      </c>
      <c r="F7" s="27">
        <v>46113</v>
      </c>
      <c r="G7" s="27">
        <v>45658</v>
      </c>
      <c r="H7" s="25" t="s">
        <v>144</v>
      </c>
      <c r="I7" s="25" t="s">
        <v>146</v>
      </c>
      <c r="J7" s="25"/>
      <c r="K7" s="25"/>
      <c r="L7" s="25">
        <v>10</v>
      </c>
      <c r="M7" s="28">
        <v>3.6493055555555557E-4</v>
      </c>
      <c r="N7" s="28">
        <v>5.7962962962962959E-4</v>
      </c>
      <c r="O7" s="28">
        <v>7.8923611111111111E-4</v>
      </c>
      <c r="P7" s="28">
        <v>6.3819444444444449E-4</v>
      </c>
      <c r="Q7" s="28">
        <v>1.6078703703703706E-3</v>
      </c>
      <c r="R7" s="28">
        <v>1.5675925925925926E-3</v>
      </c>
      <c r="S7" s="28">
        <v>3.8645833333333333E-4</v>
      </c>
      <c r="T7" s="28">
        <v>6.1435185185185182E-4</v>
      </c>
      <c r="U7" s="28">
        <v>8.3657407407407411E-4</v>
      </c>
      <c r="V7" s="28">
        <v>6.7650462962962966E-4</v>
      </c>
      <c r="W7" s="28">
        <v>1.704398148148148E-3</v>
      </c>
      <c r="X7" s="28">
        <v>1.6616898148148148E-3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8451-5D1D-4665-BFE6-00A11E29A180}">
  <sheetPr codeName="Tabelle10">
    <tabColor theme="5"/>
  </sheetPr>
  <dimension ref="A1:X3"/>
  <sheetViews>
    <sheetView topLeftCell="H1" zoomScale="83" workbookViewId="0">
      <selection activeCell="D8" sqref="D8"/>
    </sheetView>
  </sheetViews>
  <sheetFormatPr baseColWidth="10" defaultRowHeight="14.25" x14ac:dyDescent="0.45"/>
  <cols>
    <col min="1" max="1" width="17" bestFit="1" customWidth="1"/>
    <col min="2" max="2" width="14.265625" bestFit="1" customWidth="1"/>
    <col min="3" max="3" width="15.73046875" bestFit="1" customWidth="1"/>
    <col min="4" max="4" width="17.86328125" bestFit="1" customWidth="1"/>
    <col min="5" max="5" width="22" bestFit="1" customWidth="1"/>
    <col min="6" max="6" width="20.73046875" bestFit="1" customWidth="1"/>
    <col min="7" max="7" width="22.73046875" bestFit="1" customWidth="1"/>
    <col min="8" max="8" width="17.265625" bestFit="1" customWidth="1"/>
    <col min="9" max="9" width="8.86328125" bestFit="1" customWidth="1"/>
    <col min="10" max="10" width="14" bestFit="1" customWidth="1"/>
    <col min="11" max="11" width="13.59765625" bestFit="1" customWidth="1"/>
    <col min="12" max="12" width="16" bestFit="1" customWidth="1"/>
    <col min="13" max="13" width="18.59765625" bestFit="1" customWidth="1"/>
    <col min="14" max="14" width="19.59765625" bestFit="1" customWidth="1"/>
    <col min="15" max="15" width="19.265625" bestFit="1" customWidth="1"/>
    <col min="16" max="16" width="21.59765625" bestFit="1" customWidth="1"/>
    <col min="17" max="17" width="27" bestFit="1" customWidth="1"/>
    <col min="18" max="18" width="22" bestFit="1" customWidth="1"/>
    <col min="19" max="19" width="18.59765625" bestFit="1" customWidth="1"/>
    <col min="20" max="20" width="19.59765625" bestFit="1" customWidth="1"/>
    <col min="21" max="21" width="19.265625" bestFit="1" customWidth="1"/>
    <col min="22" max="22" width="21.59765625" bestFit="1" customWidth="1"/>
    <col min="23" max="23" width="27" bestFit="1" customWidth="1"/>
    <col min="24" max="24" width="22" bestFit="1" customWidth="1"/>
  </cols>
  <sheetData>
    <row r="1" spans="1:24" x14ac:dyDescent="0.45">
      <c r="A1" s="25" t="s">
        <v>127</v>
      </c>
      <c r="B1" s="25" t="s">
        <v>129</v>
      </c>
      <c r="C1" s="25" t="s">
        <v>165</v>
      </c>
      <c r="D1" s="25" t="s">
        <v>9</v>
      </c>
      <c r="E1" s="25" t="s">
        <v>131</v>
      </c>
      <c r="F1" s="25" t="s">
        <v>132</v>
      </c>
      <c r="G1" s="25" t="s">
        <v>133</v>
      </c>
      <c r="H1" s="25" t="s">
        <v>134</v>
      </c>
      <c r="I1" s="25" t="s">
        <v>136</v>
      </c>
      <c r="J1" s="25" t="s">
        <v>135</v>
      </c>
      <c r="K1" s="25" t="s">
        <v>137</v>
      </c>
      <c r="L1" s="25" t="s">
        <v>142</v>
      </c>
      <c r="M1" s="25" t="s">
        <v>166</v>
      </c>
      <c r="N1" s="25" t="s">
        <v>167</v>
      </c>
      <c r="O1" s="25" t="s">
        <v>168</v>
      </c>
      <c r="P1" s="25" t="s">
        <v>171</v>
      </c>
      <c r="Q1" s="25" t="s">
        <v>170</v>
      </c>
      <c r="R1" s="25" t="s">
        <v>169</v>
      </c>
      <c r="S1" s="25" t="s">
        <v>172</v>
      </c>
      <c r="T1" s="25" t="s">
        <v>173</v>
      </c>
      <c r="U1" s="25" t="s">
        <v>174</v>
      </c>
      <c r="V1" s="25" t="s">
        <v>175</v>
      </c>
      <c r="W1" s="25" t="s">
        <v>176</v>
      </c>
      <c r="X1" s="25" t="s">
        <v>177</v>
      </c>
    </row>
    <row r="2" spans="1:24" x14ac:dyDescent="0.45">
      <c r="A2" s="25" t="s">
        <v>189</v>
      </c>
      <c r="B2" s="25" t="s">
        <v>130</v>
      </c>
      <c r="C2" s="25">
        <v>15</v>
      </c>
      <c r="D2" s="25">
        <v>18</v>
      </c>
      <c r="E2" s="27">
        <v>45658</v>
      </c>
      <c r="F2" s="27">
        <v>46174</v>
      </c>
      <c r="G2" s="27">
        <v>45658</v>
      </c>
      <c r="H2" s="25" t="s">
        <v>144</v>
      </c>
      <c r="I2" s="25" t="s">
        <v>145</v>
      </c>
      <c r="J2" s="25"/>
      <c r="K2" s="25"/>
      <c r="L2" s="25">
        <v>10</v>
      </c>
      <c r="M2" s="28">
        <v>4.6817129629629634E-4</v>
      </c>
      <c r="N2" s="28">
        <v>7.4872685185185188E-4</v>
      </c>
      <c r="O2" s="28">
        <v>9.9224537037037033E-4</v>
      </c>
      <c r="P2" s="28">
        <v>7.8888888888888889E-4</v>
      </c>
      <c r="Q2" s="28">
        <v>1.9605324074074074E-3</v>
      </c>
      <c r="R2" s="28">
        <v>1.7837962962962963E-3</v>
      </c>
      <c r="S2" s="28">
        <v>4.803240740740741E-4</v>
      </c>
      <c r="T2" s="28">
        <v>7.8599537037037039E-4</v>
      </c>
      <c r="U2" s="28">
        <v>1.0240740740740742E-3</v>
      </c>
      <c r="V2" s="28">
        <v>8.2766203703703712E-4</v>
      </c>
      <c r="W2" s="28">
        <v>2.0114583333333334E-3</v>
      </c>
      <c r="X2" s="28">
        <v>1.8332175925925925E-3</v>
      </c>
    </row>
    <row r="3" spans="1:24" x14ac:dyDescent="0.45">
      <c r="A3" s="25" t="s">
        <v>190</v>
      </c>
      <c r="B3" s="25" t="s">
        <v>148</v>
      </c>
      <c r="C3" s="25">
        <v>15</v>
      </c>
      <c r="D3" s="25">
        <v>18</v>
      </c>
      <c r="E3" s="27">
        <v>45658</v>
      </c>
      <c r="F3" s="27">
        <v>46174</v>
      </c>
      <c r="G3" s="27">
        <v>45658</v>
      </c>
      <c r="H3" s="25" t="s">
        <v>144</v>
      </c>
      <c r="I3" s="25" t="s">
        <v>145</v>
      </c>
      <c r="J3" s="25"/>
      <c r="K3" s="25"/>
      <c r="L3" s="25">
        <v>10</v>
      </c>
      <c r="M3" s="28">
        <v>3.9178240740740742E-4</v>
      </c>
      <c r="N3" s="28">
        <v>6.310185185185186E-4</v>
      </c>
      <c r="O3" s="28">
        <v>8.5555555555555558E-4</v>
      </c>
      <c r="P3" s="28">
        <v>7.0196759259259257E-4</v>
      </c>
      <c r="Q3" s="28">
        <v>1.7359953703703704E-3</v>
      </c>
      <c r="R3" s="28">
        <v>1.6295138888888889E-3</v>
      </c>
      <c r="S3" s="28">
        <v>4.1747685185185187E-4</v>
      </c>
      <c r="T3" s="28">
        <v>6.7627314814814818E-4</v>
      </c>
      <c r="U3" s="28">
        <v>8.9861111111111109E-4</v>
      </c>
      <c r="V3" s="28">
        <v>7.2384259259259255E-4</v>
      </c>
      <c r="W3" s="28">
        <v>1.8050925925925927E-3</v>
      </c>
      <c r="X3" s="28">
        <v>1.7003472222222222E-3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57-9C7D-473D-8F9D-F224533B6BF1}">
  <sheetPr>
    <tabColor theme="5" tint="-0.249977111117893"/>
  </sheetPr>
  <dimension ref="A1:AF37"/>
  <sheetViews>
    <sheetView tabSelected="1" topLeftCell="R1" workbookViewId="0">
      <selection activeCell="Z27" sqref="Z27"/>
    </sheetView>
  </sheetViews>
  <sheetFormatPr baseColWidth="10" defaultRowHeight="14.25" x14ac:dyDescent="0.45"/>
  <cols>
    <col min="1" max="1" width="17.3984375" bestFit="1" customWidth="1"/>
    <col min="2" max="2" width="12" bestFit="1" customWidth="1"/>
    <col min="3" max="3" width="13.3984375" bestFit="1" customWidth="1"/>
    <col min="4" max="4" width="15.73046875" bestFit="1" customWidth="1"/>
    <col min="5" max="5" width="19.86328125" bestFit="1" customWidth="1"/>
    <col min="6" max="6" width="18.59765625" bestFit="1" customWidth="1"/>
    <col min="7" max="7" width="20.3984375" bestFit="1" customWidth="1"/>
    <col min="8" max="8" width="15" bestFit="1" customWidth="1"/>
    <col min="9" max="9" width="6.73046875" bestFit="1" customWidth="1"/>
    <col min="10" max="10" width="11.86328125" bestFit="1" customWidth="1"/>
    <col min="11" max="11" width="11.3984375" bestFit="1" customWidth="1"/>
    <col min="12" max="12" width="13.73046875" bestFit="1" customWidth="1"/>
    <col min="13" max="13" width="24.19921875" bestFit="1" customWidth="1"/>
    <col min="14" max="14" width="16.3984375" bestFit="1" customWidth="1"/>
    <col min="15" max="15" width="17.3984375" bestFit="1" customWidth="1"/>
    <col min="16" max="16" width="17.1328125" bestFit="1" customWidth="1"/>
    <col min="17" max="17" width="19.3984375" bestFit="1" customWidth="1"/>
    <col min="18" max="18" width="24.86328125" bestFit="1" customWidth="1"/>
    <col min="19" max="19" width="19.86328125" bestFit="1" customWidth="1"/>
  </cols>
  <sheetData>
    <row r="1" spans="1:32" x14ac:dyDescent="0.45">
      <c r="A1" s="25" t="s">
        <v>127</v>
      </c>
      <c r="B1" s="25" t="s">
        <v>129</v>
      </c>
      <c r="C1" s="25" t="s">
        <v>165</v>
      </c>
      <c r="D1" s="25" t="s">
        <v>9</v>
      </c>
      <c r="E1" s="25" t="s">
        <v>131</v>
      </c>
      <c r="F1" s="25" t="s">
        <v>132</v>
      </c>
      <c r="G1" s="25" t="s">
        <v>133</v>
      </c>
      <c r="H1" s="25" t="s">
        <v>134</v>
      </c>
      <c r="I1" s="25" t="s">
        <v>136</v>
      </c>
      <c r="J1" s="25" t="s">
        <v>135</v>
      </c>
      <c r="K1" s="25" t="s">
        <v>137</v>
      </c>
      <c r="L1" s="25" t="s">
        <v>142</v>
      </c>
      <c r="M1" s="25" t="s">
        <v>247</v>
      </c>
      <c r="N1" s="25" t="s">
        <v>248</v>
      </c>
      <c r="O1" s="25" t="s">
        <v>249</v>
      </c>
      <c r="P1" s="25" t="s">
        <v>250</v>
      </c>
      <c r="Q1" s="25" t="s">
        <v>251</v>
      </c>
      <c r="R1" s="25" t="s">
        <v>252</v>
      </c>
      <c r="S1" s="25" t="s">
        <v>253</v>
      </c>
      <c r="T1" s="25" t="s">
        <v>254</v>
      </c>
      <c r="U1" s="25" t="s">
        <v>255</v>
      </c>
      <c r="V1" s="25" t="s">
        <v>256</v>
      </c>
      <c r="W1" s="25" t="s">
        <v>258</v>
      </c>
      <c r="X1" s="25" t="s">
        <v>263</v>
      </c>
      <c r="Y1" s="25" t="s">
        <v>264</v>
      </c>
      <c r="Z1" s="25" t="s">
        <v>257</v>
      </c>
      <c r="AA1" s="25" t="s">
        <v>265</v>
      </c>
      <c r="AB1" s="25" t="s">
        <v>266</v>
      </c>
      <c r="AC1" s="25" t="s">
        <v>259</v>
      </c>
      <c r="AD1" s="25" t="s">
        <v>260</v>
      </c>
      <c r="AE1" s="25" t="s">
        <v>261</v>
      </c>
      <c r="AF1" s="25" t="s">
        <v>262</v>
      </c>
    </row>
    <row r="2" spans="1:32" x14ac:dyDescent="0.45">
      <c r="A2" s="25" t="s">
        <v>241</v>
      </c>
      <c r="B2" s="25" t="s">
        <v>130</v>
      </c>
      <c r="C2" s="25">
        <v>18</v>
      </c>
      <c r="D2" s="25">
        <v>18</v>
      </c>
      <c r="E2" s="27">
        <v>46023</v>
      </c>
      <c r="F2" s="27">
        <v>46388</v>
      </c>
      <c r="G2" s="27">
        <v>46023</v>
      </c>
      <c r="H2" s="25" t="s">
        <v>144</v>
      </c>
      <c r="I2" s="25" t="s">
        <v>146</v>
      </c>
      <c r="J2" s="25"/>
      <c r="K2" s="25"/>
      <c r="L2" s="25">
        <v>10</v>
      </c>
      <c r="M2" s="25">
        <v>2</v>
      </c>
      <c r="N2" s="28">
        <f>'NK-LK Transf.'!BQ12</f>
        <v>5.3782870370370367E-4</v>
      </c>
      <c r="O2" s="28">
        <f>'NK-LK Transf.'!BQ14</f>
        <v>8.139814814814815E-4</v>
      </c>
      <c r="P2" s="28">
        <f>'NK-LK Transf.'!BQ13</f>
        <v>1.1029722222222222E-3</v>
      </c>
      <c r="Q2" s="28">
        <f>'NK-LK Transf.'!BQ15</f>
        <v>9.026180555555556E-4</v>
      </c>
      <c r="R2" s="28">
        <f>'NK-LK Transf.'!BQ17</f>
        <v>2.1334236111111111E-3</v>
      </c>
      <c r="S2" s="28">
        <f>'NK-LK Transf.'!BQ16</f>
        <v>1.9327962962962964E-3</v>
      </c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</row>
    <row r="3" spans="1:32" x14ac:dyDescent="0.45">
      <c r="A3" s="25" t="s">
        <v>241</v>
      </c>
      <c r="B3" s="25" t="s">
        <v>130</v>
      </c>
      <c r="C3" s="25">
        <v>17</v>
      </c>
      <c r="D3" s="25">
        <v>17</v>
      </c>
      <c r="E3" s="27">
        <v>46023</v>
      </c>
      <c r="F3" s="27">
        <v>46388</v>
      </c>
      <c r="G3" s="27">
        <v>46023</v>
      </c>
      <c r="H3" s="25" t="s">
        <v>144</v>
      </c>
      <c r="I3" s="25" t="s">
        <v>146</v>
      </c>
      <c r="J3" s="25"/>
      <c r="K3" s="25"/>
      <c r="L3" s="25">
        <v>10</v>
      </c>
      <c r="M3" s="25">
        <v>2</v>
      </c>
      <c r="N3" s="28">
        <f>'NK-LK Transf.'!BP12</f>
        <v>5.5107638888888893E-4</v>
      </c>
      <c r="O3" s="28">
        <f>'NK-LK Transf.'!BP14</f>
        <v>8.3037037037037031E-4</v>
      </c>
      <c r="P3" s="28">
        <f>'NK-LK Transf.'!BP13</f>
        <v>1.1436712962962963E-3</v>
      </c>
      <c r="Q3" s="28">
        <f>'NK-LK Transf.'!BP15</f>
        <v>9.2269444444444452E-4</v>
      </c>
      <c r="R3" s="28">
        <f>'NK-LK Transf.'!BP17</f>
        <v>2.1813611111111113E-3</v>
      </c>
      <c r="S3" s="28">
        <f>'NK-LK Transf.'!BP16</f>
        <v>1.9621597222222223E-3</v>
      </c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</row>
    <row r="4" spans="1:32" x14ac:dyDescent="0.45">
      <c r="A4" s="25" t="s">
        <v>241</v>
      </c>
      <c r="B4" s="25" t="s">
        <v>130</v>
      </c>
      <c r="C4" s="25">
        <v>14</v>
      </c>
      <c r="D4" s="25">
        <v>16</v>
      </c>
      <c r="E4" s="27">
        <v>46023</v>
      </c>
      <c r="F4" s="27">
        <v>46388</v>
      </c>
      <c r="G4" s="27">
        <v>46023</v>
      </c>
      <c r="H4" s="25" t="s">
        <v>144</v>
      </c>
      <c r="I4" s="25" t="s">
        <v>146</v>
      </c>
      <c r="J4" s="25"/>
      <c r="K4" s="25"/>
      <c r="L4" s="25">
        <v>10</v>
      </c>
      <c r="M4" s="25">
        <v>2</v>
      </c>
      <c r="N4" s="28">
        <f>'NK-LK Transf.'!BO12</f>
        <v>5.6332031250000002E-4</v>
      </c>
      <c r="O4" s="28">
        <f>'NK-LK Transf.'!BO14</f>
        <v>8.4539351851851854E-4</v>
      </c>
      <c r="P4" s="28">
        <f>'NK-LK Transf.'!BO13</f>
        <v>1.1842337962962965E-3</v>
      </c>
      <c r="Q4" s="28">
        <f>'NK-LK Transf.'!BO15</f>
        <v>9.4126851851851858E-4</v>
      </c>
      <c r="R4" s="28">
        <f>'NK-LK Transf.'!BO17</f>
        <v>2.2291620370370373E-3</v>
      </c>
      <c r="S4" s="28">
        <f>'NK-LK Transf.'!BO16</f>
        <v>1.9916597222222219E-3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</row>
    <row r="5" spans="1:32" x14ac:dyDescent="0.45">
      <c r="A5" s="25" t="s">
        <v>233</v>
      </c>
      <c r="B5" s="25" t="s">
        <v>148</v>
      </c>
      <c r="C5" s="25">
        <v>18</v>
      </c>
      <c r="D5" s="25">
        <v>18</v>
      </c>
      <c r="E5" s="27">
        <v>46023</v>
      </c>
      <c r="F5" s="27">
        <v>46388</v>
      </c>
      <c r="G5" s="27">
        <v>46023</v>
      </c>
      <c r="H5" s="25" t="s">
        <v>144</v>
      </c>
      <c r="I5" s="25" t="s">
        <v>146</v>
      </c>
      <c r="J5" s="25"/>
      <c r="K5" s="25"/>
      <c r="L5" s="25">
        <v>10</v>
      </c>
      <c r="M5" s="25">
        <v>2</v>
      </c>
      <c r="N5" s="28">
        <f>'NK-LK Transf.'!BE12</f>
        <v>4.4791666666666667E-4</v>
      </c>
      <c r="O5" s="28">
        <f>'NK-LK Transf.'!BE14</f>
        <v>7.0736111111111108E-4</v>
      </c>
      <c r="P5" s="28">
        <f>'NK-LK Transf.'!BE13</f>
        <v>9.6125000000000019E-4</v>
      </c>
      <c r="Q5" s="28">
        <f>'NK-LK Transf.'!BE15</f>
        <v>8.018055555555555E-4</v>
      </c>
      <c r="R5" s="28">
        <f>'NK-LK Transf.'!BE17</f>
        <v>1.9945833333333335E-3</v>
      </c>
      <c r="S5" s="28">
        <f>'NK-LK Transf.'!BE16</f>
        <v>1.8218055555555552E-3</v>
      </c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</row>
    <row r="6" spans="1:32" x14ac:dyDescent="0.45">
      <c r="A6" s="25" t="s">
        <v>233</v>
      </c>
      <c r="B6" s="25" t="s">
        <v>148</v>
      </c>
      <c r="C6" s="25">
        <v>17</v>
      </c>
      <c r="D6" s="25">
        <v>17</v>
      </c>
      <c r="E6" s="27">
        <v>46023</v>
      </c>
      <c r="F6" s="27">
        <v>46388</v>
      </c>
      <c r="G6" s="27">
        <v>46023</v>
      </c>
      <c r="H6" s="25" t="s">
        <v>144</v>
      </c>
      <c r="I6" s="25" t="s">
        <v>146</v>
      </c>
      <c r="J6" s="25"/>
      <c r="K6" s="25"/>
      <c r="L6" s="25">
        <v>10</v>
      </c>
      <c r="M6" s="25">
        <v>2</v>
      </c>
      <c r="N6" s="28">
        <f>'NK-LK Transf.'!BD12</f>
        <v>4.6194444444444446E-4</v>
      </c>
      <c r="O6" s="28">
        <f>'NK-LK Transf.'!BD14</f>
        <v>7.2763888888888889E-4</v>
      </c>
      <c r="P6" s="28">
        <f>'NK-LK Transf.'!BD13</f>
        <v>1E-3</v>
      </c>
      <c r="Q6" s="28">
        <f>'NK-LK Transf.'!BD15</f>
        <v>8.3263888888888895E-4</v>
      </c>
      <c r="R6" s="28">
        <f>'NK-LK Transf.'!BD17</f>
        <v>2.0587499999999998E-3</v>
      </c>
      <c r="S6" s="28">
        <f>'NK-LK Transf.'!BD16</f>
        <v>1.8773611111111109E-3</v>
      </c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</row>
    <row r="7" spans="1:32" x14ac:dyDescent="0.45">
      <c r="A7" s="25" t="s">
        <v>233</v>
      </c>
      <c r="B7" s="25" t="s">
        <v>148</v>
      </c>
      <c r="C7" s="25">
        <v>14</v>
      </c>
      <c r="D7" s="25">
        <v>16</v>
      </c>
      <c r="E7" s="27">
        <v>46023</v>
      </c>
      <c r="F7" s="27">
        <v>46388</v>
      </c>
      <c r="G7" s="27">
        <v>46023</v>
      </c>
      <c r="H7" s="25" t="s">
        <v>144</v>
      </c>
      <c r="I7" s="25" t="s">
        <v>146</v>
      </c>
      <c r="J7" s="25"/>
      <c r="K7" s="25"/>
      <c r="L7" s="25">
        <v>10</v>
      </c>
      <c r="M7" s="25">
        <v>2</v>
      </c>
      <c r="N7" s="28">
        <f>'NK-LK Transf.'!BC12</f>
        <v>4.7138888888888881E-4</v>
      </c>
      <c r="O7" s="28">
        <f>'NK-LK Transf.'!BC14</f>
        <v>7.415277777777778E-4</v>
      </c>
      <c r="P7" s="28">
        <f>'NK-LK Transf.'!BC13</f>
        <v>1.0176388888888889E-3</v>
      </c>
      <c r="Q7" s="28">
        <f>'NK-LK Transf.'!BC15</f>
        <v>8.5375000000000002E-4</v>
      </c>
      <c r="R7" s="28">
        <f>'NK-LK Transf.'!BC17</f>
        <v>2.1025000000000002E-3</v>
      </c>
      <c r="S7" s="28">
        <f>'NK-LK Transf.'!BC16</f>
        <v>1.9152777777777779E-3</v>
      </c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</row>
    <row r="8" spans="1:32" x14ac:dyDescent="0.45">
      <c r="A8" s="25" t="s">
        <v>240</v>
      </c>
      <c r="B8" s="25" t="s">
        <v>130</v>
      </c>
      <c r="C8" s="25">
        <v>23</v>
      </c>
      <c r="D8" s="25">
        <v>50</v>
      </c>
      <c r="E8" s="27">
        <v>46023</v>
      </c>
      <c r="F8" s="27">
        <v>46388</v>
      </c>
      <c r="G8" s="27">
        <v>46023</v>
      </c>
      <c r="H8" s="25" t="s">
        <v>144</v>
      </c>
      <c r="I8" s="25" t="s">
        <v>146</v>
      </c>
      <c r="J8" s="25"/>
      <c r="K8" s="25"/>
      <c r="L8" s="25">
        <v>10</v>
      </c>
      <c r="M8" s="25">
        <v>2</v>
      </c>
      <c r="N8" s="28">
        <f>'NK-LK Transf.'!BV12</f>
        <v>4.7436458333333331E-4</v>
      </c>
      <c r="O8" s="28">
        <f>'NK-LK Transf.'!BV14</f>
        <v>7.3382291666666669E-4</v>
      </c>
      <c r="P8" s="28">
        <f>'NK-LK Transf.'!BV13</f>
        <v>9.7080208333333328E-4</v>
      </c>
      <c r="Q8" s="28">
        <f>'NK-LK Transf.'!BV15</f>
        <v>8.0545833333333326E-4</v>
      </c>
      <c r="R8" s="28">
        <f>'NK-LK Transf.'!BV17</f>
        <v>1.9667916666666666E-3</v>
      </c>
      <c r="S8" s="28">
        <f>'NK-LK Transf.'!BV16</f>
        <v>1.8239270833333334E-3</v>
      </c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</row>
    <row r="9" spans="1:32" x14ac:dyDescent="0.45">
      <c r="A9" s="25" t="s">
        <v>240</v>
      </c>
      <c r="B9" s="25" t="s">
        <v>130</v>
      </c>
      <c r="C9" s="25">
        <v>20</v>
      </c>
      <c r="D9" s="25">
        <v>22</v>
      </c>
      <c r="E9" s="27">
        <v>46023</v>
      </c>
      <c r="F9" s="27">
        <v>46388</v>
      </c>
      <c r="G9" s="27">
        <v>46023</v>
      </c>
      <c r="H9" s="25" t="s">
        <v>144</v>
      </c>
      <c r="I9" s="25" t="s">
        <v>146</v>
      </c>
      <c r="J9" s="25"/>
      <c r="K9" s="25"/>
      <c r="L9" s="25">
        <v>10</v>
      </c>
      <c r="M9" s="25">
        <v>2</v>
      </c>
      <c r="N9" s="28">
        <f>'NK-LK Transf.'!BU12</f>
        <v>4.9196875E-4</v>
      </c>
      <c r="O9" s="28">
        <f>'NK-LK Transf.'!BU14</f>
        <v>7.5576041666666662E-4</v>
      </c>
      <c r="P9" s="28">
        <f>'NK-LK Transf.'!BU13</f>
        <v>1.0057395833333333E-3</v>
      </c>
      <c r="Q9" s="28">
        <f>'NK-LK Transf.'!BU15</f>
        <v>8.3227083333333341E-4</v>
      </c>
      <c r="R9" s="28">
        <f>'NK-LK Transf.'!BU17</f>
        <v>2.0094479166666668E-3</v>
      </c>
      <c r="S9" s="28">
        <f>'NK-LK Transf.'!BU16</f>
        <v>1.8506041666666666E-3</v>
      </c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</row>
    <row r="10" spans="1:32" x14ac:dyDescent="0.45">
      <c r="A10" s="25" t="s">
        <v>240</v>
      </c>
      <c r="B10" s="25" t="s">
        <v>130</v>
      </c>
      <c r="C10" s="25">
        <v>14</v>
      </c>
      <c r="D10" s="25">
        <v>19</v>
      </c>
      <c r="E10" s="27">
        <v>46023</v>
      </c>
      <c r="F10" s="27">
        <v>46388</v>
      </c>
      <c r="G10" s="27">
        <v>46023</v>
      </c>
      <c r="H10" s="25" t="s">
        <v>144</v>
      </c>
      <c r="I10" s="25" t="s">
        <v>146</v>
      </c>
      <c r="J10" s="25"/>
      <c r="K10" s="25"/>
      <c r="L10" s="25">
        <v>10</v>
      </c>
      <c r="M10" s="25">
        <v>2</v>
      </c>
      <c r="N10" s="28">
        <f>'NK-LK Transf.'!BT12</f>
        <v>5.1593750000000001E-4</v>
      </c>
      <c r="O10" s="28">
        <f>'NK-LK Transf.'!BT14</f>
        <v>7.8582291666666677E-4</v>
      </c>
      <c r="P10" s="28">
        <f>'NK-LK Transf.'!BT13</f>
        <v>1.0534062499999999E-3</v>
      </c>
      <c r="Q10" s="28">
        <f>'NK-LK Transf.'!BT15</f>
        <v>8.6883333333333322E-4</v>
      </c>
      <c r="R10" s="28">
        <f>'NK-LK Transf.'!BT17</f>
        <v>2.0678124999999998E-3</v>
      </c>
      <c r="S10" s="28">
        <f>'NK-LK Transf.'!BT16</f>
        <v>1.887166666666667E-3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</row>
    <row r="11" spans="1:32" x14ac:dyDescent="0.45">
      <c r="A11" s="25" t="s">
        <v>239</v>
      </c>
      <c r="B11" s="25" t="s">
        <v>148</v>
      </c>
      <c r="C11" s="25">
        <v>23</v>
      </c>
      <c r="D11" s="25">
        <v>50</v>
      </c>
      <c r="E11" s="27">
        <v>46023</v>
      </c>
      <c r="F11" s="27">
        <v>46388</v>
      </c>
      <c r="G11" s="27">
        <v>46023</v>
      </c>
      <c r="H11" s="25" t="s">
        <v>144</v>
      </c>
      <c r="I11" s="25" t="s">
        <v>146</v>
      </c>
      <c r="J11" s="25"/>
      <c r="K11" s="25"/>
      <c r="L11" s="25">
        <v>10</v>
      </c>
      <c r="M11" s="25">
        <v>2</v>
      </c>
      <c r="N11" s="28">
        <f>'NK-LK Transf.'!BJ12</f>
        <v>3.9324537037037041E-4</v>
      </c>
      <c r="O11" s="28">
        <f>'NK-LK Transf.'!BJ14</f>
        <v>6.2564814814814818E-4</v>
      </c>
      <c r="P11" s="28">
        <f>'NK-LK Transf.'!BJ13</f>
        <v>8.3428703703703703E-4</v>
      </c>
      <c r="Q11" s="28">
        <f>'NK-LK Transf.'!BJ15</f>
        <v>6.8807870370370366E-4</v>
      </c>
      <c r="R11" s="28">
        <f>'NK-LK Transf.'!BJ17</f>
        <v>1.7890046296296298E-3</v>
      </c>
      <c r="S11" s="28">
        <f>'NK-LK Transf.'!BJ16</f>
        <v>1.6026527777777777E-3</v>
      </c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</row>
    <row r="12" spans="1:32" x14ac:dyDescent="0.45">
      <c r="A12" s="25" t="s">
        <v>239</v>
      </c>
      <c r="B12" s="25" t="s">
        <v>148</v>
      </c>
      <c r="C12" s="25">
        <v>20</v>
      </c>
      <c r="D12" s="25">
        <v>22</v>
      </c>
      <c r="E12" s="27">
        <v>46023</v>
      </c>
      <c r="F12" s="27">
        <v>46388</v>
      </c>
      <c r="G12" s="27">
        <v>46023</v>
      </c>
      <c r="H12" s="25" t="s">
        <v>144</v>
      </c>
      <c r="I12" s="25" t="s">
        <v>146</v>
      </c>
      <c r="J12" s="25"/>
      <c r="K12" s="25"/>
      <c r="L12" s="25">
        <v>10</v>
      </c>
      <c r="M12" s="25">
        <v>2</v>
      </c>
      <c r="N12" s="28">
        <f>'NK-LK Transf.'!BI12</f>
        <v>4.0693981481481478E-4</v>
      </c>
      <c r="O12" s="28">
        <f>'NK-LK Transf.'!BI14</f>
        <v>6.4565277777777776E-4</v>
      </c>
      <c r="P12" s="28">
        <f>'NK-LK Transf.'!BI13</f>
        <v>8.6691203703703691E-4</v>
      </c>
      <c r="Q12" s="28">
        <f>'NK-LK Transf.'!BI15</f>
        <v>7.1788425925925915E-4</v>
      </c>
      <c r="R12" s="28">
        <f>'NK-LK Transf.'!BI17</f>
        <v>1.845125E-3</v>
      </c>
      <c r="S12" s="28">
        <f>'NK-LK Transf.'!BI16</f>
        <v>1.6571620370370373E-3</v>
      </c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</row>
    <row r="13" spans="1:32" x14ac:dyDescent="0.45">
      <c r="A13" s="25" t="s">
        <v>239</v>
      </c>
      <c r="B13" s="25" t="s">
        <v>148</v>
      </c>
      <c r="C13" s="25">
        <v>14</v>
      </c>
      <c r="D13" s="25">
        <v>19</v>
      </c>
      <c r="E13" s="27">
        <v>46023</v>
      </c>
      <c r="F13" s="27">
        <v>46388</v>
      </c>
      <c r="G13" s="27">
        <v>46023</v>
      </c>
      <c r="H13" s="25" t="s">
        <v>144</v>
      </c>
      <c r="I13" s="25" t="s">
        <v>146</v>
      </c>
      <c r="J13" s="25"/>
      <c r="K13" s="25"/>
      <c r="L13" s="25">
        <v>10</v>
      </c>
      <c r="M13" s="25">
        <v>2</v>
      </c>
      <c r="N13" s="28">
        <f>'NK-LK Transf.'!BH12</f>
        <v>4.1888888888888889E-4</v>
      </c>
      <c r="O13" s="28">
        <f>'NK-LK Transf.'!BH14</f>
        <v>6.6324074074074072E-4</v>
      </c>
      <c r="P13" s="28">
        <f>'NK-LK Transf.'!BH13</f>
        <v>8.9537500000000001E-4</v>
      </c>
      <c r="Q13" s="28">
        <f>'NK-LK Transf.'!BH15</f>
        <v>7.439305555555554E-4</v>
      </c>
      <c r="R13" s="28">
        <f>'NK-LK Transf.'!BH17</f>
        <v>1.8632500000000001E-3</v>
      </c>
      <c r="S13" s="28">
        <f>'NK-LK Transf.'!BH16</f>
        <v>1.7049583333333333E-3</v>
      </c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</row>
    <row r="14" spans="1:32" x14ac:dyDescent="0.45">
      <c r="A14" s="25" t="s">
        <v>222</v>
      </c>
      <c r="B14" s="25" t="s">
        <v>130</v>
      </c>
      <c r="C14" s="25">
        <v>18</v>
      </c>
      <c r="D14" s="25">
        <v>18</v>
      </c>
      <c r="E14" s="27">
        <v>45992</v>
      </c>
      <c r="F14" s="27">
        <v>46388</v>
      </c>
      <c r="G14" s="27">
        <v>45992</v>
      </c>
      <c r="H14" s="25" t="s">
        <v>144</v>
      </c>
      <c r="I14" s="25" t="s">
        <v>146</v>
      </c>
      <c r="J14" s="25">
        <v>50</v>
      </c>
      <c r="K14" s="25"/>
      <c r="L14" s="25">
        <v>10</v>
      </c>
      <c r="M14" s="25">
        <v>1</v>
      </c>
      <c r="N14" s="28">
        <f>'NK-LK Transf.'!Q12</f>
        <v>4.5578703703703704E-4</v>
      </c>
      <c r="O14" s="28">
        <f>'NK-LK Transf.'!Q14</f>
        <v>6.8981481481481487E-4</v>
      </c>
      <c r="P14" s="28">
        <f>'NK-LK Transf.'!Q13</f>
        <v>9.3472222222222231E-4</v>
      </c>
      <c r="Q14" s="28">
        <f>'NK-LK Transf.'!Q15</f>
        <v>7.6493055555555559E-4</v>
      </c>
      <c r="R14" s="28">
        <f>'NK-LK Transf.'!Q17</f>
        <v>1.8079861111111111E-3</v>
      </c>
      <c r="S14" s="28">
        <f>'NK-LK Transf.'!Q16</f>
        <v>1.637962962962963E-3</v>
      </c>
      <c r="T14" s="140"/>
      <c r="U14" s="140"/>
      <c r="V14" s="140"/>
      <c r="W14" s="140"/>
      <c r="X14" s="140" t="s">
        <v>272</v>
      </c>
      <c r="Y14" s="140" t="s">
        <v>271</v>
      </c>
      <c r="Z14" s="140" t="s">
        <v>274</v>
      </c>
      <c r="AA14" s="140"/>
      <c r="AB14" s="140"/>
      <c r="AC14" s="140"/>
      <c r="AD14" s="140"/>
      <c r="AE14" s="140" t="s">
        <v>275</v>
      </c>
      <c r="AF14" s="140" t="s">
        <v>275</v>
      </c>
    </row>
    <row r="15" spans="1:32" x14ac:dyDescent="0.45">
      <c r="A15" s="25" t="s">
        <v>222</v>
      </c>
      <c r="B15" s="25" t="s">
        <v>130</v>
      </c>
      <c r="C15" s="25">
        <v>17</v>
      </c>
      <c r="D15" s="25">
        <v>17</v>
      </c>
      <c r="E15" s="27">
        <v>45992</v>
      </c>
      <c r="F15" s="27">
        <v>46388</v>
      </c>
      <c r="G15" s="27">
        <v>45992</v>
      </c>
      <c r="H15" s="25" t="s">
        <v>144</v>
      </c>
      <c r="I15" s="25" t="s">
        <v>146</v>
      </c>
      <c r="J15" s="25">
        <v>50</v>
      </c>
      <c r="K15" s="25"/>
      <c r="L15" s="25">
        <v>10</v>
      </c>
      <c r="M15" s="25">
        <v>1</v>
      </c>
      <c r="N15" s="28">
        <f>'NK-LK Transf.'!P12</f>
        <v>4.6701388888888888E-4</v>
      </c>
      <c r="O15" s="28">
        <f>'NK-LK Transf.'!P14</f>
        <v>7.0370370370370367E-4</v>
      </c>
      <c r="P15" s="28">
        <f>'NK-LK Transf.'!P13</f>
        <v>9.6921296296296295E-4</v>
      </c>
      <c r="Q15" s="28">
        <f>'NK-LK Transf.'!P15</f>
        <v>7.8194444444444448E-4</v>
      </c>
      <c r="R15" s="28">
        <f>'NK-LK Transf.'!P17</f>
        <v>1.8486111111111112E-3</v>
      </c>
      <c r="S15" s="28">
        <f>'NK-LK Transf.'!P16</f>
        <v>1.6628472222222225E-3</v>
      </c>
      <c r="T15" s="140"/>
      <c r="U15" s="140" t="s">
        <v>270</v>
      </c>
      <c r="V15" s="140"/>
      <c r="W15" s="140"/>
      <c r="X15" s="140" t="s">
        <v>272</v>
      </c>
      <c r="Y15" s="140" t="s">
        <v>271</v>
      </c>
      <c r="Z15" s="140" t="s">
        <v>274</v>
      </c>
      <c r="AA15" s="140"/>
      <c r="AB15" s="140"/>
      <c r="AC15" s="140"/>
      <c r="AD15" s="140"/>
      <c r="AE15" s="140" t="s">
        <v>275</v>
      </c>
      <c r="AF15" s="140" t="s">
        <v>275</v>
      </c>
    </row>
    <row r="16" spans="1:32" x14ac:dyDescent="0.45">
      <c r="A16" s="25" t="s">
        <v>222</v>
      </c>
      <c r="B16" s="25" t="s">
        <v>130</v>
      </c>
      <c r="C16" s="25">
        <v>14</v>
      </c>
      <c r="D16" s="25">
        <v>16</v>
      </c>
      <c r="E16" s="27">
        <v>45992</v>
      </c>
      <c r="F16" s="27">
        <v>46388</v>
      </c>
      <c r="G16" s="27">
        <v>45992</v>
      </c>
      <c r="H16" s="25" t="s">
        <v>144</v>
      </c>
      <c r="I16" s="25" t="s">
        <v>146</v>
      </c>
      <c r="J16" s="25">
        <v>50</v>
      </c>
      <c r="K16" s="25"/>
      <c r="L16" s="25">
        <v>10</v>
      </c>
      <c r="M16" s="25">
        <v>1</v>
      </c>
      <c r="N16" s="28">
        <f>'NK-LK Transf.'!O12</f>
        <v>4.7743055555555554E-4</v>
      </c>
      <c r="O16" s="28">
        <f>'NK-LK Transf.'!O14</f>
        <v>7.1643518518518519E-4</v>
      </c>
      <c r="P16" s="28">
        <f>'NK-LK Transf.'!O13</f>
        <v>1.0035879629629631E-3</v>
      </c>
      <c r="Q16" s="28">
        <f>'NK-LK Transf.'!O15</f>
        <v>7.9768518518518524E-4</v>
      </c>
      <c r="R16" s="28">
        <f>'NK-LK Transf.'!O17</f>
        <v>1.8891203703703704E-3</v>
      </c>
      <c r="S16" s="28">
        <f>'NK-LK Transf.'!O16</f>
        <v>1.6878472222222221E-3</v>
      </c>
      <c r="T16" s="140"/>
      <c r="U16" s="140" t="s">
        <v>270</v>
      </c>
      <c r="V16" s="140"/>
      <c r="W16" s="140"/>
      <c r="X16" s="140" t="s">
        <v>272</v>
      </c>
      <c r="Y16" s="140" t="s">
        <v>271</v>
      </c>
      <c r="Z16" s="140" t="s">
        <v>274</v>
      </c>
      <c r="AA16" s="140"/>
      <c r="AB16" s="140"/>
      <c r="AC16" s="140"/>
      <c r="AD16" s="140"/>
      <c r="AE16" s="140" t="s">
        <v>275</v>
      </c>
      <c r="AF16" s="140" t="s">
        <v>275</v>
      </c>
    </row>
    <row r="17" spans="1:32" x14ac:dyDescent="0.45">
      <c r="A17" s="25" t="s">
        <v>220</v>
      </c>
      <c r="B17" s="25" t="s">
        <v>148</v>
      </c>
      <c r="C17" s="25">
        <v>18</v>
      </c>
      <c r="D17" s="25">
        <v>18</v>
      </c>
      <c r="E17" s="27">
        <v>45992</v>
      </c>
      <c r="F17" s="27">
        <v>46388</v>
      </c>
      <c r="G17" s="27">
        <v>45992</v>
      </c>
      <c r="H17" s="25" t="s">
        <v>144</v>
      </c>
      <c r="I17" s="25" t="s">
        <v>146</v>
      </c>
      <c r="J17" s="25">
        <v>50</v>
      </c>
      <c r="K17" s="25"/>
      <c r="L17" s="25">
        <v>10</v>
      </c>
      <c r="M17" s="25">
        <v>1</v>
      </c>
      <c r="N17" s="28">
        <f>'NK-LK Transf.'!E12</f>
        <v>3.7326388888888891E-4</v>
      </c>
      <c r="O17" s="28">
        <f>'NK-LK Transf.'!E14</f>
        <v>5.894675925925926E-4</v>
      </c>
      <c r="P17" s="28">
        <f>'NK-LK Transf.'!E13</f>
        <v>8.0104166666666681E-4</v>
      </c>
      <c r="Q17" s="28">
        <f>'NK-LK Transf.'!E15</f>
        <v>6.6817129629629626E-4</v>
      </c>
      <c r="R17" s="28">
        <f>'NK-LK Transf.'!E17</f>
        <v>1.662152777777778E-3</v>
      </c>
      <c r="S17" s="28">
        <f>'NK-LK Transf.'!E16</f>
        <v>1.5181712962962961E-3</v>
      </c>
      <c r="T17" s="140"/>
      <c r="U17" s="140"/>
      <c r="V17" s="140"/>
      <c r="W17" s="140"/>
      <c r="X17" s="140" t="s">
        <v>272</v>
      </c>
      <c r="Y17" s="140" t="s">
        <v>271</v>
      </c>
      <c r="Z17" s="140" t="s">
        <v>274</v>
      </c>
      <c r="AA17" s="140"/>
      <c r="AB17" s="140"/>
      <c r="AC17" s="140"/>
      <c r="AD17" s="140"/>
      <c r="AE17" s="140" t="s">
        <v>275</v>
      </c>
      <c r="AF17" s="140" t="s">
        <v>275</v>
      </c>
    </row>
    <row r="18" spans="1:32" x14ac:dyDescent="0.45">
      <c r="A18" s="25" t="s">
        <v>220</v>
      </c>
      <c r="B18" s="25" t="s">
        <v>148</v>
      </c>
      <c r="C18" s="25">
        <v>17</v>
      </c>
      <c r="D18" s="25">
        <v>17</v>
      </c>
      <c r="E18" s="27">
        <v>45992</v>
      </c>
      <c r="F18" s="27">
        <v>46388</v>
      </c>
      <c r="G18" s="27">
        <v>45992</v>
      </c>
      <c r="H18" s="25" t="s">
        <v>144</v>
      </c>
      <c r="I18" s="25" t="s">
        <v>146</v>
      </c>
      <c r="J18" s="25">
        <v>50</v>
      </c>
      <c r="K18" s="25"/>
      <c r="L18" s="25">
        <v>10</v>
      </c>
      <c r="M18" s="25">
        <v>1</v>
      </c>
      <c r="N18" s="28">
        <f>'NK-LK Transf.'!D12</f>
        <v>3.8495370370370371E-4</v>
      </c>
      <c r="O18" s="28">
        <f>'NK-LK Transf.'!D14</f>
        <v>6.0636574074074076E-4</v>
      </c>
      <c r="P18" s="28">
        <f>'NK-LK Transf.'!D13</f>
        <v>8.3333333333333339E-4</v>
      </c>
      <c r="Q18" s="28">
        <f>'NK-LK Transf.'!D15</f>
        <v>6.9386574074074077E-4</v>
      </c>
      <c r="R18" s="28">
        <f>'NK-LK Transf.'!D17</f>
        <v>1.7156249999999999E-3</v>
      </c>
      <c r="S18" s="28">
        <f>'NK-LK Transf.'!D16</f>
        <v>1.5644675925925923E-3</v>
      </c>
      <c r="T18" s="140"/>
      <c r="U18" s="140" t="s">
        <v>270</v>
      </c>
      <c r="V18" s="140"/>
      <c r="W18" s="140"/>
      <c r="X18" s="140" t="s">
        <v>272</v>
      </c>
      <c r="Y18" s="140" t="s">
        <v>271</v>
      </c>
      <c r="Z18" s="140" t="s">
        <v>274</v>
      </c>
      <c r="AA18" s="140"/>
      <c r="AB18" s="140"/>
      <c r="AC18" s="140"/>
      <c r="AD18" s="140"/>
      <c r="AE18" s="140" t="s">
        <v>275</v>
      </c>
      <c r="AF18" s="140" t="s">
        <v>275</v>
      </c>
    </row>
    <row r="19" spans="1:32" x14ac:dyDescent="0.45">
      <c r="A19" s="25" t="s">
        <v>220</v>
      </c>
      <c r="B19" s="25" t="s">
        <v>148</v>
      </c>
      <c r="C19" s="25">
        <v>14</v>
      </c>
      <c r="D19" s="25">
        <v>16</v>
      </c>
      <c r="E19" s="27">
        <v>45992</v>
      </c>
      <c r="F19" s="27">
        <v>46388</v>
      </c>
      <c r="G19" s="27">
        <v>45992</v>
      </c>
      <c r="H19" s="25" t="s">
        <v>144</v>
      </c>
      <c r="I19" s="25" t="s">
        <v>146</v>
      </c>
      <c r="J19" s="25">
        <v>50</v>
      </c>
      <c r="K19" s="25"/>
      <c r="L19" s="25">
        <v>10</v>
      </c>
      <c r="M19" s="25">
        <v>1</v>
      </c>
      <c r="N19" s="28">
        <f>'NK-LK Transf.'!C12</f>
        <v>3.9282407407407403E-4</v>
      </c>
      <c r="O19" s="28">
        <f>'NK-LK Transf.'!C14</f>
        <v>6.1793981481481487E-4</v>
      </c>
      <c r="P19" s="28">
        <f>'NK-LK Transf.'!C13</f>
        <v>8.4803240740740737E-4</v>
      </c>
      <c r="Q19" s="28">
        <f>'NK-LK Transf.'!C15</f>
        <v>7.1145833333333337E-4</v>
      </c>
      <c r="R19" s="28">
        <f>'NK-LK Transf.'!C17</f>
        <v>1.7520833333333334E-3</v>
      </c>
      <c r="S19" s="28">
        <f>'NK-LK Transf.'!C16</f>
        <v>1.5960648148148149E-3</v>
      </c>
      <c r="T19" s="140"/>
      <c r="U19" s="140" t="s">
        <v>270</v>
      </c>
      <c r="V19" s="140"/>
      <c r="W19" s="140"/>
      <c r="X19" s="140" t="s">
        <v>272</v>
      </c>
      <c r="Y19" s="140" t="s">
        <v>271</v>
      </c>
      <c r="Z19" s="140" t="s">
        <v>274</v>
      </c>
      <c r="AA19" s="140"/>
      <c r="AB19" s="140"/>
      <c r="AC19" s="140"/>
      <c r="AD19" s="140"/>
      <c r="AE19" s="140" t="s">
        <v>275</v>
      </c>
      <c r="AF19" s="140" t="s">
        <v>275</v>
      </c>
    </row>
    <row r="20" spans="1:32" x14ac:dyDescent="0.45">
      <c r="A20" s="25" t="s">
        <v>243</v>
      </c>
      <c r="B20" s="25" t="s">
        <v>130</v>
      </c>
      <c r="C20" s="25">
        <v>23</v>
      </c>
      <c r="D20" s="25">
        <v>24</v>
      </c>
      <c r="E20" s="27">
        <v>45992</v>
      </c>
      <c r="F20" s="27">
        <v>46388</v>
      </c>
      <c r="G20" s="27">
        <v>45992</v>
      </c>
      <c r="H20" s="25" t="s">
        <v>144</v>
      </c>
      <c r="I20" s="25" t="s">
        <v>146</v>
      </c>
      <c r="J20" s="25">
        <v>50</v>
      </c>
      <c r="K20" s="25"/>
      <c r="L20" s="25">
        <v>10</v>
      </c>
      <c r="M20" s="25">
        <v>1</v>
      </c>
      <c r="N20" s="28">
        <f>'NK-LK Transf.'!V12</f>
        <v>4.054398148148148E-4</v>
      </c>
      <c r="O20" s="28">
        <f>'NK-LK Transf.'!V14</f>
        <v>6.2719907407407407E-4</v>
      </c>
      <c r="P20" s="28">
        <f>'NK-LK Transf.'!V13</f>
        <v>8.2974537037037034E-4</v>
      </c>
      <c r="Q20" s="28">
        <f>'NK-LK Transf.'!V15</f>
        <v>6.8842592592592588E-4</v>
      </c>
      <c r="R20" s="28">
        <f>'NK-LK Transf.'!V17</f>
        <v>1.6810185185185185E-3</v>
      </c>
      <c r="S20" s="28">
        <f>'NK-LK Transf.'!V16</f>
        <v>1.558912037037037E-3</v>
      </c>
      <c r="T20" s="140"/>
      <c r="U20" s="140"/>
      <c r="V20" s="140"/>
      <c r="W20" s="140"/>
      <c r="X20" s="140" t="s">
        <v>272</v>
      </c>
      <c r="Y20" s="140" t="s">
        <v>271</v>
      </c>
      <c r="Z20" s="140"/>
      <c r="AA20" s="140" t="s">
        <v>273</v>
      </c>
      <c r="AB20" s="140" t="s">
        <v>270</v>
      </c>
      <c r="AC20" s="140"/>
      <c r="AD20" s="140" t="s">
        <v>267</v>
      </c>
      <c r="AE20" s="140"/>
      <c r="AF20" s="140"/>
    </row>
    <row r="21" spans="1:32" x14ac:dyDescent="0.45">
      <c r="A21" s="25" t="s">
        <v>243</v>
      </c>
      <c r="B21" s="25" t="s">
        <v>130</v>
      </c>
      <c r="C21" s="25">
        <v>20</v>
      </c>
      <c r="D21" s="25">
        <v>22</v>
      </c>
      <c r="E21" s="27">
        <v>45992</v>
      </c>
      <c r="F21" s="27">
        <v>46388</v>
      </c>
      <c r="G21" s="27">
        <v>45992</v>
      </c>
      <c r="H21" s="25" t="s">
        <v>144</v>
      </c>
      <c r="I21" s="25" t="s">
        <v>146</v>
      </c>
      <c r="J21" s="25">
        <v>50</v>
      </c>
      <c r="K21" s="25"/>
      <c r="L21" s="25">
        <v>10</v>
      </c>
      <c r="M21" s="25">
        <v>1</v>
      </c>
      <c r="N21" s="28">
        <f>'NK-LK Transf.'!U12</f>
        <v>4.2048611111111111E-4</v>
      </c>
      <c r="O21" s="28">
        <f>'NK-LK Transf.'!U14</f>
        <v>6.4594907407407407E-4</v>
      </c>
      <c r="P21" s="28">
        <f>'NK-LK Transf.'!U13</f>
        <v>8.5960648148148148E-4</v>
      </c>
      <c r="Q21" s="28">
        <f>'NK-LK Transf.'!U15</f>
        <v>7.1134259259259263E-4</v>
      </c>
      <c r="R21" s="28">
        <f>'NK-LK Transf.'!U17</f>
        <v>1.7174768518518518E-3</v>
      </c>
      <c r="S21" s="28">
        <f>'NK-LK Transf.'!U16</f>
        <v>1.5817129629629629E-3</v>
      </c>
      <c r="T21" s="140"/>
      <c r="U21" s="140"/>
      <c r="V21" s="140"/>
      <c r="W21" s="140"/>
      <c r="X21" s="140" t="s">
        <v>272</v>
      </c>
      <c r="Y21" s="140" t="s">
        <v>271</v>
      </c>
      <c r="Z21" s="140"/>
      <c r="AA21" s="140" t="s">
        <v>273</v>
      </c>
      <c r="AB21" s="140" t="s">
        <v>270</v>
      </c>
      <c r="AC21" s="140"/>
      <c r="AD21" s="140" t="s">
        <v>267</v>
      </c>
      <c r="AE21" s="140"/>
      <c r="AF21" s="140"/>
    </row>
    <row r="22" spans="1:32" x14ac:dyDescent="0.45">
      <c r="A22" s="25" t="s">
        <v>243</v>
      </c>
      <c r="B22" s="25" t="s">
        <v>130</v>
      </c>
      <c r="C22" s="25">
        <v>19</v>
      </c>
      <c r="D22" s="25">
        <v>19</v>
      </c>
      <c r="E22" s="27">
        <v>45992</v>
      </c>
      <c r="F22" s="27">
        <v>46388</v>
      </c>
      <c r="G22" s="27">
        <v>45992</v>
      </c>
      <c r="H22" s="25" t="s">
        <v>144</v>
      </c>
      <c r="I22" s="25" t="s">
        <v>146</v>
      </c>
      <c r="J22" s="25">
        <v>50</v>
      </c>
      <c r="K22" s="25"/>
      <c r="L22" s="25">
        <v>10</v>
      </c>
      <c r="M22" s="25">
        <v>1</v>
      </c>
      <c r="N22" s="28">
        <f>'NK-LK Transf.'!T12</f>
        <v>4.4097222222222226E-4</v>
      </c>
      <c r="O22" s="28">
        <f>'NK-LK Transf.'!T14</f>
        <v>6.7164351851851857E-4</v>
      </c>
      <c r="P22" s="28">
        <f>'NK-LK Transf.'!T13</f>
        <v>9.0034722222222209E-4</v>
      </c>
      <c r="Q22" s="28">
        <f>'NK-LK Transf.'!T15</f>
        <v>7.4259259259259254E-4</v>
      </c>
      <c r="R22" s="28">
        <f>'NK-LK Transf.'!T17</f>
        <v>1.767361111111111E-3</v>
      </c>
      <c r="S22" s="28">
        <f>'NK-LK Transf.'!T16</f>
        <v>1.6129629629629632E-3</v>
      </c>
      <c r="T22" s="140"/>
      <c r="U22" s="140" t="s">
        <v>270</v>
      </c>
      <c r="V22" s="140"/>
      <c r="W22" s="140"/>
      <c r="X22" s="140" t="s">
        <v>270</v>
      </c>
      <c r="Y22" s="140" t="s">
        <v>269</v>
      </c>
      <c r="Z22" s="140"/>
      <c r="AA22" s="140" t="s">
        <v>273</v>
      </c>
      <c r="AB22" s="140" t="s">
        <v>274</v>
      </c>
      <c r="AC22" s="140"/>
      <c r="AD22" s="140"/>
      <c r="AE22" s="140" t="s">
        <v>274</v>
      </c>
      <c r="AF22" s="140" t="s">
        <v>274</v>
      </c>
    </row>
    <row r="23" spans="1:32" x14ac:dyDescent="0.45">
      <c r="A23" s="25" t="s">
        <v>243</v>
      </c>
      <c r="B23" s="25" t="s">
        <v>130</v>
      </c>
      <c r="C23" s="25">
        <v>18</v>
      </c>
      <c r="D23" s="25">
        <v>18</v>
      </c>
      <c r="E23" s="27">
        <v>45992</v>
      </c>
      <c r="F23" s="27">
        <v>46388</v>
      </c>
      <c r="G23" s="27">
        <v>45992</v>
      </c>
      <c r="H23" s="25" t="s">
        <v>144</v>
      </c>
      <c r="I23" s="25" t="s">
        <v>146</v>
      </c>
      <c r="J23" s="25">
        <v>50</v>
      </c>
      <c r="K23" s="25"/>
      <c r="L23" s="25">
        <v>10</v>
      </c>
      <c r="M23" s="25">
        <v>1</v>
      </c>
      <c r="N23" s="28">
        <f>'NK-LK Transf.'!S12</f>
        <v>4.5138888888888887E-4</v>
      </c>
      <c r="O23" s="28">
        <f>'NK-LK Transf.'!S14</f>
        <v>6.8449074074074072E-4</v>
      </c>
      <c r="P23" s="28">
        <f>'NK-LK Transf.'!S13</f>
        <v>9.2094907407407403E-4</v>
      </c>
      <c r="Q23" s="28">
        <f>'NK-LK Transf.'!S15</f>
        <v>7.583333333333333E-4</v>
      </c>
      <c r="R23" s="28">
        <f>'NK-LK Transf.'!S17</f>
        <v>1.7916666666666669E-3</v>
      </c>
      <c r="S23" s="28">
        <f>'NK-LK Transf.'!S16</f>
        <v>1.6278935185185185E-3</v>
      </c>
      <c r="T23" s="140"/>
      <c r="U23" s="140" t="s">
        <v>270</v>
      </c>
      <c r="V23" s="140"/>
      <c r="W23" s="140"/>
      <c r="X23" s="140" t="s">
        <v>270</v>
      </c>
      <c r="Y23" s="140" t="s">
        <v>269</v>
      </c>
      <c r="Z23" s="140"/>
      <c r="AA23" s="140" t="s">
        <v>273</v>
      </c>
      <c r="AB23" s="140" t="s">
        <v>274</v>
      </c>
      <c r="AC23" s="140"/>
      <c r="AD23" s="140"/>
      <c r="AE23" s="140" t="s">
        <v>274</v>
      </c>
      <c r="AF23" s="140" t="s">
        <v>274</v>
      </c>
    </row>
    <row r="24" spans="1:32" x14ac:dyDescent="0.45">
      <c r="A24" s="25" t="s">
        <v>243</v>
      </c>
      <c r="B24" s="25" t="s">
        <v>130</v>
      </c>
      <c r="C24" s="25">
        <v>14</v>
      </c>
      <c r="D24" s="25">
        <v>17</v>
      </c>
      <c r="E24" s="27">
        <v>45992</v>
      </c>
      <c r="F24" s="27">
        <v>46388</v>
      </c>
      <c r="G24" s="27">
        <v>45992</v>
      </c>
      <c r="H24" s="25" t="s">
        <v>144</v>
      </c>
      <c r="I24" s="25" t="s">
        <v>146</v>
      </c>
      <c r="J24" s="25">
        <v>50</v>
      </c>
      <c r="K24" s="25"/>
      <c r="L24" s="25">
        <v>10</v>
      </c>
      <c r="M24" s="25">
        <v>1</v>
      </c>
      <c r="N24" s="28">
        <f>'NK-LK Transf.'!R12</f>
        <v>4.586805555555556E-4</v>
      </c>
      <c r="O24" s="28">
        <f>'NK-LK Transf.'!R14</f>
        <v>6.9837962962962963E-4</v>
      </c>
      <c r="P24" s="28">
        <f>'NK-LK Transf.'!R13</f>
        <v>9.4340277777777782E-4</v>
      </c>
      <c r="Q24" s="28">
        <f>'NK-LK Transf.'!R15</f>
        <v>7.7534722222222219E-4</v>
      </c>
      <c r="R24" s="28">
        <f>'NK-LK Transf.'!R17</f>
        <v>1.8180555555555554E-3</v>
      </c>
      <c r="S24" s="28">
        <f>'NK-LK Transf.'!R16</f>
        <v>1.644212962962963E-3</v>
      </c>
      <c r="T24" s="140"/>
      <c r="U24" s="140"/>
      <c r="V24" s="140"/>
      <c r="W24" s="140"/>
      <c r="X24" s="140" t="s">
        <v>270</v>
      </c>
      <c r="Y24" s="140" t="s">
        <v>269</v>
      </c>
      <c r="Z24" s="140"/>
      <c r="AA24" s="140" t="s">
        <v>273</v>
      </c>
      <c r="AB24" s="140" t="s">
        <v>274</v>
      </c>
      <c r="AC24" s="140"/>
      <c r="AD24" s="140"/>
      <c r="AE24" s="140" t="s">
        <v>274</v>
      </c>
      <c r="AF24" s="140" t="s">
        <v>274</v>
      </c>
    </row>
    <row r="25" spans="1:32" x14ac:dyDescent="0.45">
      <c r="A25" s="25" t="s">
        <v>244</v>
      </c>
      <c r="B25" s="25" t="s">
        <v>148</v>
      </c>
      <c r="C25" s="25">
        <v>23</v>
      </c>
      <c r="D25" s="25">
        <v>24</v>
      </c>
      <c r="E25" s="27">
        <v>45992</v>
      </c>
      <c r="F25" s="27">
        <v>46388</v>
      </c>
      <c r="G25" s="27">
        <v>45992</v>
      </c>
      <c r="H25" s="25" t="s">
        <v>144</v>
      </c>
      <c r="I25" s="25" t="s">
        <v>146</v>
      </c>
      <c r="J25" s="25">
        <v>50</v>
      </c>
      <c r="K25" s="25"/>
      <c r="L25" s="25">
        <v>10</v>
      </c>
      <c r="M25" s="25">
        <v>1</v>
      </c>
      <c r="N25" s="28">
        <f>'NK-LK Transf.'!J12</f>
        <v>3.3900462962962964E-4</v>
      </c>
      <c r="O25" s="28">
        <f>'NK-LK Transf.'!J14</f>
        <v>5.3935185185185184E-4</v>
      </c>
      <c r="P25" s="28">
        <f>'NK-LK Transf.'!J13</f>
        <v>7.1921296296296295E-4</v>
      </c>
      <c r="Q25" s="28">
        <f>'NK-LK Transf.'!J15</f>
        <v>5.9317129629629629E-4</v>
      </c>
      <c r="R25" s="28">
        <f>'NK-LK Transf.'!J17</f>
        <v>1.5422453703703705E-3</v>
      </c>
      <c r="S25" s="28">
        <f>'NK-LK Transf.'!J16</f>
        <v>1.3815972222222222E-3</v>
      </c>
      <c r="T25" s="140"/>
      <c r="U25" s="140"/>
      <c r="V25" s="140"/>
      <c r="W25" s="140"/>
      <c r="X25" s="140" t="s">
        <v>272</v>
      </c>
      <c r="Y25" s="140" t="s">
        <v>271</v>
      </c>
      <c r="Z25" s="140"/>
      <c r="AA25" s="140" t="s">
        <v>273</v>
      </c>
      <c r="AB25" s="140" t="s">
        <v>270</v>
      </c>
      <c r="AC25" s="140"/>
      <c r="AD25" s="140" t="s">
        <v>267</v>
      </c>
      <c r="AE25" s="140"/>
      <c r="AF25" s="140"/>
    </row>
    <row r="26" spans="1:32" x14ac:dyDescent="0.45">
      <c r="A26" s="25" t="s">
        <v>244</v>
      </c>
      <c r="B26" s="25" t="s">
        <v>148</v>
      </c>
      <c r="C26" s="25">
        <v>20</v>
      </c>
      <c r="D26" s="25">
        <v>22</v>
      </c>
      <c r="E26" s="27">
        <v>45992</v>
      </c>
      <c r="F26" s="27">
        <v>46388</v>
      </c>
      <c r="G26" s="27">
        <v>45992</v>
      </c>
      <c r="H26" s="25" t="s">
        <v>144</v>
      </c>
      <c r="I26" s="25" t="s">
        <v>146</v>
      </c>
      <c r="J26" s="25">
        <v>50</v>
      </c>
      <c r="K26" s="25"/>
      <c r="L26" s="25">
        <v>10</v>
      </c>
      <c r="M26" s="25">
        <v>1</v>
      </c>
      <c r="N26" s="28">
        <f>'NK-LK Transf.'!I12</f>
        <v>3.5081018518518518E-4</v>
      </c>
      <c r="O26" s="28">
        <f>'NK-LK Transf.'!I14</f>
        <v>5.5659722222222222E-4</v>
      </c>
      <c r="P26" s="28">
        <f>'NK-LK Transf.'!I13</f>
        <v>7.4733796296296289E-4</v>
      </c>
      <c r="Q26" s="28">
        <f>'NK-LK Transf.'!I15</f>
        <v>6.1886574074074068E-4</v>
      </c>
      <c r="R26" s="28">
        <f>'NK-LK Transf.'!I17</f>
        <v>1.590625E-3</v>
      </c>
      <c r="S26" s="28">
        <f>'NK-LK Transf.'!I16</f>
        <v>1.4285879629629631E-3</v>
      </c>
      <c r="T26" s="140"/>
      <c r="U26" s="140"/>
      <c r="V26" s="140"/>
      <c r="W26" s="140"/>
      <c r="X26" s="140" t="s">
        <v>272</v>
      </c>
      <c r="Y26" s="140" t="s">
        <v>271</v>
      </c>
      <c r="Z26" s="140"/>
      <c r="AA26" s="140" t="s">
        <v>273</v>
      </c>
      <c r="AB26" s="140" t="s">
        <v>270</v>
      </c>
      <c r="AC26" s="140"/>
      <c r="AD26" s="140" t="s">
        <v>267</v>
      </c>
      <c r="AE26" s="140"/>
      <c r="AF26" s="140"/>
    </row>
    <row r="27" spans="1:32" x14ac:dyDescent="0.45">
      <c r="A27" s="25" t="s">
        <v>244</v>
      </c>
      <c r="B27" s="25" t="s">
        <v>148</v>
      </c>
      <c r="C27" s="25">
        <v>19</v>
      </c>
      <c r="D27" s="25">
        <v>19</v>
      </c>
      <c r="E27" s="27">
        <v>45992</v>
      </c>
      <c r="F27" s="27">
        <v>46388</v>
      </c>
      <c r="G27" s="27">
        <v>45992</v>
      </c>
      <c r="H27" s="25" t="s">
        <v>144</v>
      </c>
      <c r="I27" s="25" t="s">
        <v>146</v>
      </c>
      <c r="J27" s="25">
        <v>50</v>
      </c>
      <c r="K27" s="25"/>
      <c r="L27" s="25">
        <v>10</v>
      </c>
      <c r="M27" s="25">
        <v>1</v>
      </c>
      <c r="N27" s="28">
        <f>'NK-LK Transf.'!H12</f>
        <v>3.6111111111111109E-4</v>
      </c>
      <c r="O27" s="28">
        <f>'NK-LK Transf.'!H14</f>
        <v>5.7175925925925927E-4</v>
      </c>
      <c r="P27" s="28">
        <f>'NK-LK Transf.'!H13</f>
        <v>7.7187499999999999E-4</v>
      </c>
      <c r="Q27" s="28">
        <f>'NK-LK Transf.'!H15</f>
        <v>6.4131944444444436E-4</v>
      </c>
      <c r="R27" s="28">
        <f>'NK-LK Transf.'!H17</f>
        <v>1.60625E-3</v>
      </c>
      <c r="S27" s="28">
        <f>'NK-LK Transf.'!H16</f>
        <v>1.4697916666666666E-3</v>
      </c>
      <c r="T27" s="140"/>
      <c r="U27" s="140" t="s">
        <v>270</v>
      </c>
      <c r="V27" s="140"/>
      <c r="W27" s="140"/>
      <c r="X27" s="140" t="s">
        <v>270</v>
      </c>
      <c r="Y27" s="140" t="s">
        <v>269</v>
      </c>
      <c r="Z27" s="140"/>
      <c r="AA27" s="140" t="s">
        <v>273</v>
      </c>
      <c r="AB27" s="140" t="s">
        <v>274</v>
      </c>
      <c r="AC27" s="140"/>
      <c r="AD27" s="140"/>
      <c r="AE27" s="140" t="s">
        <v>274</v>
      </c>
      <c r="AF27" s="140" t="s">
        <v>274</v>
      </c>
    </row>
    <row r="28" spans="1:32" x14ac:dyDescent="0.45">
      <c r="A28" s="25" t="s">
        <v>244</v>
      </c>
      <c r="B28" s="25" t="s">
        <v>148</v>
      </c>
      <c r="C28" s="25">
        <v>18</v>
      </c>
      <c r="D28" s="25">
        <v>18</v>
      </c>
      <c r="E28" s="27">
        <v>45992</v>
      </c>
      <c r="F28" s="27">
        <v>46388</v>
      </c>
      <c r="G28" s="27">
        <v>45992</v>
      </c>
      <c r="H28" s="25" t="s">
        <v>144</v>
      </c>
      <c r="I28" s="25" t="s">
        <v>146</v>
      </c>
      <c r="J28" s="25">
        <v>50</v>
      </c>
      <c r="K28" s="25"/>
      <c r="L28" s="25">
        <v>10</v>
      </c>
      <c r="M28" s="25">
        <v>1</v>
      </c>
      <c r="N28" s="28">
        <f>'NK-LK Transf.'!G12</f>
        <v>3.6747685185185185E-4</v>
      </c>
      <c r="O28" s="28">
        <f>'NK-LK Transf.'!G14</f>
        <v>5.8101851851851858E-4</v>
      </c>
      <c r="P28" s="28">
        <f>'NK-LK Transf.'!G13</f>
        <v>7.8715277777777779E-4</v>
      </c>
      <c r="Q28" s="28">
        <f>'NK-LK Transf.'!G15</f>
        <v>6.5532407407407401E-4</v>
      </c>
      <c r="R28" s="28">
        <f>'NK-LK Transf.'!G17</f>
        <v>1.6241898148148146E-3</v>
      </c>
      <c r="S28" s="28">
        <f>'NK-LK Transf.'!G16</f>
        <v>1.4950231481481481E-3</v>
      </c>
      <c r="T28" s="140"/>
      <c r="U28" s="140" t="s">
        <v>270</v>
      </c>
      <c r="V28" s="140"/>
      <c r="W28" s="140"/>
      <c r="X28" s="140" t="s">
        <v>270</v>
      </c>
      <c r="Y28" s="140" t="s">
        <v>269</v>
      </c>
      <c r="Z28" s="140"/>
      <c r="AA28" s="140" t="s">
        <v>273</v>
      </c>
      <c r="AB28" s="140" t="s">
        <v>274</v>
      </c>
      <c r="AC28" s="140"/>
      <c r="AD28" s="140"/>
      <c r="AE28" s="140" t="s">
        <v>274</v>
      </c>
      <c r="AF28" s="140" t="s">
        <v>274</v>
      </c>
    </row>
    <row r="29" spans="1:32" x14ac:dyDescent="0.45">
      <c r="A29" s="25" t="s">
        <v>244</v>
      </c>
      <c r="B29" s="25" t="s">
        <v>148</v>
      </c>
      <c r="C29" s="25">
        <v>14</v>
      </c>
      <c r="D29" s="25">
        <v>17</v>
      </c>
      <c r="E29" s="27">
        <v>45992</v>
      </c>
      <c r="F29" s="27">
        <v>46388</v>
      </c>
      <c r="G29" s="27">
        <v>45992</v>
      </c>
      <c r="H29" s="25" t="s">
        <v>144</v>
      </c>
      <c r="I29" s="25" t="s">
        <v>146</v>
      </c>
      <c r="J29" s="25">
        <v>50</v>
      </c>
      <c r="K29" s="25"/>
      <c r="L29" s="25">
        <v>10</v>
      </c>
      <c r="M29" s="25">
        <v>1</v>
      </c>
      <c r="N29" s="28">
        <f>'NK-LK Transf.'!F12</f>
        <v>3.7430555555555562E-4</v>
      </c>
      <c r="O29" s="28">
        <f>'NK-LK Transf.'!F14</f>
        <v>5.9097222222222222E-4</v>
      </c>
      <c r="P29" s="28">
        <f>'NK-LK Transf.'!F13</f>
        <v>8.0358796296296309E-4</v>
      </c>
      <c r="Q29" s="28">
        <f>'NK-LK Transf.'!F15</f>
        <v>6.7048611111111107E-4</v>
      </c>
      <c r="R29" s="28">
        <f>'NK-LK Transf.'!F17</f>
        <v>1.6435185185185185E-3</v>
      </c>
      <c r="S29" s="28">
        <f>'NK-LK Transf.'!F16</f>
        <v>1.522337962962963E-3</v>
      </c>
      <c r="T29" s="140"/>
      <c r="U29" s="140"/>
      <c r="V29" s="140"/>
      <c r="W29" s="140"/>
      <c r="X29" s="140" t="s">
        <v>270</v>
      </c>
      <c r="Y29" s="140" t="s">
        <v>269</v>
      </c>
      <c r="Z29" s="140"/>
      <c r="AA29" s="140" t="s">
        <v>273</v>
      </c>
      <c r="AB29" s="140" t="s">
        <v>274</v>
      </c>
      <c r="AC29" s="140"/>
      <c r="AD29" s="140"/>
      <c r="AE29" s="140" t="s">
        <v>274</v>
      </c>
      <c r="AF29" s="140" t="s">
        <v>274</v>
      </c>
    </row>
    <row r="30" spans="1:32" x14ac:dyDescent="0.45">
      <c r="A30" s="25" t="s">
        <v>245</v>
      </c>
      <c r="B30" s="25" t="s">
        <v>130</v>
      </c>
      <c r="C30" s="25">
        <v>25</v>
      </c>
      <c r="D30" s="25">
        <v>50</v>
      </c>
      <c r="E30" s="27">
        <v>45992</v>
      </c>
      <c r="F30" s="27">
        <v>46388</v>
      </c>
      <c r="G30" s="27">
        <v>45992</v>
      </c>
      <c r="H30" s="25" t="s">
        <v>144</v>
      </c>
      <c r="I30" s="25" t="s">
        <v>146</v>
      </c>
      <c r="J30" s="25">
        <v>50</v>
      </c>
      <c r="K30" s="25"/>
      <c r="L30" s="25">
        <v>10</v>
      </c>
      <c r="M30" s="25">
        <v>1</v>
      </c>
      <c r="N30" s="28">
        <f>'NK-LK Transf.'!Z12</f>
        <v>4.0069444444444441E-4</v>
      </c>
      <c r="O30" s="28">
        <f>'NK-LK Transf.'!Z14</f>
        <v>6.2129629629629633E-4</v>
      </c>
      <c r="P30" s="28">
        <f>'NK-LK Transf.'!Z13</f>
        <v>8.2037037037037029E-4</v>
      </c>
      <c r="Q30" s="28">
        <f>'NK-LK Transf.'!Z15</f>
        <v>6.8125E-4</v>
      </c>
      <c r="R30" s="28">
        <f>'NK-LK Transf.'!Z17</f>
        <v>1.6695601851851852E-3</v>
      </c>
      <c r="S30" s="28">
        <f>'NK-LK Transf.'!Z16</f>
        <v>1.5517361111111109E-3</v>
      </c>
      <c r="T30" s="140"/>
      <c r="U30" s="140"/>
      <c r="V30" s="140"/>
      <c r="W30" s="140"/>
      <c r="X30" s="140" t="s">
        <v>270</v>
      </c>
      <c r="Y30" s="140" t="s">
        <v>269</v>
      </c>
      <c r="Z30" s="140"/>
      <c r="AA30" s="140" t="s">
        <v>269</v>
      </c>
      <c r="AB30" s="140"/>
      <c r="AC30" s="140" t="s">
        <v>267</v>
      </c>
      <c r="AD30" s="140" t="s">
        <v>268</v>
      </c>
      <c r="AE30" s="140"/>
      <c r="AF30" s="140"/>
    </row>
    <row r="31" spans="1:32" x14ac:dyDescent="0.45">
      <c r="A31" s="25" t="s">
        <v>245</v>
      </c>
      <c r="B31" s="25" t="s">
        <v>130</v>
      </c>
      <c r="C31" s="25">
        <v>22</v>
      </c>
      <c r="D31" s="25">
        <v>24</v>
      </c>
      <c r="E31" s="27">
        <v>45992</v>
      </c>
      <c r="F31" s="27">
        <v>46388</v>
      </c>
      <c r="G31" s="27">
        <v>45992</v>
      </c>
      <c r="H31" s="25" t="s">
        <v>144</v>
      </c>
      <c r="I31" s="25" t="s">
        <v>146</v>
      </c>
      <c r="J31" s="25">
        <v>50</v>
      </c>
      <c r="K31" s="25"/>
      <c r="L31" s="25">
        <v>10</v>
      </c>
      <c r="M31" s="25">
        <v>1</v>
      </c>
      <c r="N31" s="28">
        <f>'NK-LK Transf.'!Y12</f>
        <v>4.0381944444444444E-4</v>
      </c>
      <c r="O31" s="28">
        <f>'NK-LK Transf.'!Y14</f>
        <v>6.2523148148148149E-4</v>
      </c>
      <c r="P31" s="28">
        <f>'NK-LK Transf.'!Y13</f>
        <v>8.2662037037037036E-4</v>
      </c>
      <c r="Q31" s="28">
        <f>'NK-LK Transf.'!Y15</f>
        <v>6.8611111111111108E-4</v>
      </c>
      <c r="R31" s="28">
        <f>'NK-LK Transf.'!Y17</f>
        <v>1.677199074074074E-3</v>
      </c>
      <c r="S31" s="28">
        <f>'NK-LK Transf.'!Y16</f>
        <v>1.5564814814814814E-3</v>
      </c>
      <c r="T31" s="140"/>
      <c r="U31" s="140"/>
      <c r="V31" s="140"/>
      <c r="W31" s="140"/>
      <c r="X31" s="140" t="s">
        <v>270</v>
      </c>
      <c r="Y31" s="140" t="s">
        <v>269</v>
      </c>
      <c r="Z31" s="140"/>
      <c r="AA31" s="140" t="s">
        <v>269</v>
      </c>
      <c r="AB31" s="140"/>
      <c r="AC31" s="140" t="s">
        <v>267</v>
      </c>
      <c r="AD31" s="140" t="s">
        <v>268</v>
      </c>
      <c r="AE31" s="140"/>
      <c r="AF31" s="140"/>
    </row>
    <row r="32" spans="1:32" x14ac:dyDescent="0.45">
      <c r="A32" s="25" t="s">
        <v>245</v>
      </c>
      <c r="B32" s="25" t="s">
        <v>130</v>
      </c>
      <c r="C32" s="25">
        <v>21</v>
      </c>
      <c r="D32" s="25">
        <v>21</v>
      </c>
      <c r="E32" s="27">
        <v>45992</v>
      </c>
      <c r="F32" s="27">
        <v>46388</v>
      </c>
      <c r="G32" s="27">
        <v>45992</v>
      </c>
      <c r="H32" s="25" t="s">
        <v>144</v>
      </c>
      <c r="I32" s="25" t="s">
        <v>146</v>
      </c>
      <c r="J32" s="25">
        <v>50</v>
      </c>
      <c r="K32" s="25"/>
      <c r="L32" s="25">
        <v>10</v>
      </c>
      <c r="M32" s="25">
        <v>1</v>
      </c>
      <c r="N32" s="28">
        <f>'NK-LK Transf.'!X12</f>
        <v>4.1331018518518518E-4</v>
      </c>
      <c r="O32" s="28">
        <f>'NK-LK Transf.'!X14</f>
        <v>6.3703703703703698E-4</v>
      </c>
      <c r="P32" s="28">
        <f>'NK-LK Transf.'!X13</f>
        <v>8.4548611111111109E-4</v>
      </c>
      <c r="Q32" s="28">
        <f>'NK-LK Transf.'!X15</f>
        <v>7.0046296296296295E-4</v>
      </c>
      <c r="R32" s="28">
        <f>'NK-LK Transf.'!X17</f>
        <v>1.7002314814814816E-3</v>
      </c>
      <c r="S32" s="28">
        <f>'NK-LK Transf.'!X16</f>
        <v>1.570949074074074E-3</v>
      </c>
      <c r="T32" s="140"/>
      <c r="U32" s="140"/>
      <c r="V32" s="140"/>
      <c r="W32" s="140"/>
      <c r="X32" s="140" t="s">
        <v>270</v>
      </c>
      <c r="Y32" s="140" t="s">
        <v>269</v>
      </c>
      <c r="Z32" s="140"/>
      <c r="AA32" s="140" t="s">
        <v>269</v>
      </c>
      <c r="AB32" s="140"/>
      <c r="AC32" s="140" t="s">
        <v>267</v>
      </c>
      <c r="AD32" s="140" t="s">
        <v>268</v>
      </c>
      <c r="AE32" s="140"/>
      <c r="AF32" s="140"/>
    </row>
    <row r="33" spans="1:32" x14ac:dyDescent="0.45">
      <c r="A33" s="25" t="s">
        <v>245</v>
      </c>
      <c r="B33" s="25" t="s">
        <v>130</v>
      </c>
      <c r="C33" s="25">
        <v>20</v>
      </c>
      <c r="D33" s="25">
        <v>20</v>
      </c>
      <c r="E33" s="27">
        <v>45992</v>
      </c>
      <c r="F33" s="27">
        <v>46388</v>
      </c>
      <c r="G33" s="27">
        <v>45992</v>
      </c>
      <c r="H33" s="25" t="s">
        <v>144</v>
      </c>
      <c r="I33" s="25" t="s">
        <v>146</v>
      </c>
      <c r="J33" s="25">
        <v>50</v>
      </c>
      <c r="K33" s="25"/>
      <c r="L33" s="25">
        <v>10</v>
      </c>
      <c r="M33" s="25">
        <v>1</v>
      </c>
      <c r="N33" s="28">
        <f>'NK-LK Transf.'!W12</f>
        <v>4.2118055555555555E-4</v>
      </c>
      <c r="O33" s="28">
        <f>'NK-LK Transf.'!W14</f>
        <v>6.4699074074074073E-4</v>
      </c>
      <c r="P33" s="28">
        <f>'NK-LK Transf.'!W13</f>
        <v>8.6111111111111121E-4</v>
      </c>
      <c r="Q33" s="28">
        <f>'NK-LK Transf.'!W15</f>
        <v>7.1250000000000003E-4</v>
      </c>
      <c r="R33" s="28">
        <f>'NK-LK Transf.'!W17</f>
        <v>1.7194444444444444E-3</v>
      </c>
      <c r="S33" s="28">
        <f>'NK-LK Transf.'!W16</f>
        <v>1.5829861111111112E-3</v>
      </c>
      <c r="T33" s="140"/>
      <c r="U33" s="140"/>
      <c r="V33" s="140"/>
      <c r="W33" s="140"/>
      <c r="X33" s="140" t="s">
        <v>270</v>
      </c>
      <c r="Y33" s="140" t="s">
        <v>269</v>
      </c>
      <c r="Z33" s="140"/>
      <c r="AA33" s="140" t="s">
        <v>269</v>
      </c>
      <c r="AB33" s="140"/>
      <c r="AC33" s="140" t="s">
        <v>267</v>
      </c>
      <c r="AD33" s="140" t="s">
        <v>268</v>
      </c>
      <c r="AE33" s="140"/>
      <c r="AF33" s="140"/>
    </row>
    <row r="34" spans="1:32" x14ac:dyDescent="0.45">
      <c r="A34" s="25" t="s">
        <v>246</v>
      </c>
      <c r="B34" s="25" t="s">
        <v>148</v>
      </c>
      <c r="C34" s="25">
        <v>25</v>
      </c>
      <c r="D34" s="25">
        <v>50</v>
      </c>
      <c r="E34" s="27">
        <v>45992</v>
      </c>
      <c r="F34" s="27">
        <v>46388</v>
      </c>
      <c r="G34" s="27">
        <v>45992</v>
      </c>
      <c r="H34" s="25" t="s">
        <v>144</v>
      </c>
      <c r="I34" s="25" t="s">
        <v>146</v>
      </c>
      <c r="J34" s="25">
        <v>50</v>
      </c>
      <c r="K34" s="25"/>
      <c r="L34" s="25">
        <v>10</v>
      </c>
      <c r="M34" s="25">
        <v>1</v>
      </c>
      <c r="N34" s="28">
        <f>'NK-LK Transf.'!N12</f>
        <v>3.359953703703704E-4</v>
      </c>
      <c r="O34" s="28">
        <f>'NK-LK Transf.'!N14</f>
        <v>5.3506944444444446E-4</v>
      </c>
      <c r="P34" s="28">
        <f>'NK-LK Transf.'!N13</f>
        <v>7.1215277777777781E-4</v>
      </c>
      <c r="Q34" s="28">
        <f>'NK-LK Transf.'!N15</f>
        <v>5.8680555555555558E-4</v>
      </c>
      <c r="R34" s="28">
        <f>'NK-LK Transf.'!N17</f>
        <v>1.4912037037037038E-3</v>
      </c>
      <c r="S34" s="28">
        <f>'NK-LK Transf.'!N16</f>
        <v>1.3697916666666665E-3</v>
      </c>
      <c r="T34" s="140"/>
      <c r="U34" s="140"/>
      <c r="V34" s="140"/>
      <c r="W34" s="140"/>
      <c r="X34" s="140" t="s">
        <v>270</v>
      </c>
      <c r="Y34" s="140" t="s">
        <v>269</v>
      </c>
      <c r="Z34" s="140"/>
      <c r="AA34" s="140" t="s">
        <v>269</v>
      </c>
      <c r="AB34" s="140"/>
      <c r="AC34" s="140" t="s">
        <v>267</v>
      </c>
      <c r="AD34" s="140" t="s">
        <v>268</v>
      </c>
      <c r="AE34" s="140"/>
      <c r="AF34" s="140"/>
    </row>
    <row r="35" spans="1:32" x14ac:dyDescent="0.45">
      <c r="A35" s="25" t="s">
        <v>246</v>
      </c>
      <c r="B35" s="25" t="s">
        <v>148</v>
      </c>
      <c r="C35" s="25">
        <v>22</v>
      </c>
      <c r="D35" s="25">
        <v>24</v>
      </c>
      <c r="E35" s="27">
        <v>45992</v>
      </c>
      <c r="F35" s="27">
        <v>46388</v>
      </c>
      <c r="G35" s="27">
        <v>45992</v>
      </c>
      <c r="H35" s="25" t="s">
        <v>144</v>
      </c>
      <c r="I35" s="25" t="s">
        <v>146</v>
      </c>
      <c r="J35" s="25">
        <v>50</v>
      </c>
      <c r="K35" s="25"/>
      <c r="L35" s="25">
        <v>10</v>
      </c>
      <c r="M35" s="25">
        <v>1</v>
      </c>
      <c r="N35" s="28">
        <f>'NK-LK Transf.'!M12</f>
        <v>3.3796296296296298E-4</v>
      </c>
      <c r="O35" s="28">
        <f>'NK-LK Transf.'!M14</f>
        <v>5.3796296296296296E-4</v>
      </c>
      <c r="P35" s="28">
        <f>'NK-LK Transf.'!M13</f>
        <v>7.1678240740740741E-4</v>
      </c>
      <c r="Q35" s="28">
        <f>'NK-LK Transf.'!M15</f>
        <v>5.9108796296296296E-4</v>
      </c>
      <c r="R35" s="28">
        <f>'NK-LK Transf.'!M17</f>
        <v>1.5002314814814815E-3</v>
      </c>
      <c r="S35" s="28">
        <f>'NK-LK Transf.'!M16</f>
        <v>1.377662037037037E-3</v>
      </c>
      <c r="T35" s="140"/>
      <c r="U35" s="140"/>
      <c r="V35" s="140"/>
      <c r="W35" s="140"/>
      <c r="X35" s="140" t="s">
        <v>270</v>
      </c>
      <c r="Y35" s="140" t="s">
        <v>269</v>
      </c>
      <c r="Z35" s="140"/>
      <c r="AA35" s="140" t="s">
        <v>269</v>
      </c>
      <c r="AB35" s="140"/>
      <c r="AC35" s="140" t="s">
        <v>267</v>
      </c>
      <c r="AD35" s="140" t="s">
        <v>268</v>
      </c>
      <c r="AE35" s="140"/>
      <c r="AF35" s="140"/>
    </row>
    <row r="36" spans="1:32" x14ac:dyDescent="0.45">
      <c r="A36" s="25" t="s">
        <v>246</v>
      </c>
      <c r="B36" s="25" t="s">
        <v>148</v>
      </c>
      <c r="C36" s="25">
        <v>21</v>
      </c>
      <c r="D36" s="25">
        <v>21</v>
      </c>
      <c r="E36" s="27">
        <v>45992</v>
      </c>
      <c r="F36" s="27">
        <v>46388</v>
      </c>
      <c r="G36" s="27">
        <v>45992</v>
      </c>
      <c r="H36" s="25" t="s">
        <v>144</v>
      </c>
      <c r="I36" s="25" t="s">
        <v>146</v>
      </c>
      <c r="J36" s="25">
        <v>50</v>
      </c>
      <c r="K36" s="25"/>
      <c r="L36" s="25">
        <v>10</v>
      </c>
      <c r="M36" s="25">
        <v>1</v>
      </c>
      <c r="N36" s="28">
        <f>'NK-LK Transf.'!L12</f>
        <v>3.4386574074074077E-4</v>
      </c>
      <c r="O36" s="28">
        <f>'NK-LK Transf.'!L14</f>
        <v>5.4652777777777772E-4</v>
      </c>
      <c r="P36" s="28">
        <f>'NK-LK Transf.'!L13</f>
        <v>7.309027777777778E-4</v>
      </c>
      <c r="Q36" s="28">
        <f>'NK-LK Transf.'!L15</f>
        <v>6.0393518518518522E-4</v>
      </c>
      <c r="R36" s="28">
        <f>'NK-LK Transf.'!L17</f>
        <v>1.5273148148148149E-3</v>
      </c>
      <c r="S36" s="28">
        <f>'NK-LK Transf.'!L16</f>
        <v>1.4011574074074074E-3</v>
      </c>
      <c r="T36" s="140"/>
      <c r="U36" s="140"/>
      <c r="V36" s="140"/>
      <c r="W36" s="140"/>
      <c r="X36" s="140" t="s">
        <v>270</v>
      </c>
      <c r="Y36" s="140" t="s">
        <v>269</v>
      </c>
      <c r="Z36" s="140"/>
      <c r="AA36" s="140" t="s">
        <v>269</v>
      </c>
      <c r="AB36" s="140"/>
      <c r="AC36" s="140" t="s">
        <v>267</v>
      </c>
      <c r="AD36" s="140" t="s">
        <v>268</v>
      </c>
      <c r="AE36" s="140"/>
      <c r="AF36" s="140"/>
    </row>
    <row r="37" spans="1:32" x14ac:dyDescent="0.45">
      <c r="A37" s="25" t="s">
        <v>246</v>
      </c>
      <c r="B37" s="25" t="s">
        <v>148</v>
      </c>
      <c r="C37" s="25">
        <v>20</v>
      </c>
      <c r="D37" s="25">
        <v>20</v>
      </c>
      <c r="E37" s="27">
        <v>45992</v>
      </c>
      <c r="F37" s="27">
        <v>46388</v>
      </c>
      <c r="G37" s="27">
        <v>45992</v>
      </c>
      <c r="H37" s="25" t="s">
        <v>144</v>
      </c>
      <c r="I37" s="25" t="s">
        <v>146</v>
      </c>
      <c r="J37" s="25">
        <v>50</v>
      </c>
      <c r="K37" s="25"/>
      <c r="L37" s="25">
        <v>10</v>
      </c>
      <c r="M37" s="25">
        <v>1</v>
      </c>
      <c r="N37" s="28">
        <f>'NK-LK Transf.'!K12</f>
        <v>3.488425925925926E-4</v>
      </c>
      <c r="O37" s="28">
        <f>'NK-LK Transf.'!K14</f>
        <v>5.5381944444444445E-4</v>
      </c>
      <c r="P37" s="28">
        <f>'NK-LK Transf.'!K13</f>
        <v>7.4259259259259254E-4</v>
      </c>
      <c r="Q37" s="28">
        <f>'NK-LK Transf.'!K15</f>
        <v>6.145833333333333E-4</v>
      </c>
      <c r="R37" s="28">
        <f>'NK-LK Transf.'!K17</f>
        <v>1.5498842592592593E-3</v>
      </c>
      <c r="S37" s="28">
        <f>'NK-LK Transf.'!K16</f>
        <v>1.4207175925925926E-3</v>
      </c>
      <c r="T37" s="140"/>
      <c r="U37" s="140"/>
      <c r="V37" s="140"/>
      <c r="W37" s="140"/>
      <c r="X37" s="140" t="s">
        <v>270</v>
      </c>
      <c r="Y37" s="140" t="s">
        <v>269</v>
      </c>
      <c r="Z37" s="140"/>
      <c r="AA37" s="140" t="s">
        <v>269</v>
      </c>
      <c r="AB37" s="140"/>
      <c r="AC37" s="140" t="s">
        <v>267</v>
      </c>
      <c r="AD37" s="140" t="s">
        <v>268</v>
      </c>
      <c r="AE37" s="140"/>
      <c r="AF37" s="140"/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A696-49DD-4BFA-98FE-5C7770404E50}">
  <sheetPr codeName="Tabelle12"/>
  <dimension ref="A1:BZ45"/>
  <sheetViews>
    <sheetView topLeftCell="I9" zoomScale="262" workbookViewId="0">
      <selection activeCell="Z12" sqref="Z12"/>
    </sheetView>
  </sheetViews>
  <sheetFormatPr baseColWidth="10" defaultRowHeight="14.25" x14ac:dyDescent="0.45"/>
  <cols>
    <col min="1" max="1" width="5.265625" customWidth="1"/>
    <col min="2" max="2" width="32.3984375" bestFit="1" customWidth="1"/>
    <col min="3" max="26" width="9.59765625" customWidth="1"/>
    <col min="28" max="28" width="32.3984375" bestFit="1" customWidth="1"/>
    <col min="29" max="52" width="4.59765625" customWidth="1"/>
    <col min="54" max="54" width="32.3984375" bestFit="1" customWidth="1"/>
    <col min="55" max="78" width="9.59765625" customWidth="1"/>
  </cols>
  <sheetData>
    <row r="1" spans="1:78" s="40" customFormat="1" ht="18" customHeight="1" x14ac:dyDescent="0.5">
      <c r="A1" s="106">
        <v>2025</v>
      </c>
      <c r="B1" s="45" t="str">
        <f ca="1">CONCATENATE("in: ",YEAR(TODAY())-1," für: ", YEAR(TODAY()))</f>
        <v>in: 2025 für: 2026</v>
      </c>
      <c r="C1" s="107" t="s">
        <v>220</v>
      </c>
      <c r="D1" s="107"/>
      <c r="E1" s="108"/>
      <c r="F1" s="109" t="s">
        <v>221</v>
      </c>
      <c r="G1" s="110"/>
      <c r="H1" s="110"/>
      <c r="I1" s="110"/>
      <c r="J1" s="111"/>
      <c r="K1" s="112" t="s">
        <v>225</v>
      </c>
      <c r="L1" s="113"/>
      <c r="M1" s="113"/>
      <c r="N1" s="114"/>
      <c r="O1" s="132" t="s">
        <v>222</v>
      </c>
      <c r="P1" s="132"/>
      <c r="Q1" s="133"/>
      <c r="R1" s="134" t="s">
        <v>223</v>
      </c>
      <c r="S1" s="135"/>
      <c r="T1" s="135"/>
      <c r="U1" s="135"/>
      <c r="V1" s="136"/>
      <c r="W1" s="137" t="s">
        <v>226</v>
      </c>
      <c r="X1" s="138"/>
      <c r="Y1" s="138"/>
      <c r="Z1" s="139"/>
      <c r="AA1"/>
      <c r="AB1" s="45" t="str">
        <f ca="1">CONCATENATE("in: ",YEAR(TODAY())-1," für: ", YEAR(TODAY()))</f>
        <v>in: 2025 für: 2026</v>
      </c>
      <c r="AC1" s="115" t="s">
        <v>227</v>
      </c>
      <c r="AD1" s="115"/>
      <c r="AE1" s="116"/>
      <c r="AF1" s="117" t="s">
        <v>228</v>
      </c>
      <c r="AG1" s="118"/>
      <c r="AH1" s="118"/>
      <c r="AI1" s="118"/>
      <c r="AJ1" s="119"/>
      <c r="AK1" s="120" t="s">
        <v>229</v>
      </c>
      <c r="AL1" s="121"/>
      <c r="AM1" s="121"/>
      <c r="AN1" s="122"/>
      <c r="AO1" s="123" t="s">
        <v>230</v>
      </c>
      <c r="AP1" s="124"/>
      <c r="AQ1" s="125"/>
      <c r="AR1" s="126" t="s">
        <v>231</v>
      </c>
      <c r="AS1" s="127"/>
      <c r="AT1" s="127"/>
      <c r="AU1" s="127"/>
      <c r="AV1" s="128"/>
      <c r="AW1" s="129" t="s">
        <v>232</v>
      </c>
      <c r="AX1" s="130"/>
      <c r="AY1" s="130"/>
      <c r="AZ1" s="131"/>
      <c r="BB1" s="45" t="str">
        <f ca="1">CONCATENATE("in: ",YEAR(TODAY())-1," für: ", YEAR(TODAY()))</f>
        <v>in: 2025 für: 2026</v>
      </c>
      <c r="BC1" s="107" t="s">
        <v>233</v>
      </c>
      <c r="BD1" s="107"/>
      <c r="BE1" s="108"/>
      <c r="BF1" s="109" t="s">
        <v>234</v>
      </c>
      <c r="BG1" s="110"/>
      <c r="BH1" s="110"/>
      <c r="BI1" s="110"/>
      <c r="BJ1" s="111"/>
      <c r="BK1" s="112" t="s">
        <v>235</v>
      </c>
      <c r="BL1" s="113"/>
      <c r="BM1" s="113"/>
      <c r="BN1" s="114"/>
      <c r="BO1" s="132" t="s">
        <v>241</v>
      </c>
      <c r="BP1" s="132"/>
      <c r="BQ1" s="133"/>
      <c r="BR1" s="134" t="s">
        <v>242</v>
      </c>
      <c r="BS1" s="135"/>
      <c r="BT1" s="135"/>
      <c r="BU1" s="135"/>
      <c r="BV1" s="136"/>
      <c r="BW1" s="137" t="s">
        <v>236</v>
      </c>
      <c r="BX1" s="138"/>
      <c r="BY1" s="138"/>
      <c r="BZ1" s="139"/>
    </row>
    <row r="2" spans="1:78" s="94" customFormat="1" ht="21.4" thickBot="1" x14ac:dyDescent="0.55000000000000004">
      <c r="A2" s="106"/>
      <c r="B2" s="46" t="s">
        <v>224</v>
      </c>
      <c r="C2" s="41" t="str">
        <f ca="1">CONCATENATE("≤",YEAR(TODAY())-15-1)</f>
        <v>≤2010</v>
      </c>
      <c r="D2" s="41">
        <f ca="1">YEAR(TODAY())-16-1</f>
        <v>2009</v>
      </c>
      <c r="E2" s="48">
        <f ca="1">YEAR(TODAY())-17-1</f>
        <v>2008</v>
      </c>
      <c r="F2" s="42">
        <f ca="1">YEAR(TODAY())-16-1</f>
        <v>2009</v>
      </c>
      <c r="G2" s="42">
        <f ca="1">YEAR(TODAY())-17-1</f>
        <v>2008</v>
      </c>
      <c r="H2" s="42">
        <f ca="1">YEAR(TODAY())-18-1</f>
        <v>2007</v>
      </c>
      <c r="I2" s="57" t="str">
        <f ca="1">CONCATENATE(YEAR(TODAY())-1-19,"-",YEAR(TODAY())-1-21)</f>
        <v>2006-2004</v>
      </c>
      <c r="J2" s="57" t="str">
        <f ca="1">CONCATENATE(YEAR(TODAY())-1-22,"-",YEAR(TODAY())-1-23)</f>
        <v>2003-2002</v>
      </c>
      <c r="K2" s="70" t="str">
        <f ca="1">CONCATENATE(YEAR(TODAY())-1-15,"-",YEAR(TODAY())-1-19)</f>
        <v>2010-2006</v>
      </c>
      <c r="L2" s="71">
        <f ca="1">YEAR(TODAY())-20-1</f>
        <v>2005</v>
      </c>
      <c r="M2" s="71" t="str">
        <f ca="1">CONCATENATE(YEAR(TODAY())-1-21,"-",YEAR(TODAY())-1-23)</f>
        <v>2004-2002</v>
      </c>
      <c r="N2" s="71" t="str">
        <f ca="1">CONCATENATE(YEAR(TODAY())-1-24,"-",YEAR(TODAY())-40-1)</f>
        <v>2001-1985</v>
      </c>
      <c r="O2" s="76" t="str">
        <f ca="1">CONCATENATE("≤",YEAR(TODAY())-15-1)</f>
        <v>≤2010</v>
      </c>
      <c r="P2" s="43">
        <f ca="1">YEAR(TODAY())-16-1</f>
        <v>2009</v>
      </c>
      <c r="Q2" s="49">
        <f ca="1">YEAR(TODAY())-17-1</f>
        <v>2008</v>
      </c>
      <c r="R2" s="44">
        <f ca="1">YEAR(TODAY())-16-1</f>
        <v>2009</v>
      </c>
      <c r="S2" s="44">
        <f ca="1">YEAR(TODAY())-17-1</f>
        <v>2008</v>
      </c>
      <c r="T2" s="44">
        <f ca="1">YEAR(TODAY())-18-1</f>
        <v>2007</v>
      </c>
      <c r="U2" s="64" t="str">
        <f ca="1">CONCATENATE(YEAR(TODAY())-1-19,"-",YEAR(TODAY())-1-21)</f>
        <v>2006-2004</v>
      </c>
      <c r="V2" s="65" t="str">
        <f ca="1">CONCATENATE(YEAR(TODAY())-1-22,"-",YEAR(TODAY())-1-23)</f>
        <v>2003-2002</v>
      </c>
      <c r="W2" s="74" t="str">
        <f ca="1">CONCATENATE(YEAR(TODAY())-1-15,"-",YEAR(TODAY())-1-19)</f>
        <v>2010-2006</v>
      </c>
      <c r="X2" s="72">
        <f ca="1">YEAR(TODAY())-20-1</f>
        <v>2005</v>
      </c>
      <c r="Y2" s="74" t="str">
        <f ca="1">CONCATENATE(YEAR(TODAY())-1-21,"-",YEAR(TODAY())-1-23)</f>
        <v>2004-2002</v>
      </c>
      <c r="Z2" s="75" t="str">
        <f ca="1">CONCATENATE(YEAR(TODAY())-1-24,"-",YEAR(TODAY())-50-1)</f>
        <v>2001-1975</v>
      </c>
      <c r="AA2"/>
      <c r="AB2" s="46" t="s">
        <v>224</v>
      </c>
      <c r="AC2" s="80" t="str">
        <f ca="1">CONCATENATE("≤",YEAR(TODAY())-15)</f>
        <v>≤2011</v>
      </c>
      <c r="AD2" s="80">
        <f ca="1">YEAR(TODAY())-16</f>
        <v>2010</v>
      </c>
      <c r="AE2" s="81">
        <f ca="1">YEAR(TODAY())-17</f>
        <v>2009</v>
      </c>
      <c r="AF2" s="82">
        <f ca="1">YEAR(TODAY())-16</f>
        <v>2010</v>
      </c>
      <c r="AG2" s="82">
        <f ca="1">YEAR(TODAY())-17</f>
        <v>2009</v>
      </c>
      <c r="AH2" s="82">
        <f ca="1">YEAR(TODAY())-18</f>
        <v>2008</v>
      </c>
      <c r="AI2" s="82" t="str">
        <f ca="1">CONCATENATE(YEAR(TODAY())-19,"-",YEAR(TODAY())-21)</f>
        <v>2007-2005</v>
      </c>
      <c r="AJ2" s="82" t="str">
        <f ca="1">CONCATENATE(YEAR(TODAY())-22,"-",YEAR(TODAY())-50)</f>
        <v>2004-1976</v>
      </c>
      <c r="AK2" s="83" t="str">
        <f ca="1">CONCATENATE(YEAR(TODAY())-15,"-",YEAR(TODAY())-19)</f>
        <v>2011-2007</v>
      </c>
      <c r="AL2" s="84">
        <f ca="1">YEAR(TODAY())-20</f>
        <v>2006</v>
      </c>
      <c r="AM2" s="84" t="str">
        <f ca="1">CONCATENATE(YEAR(TODAY())-21,"-",YEAR(TODAY())-23)</f>
        <v>2005-2003</v>
      </c>
      <c r="AN2" s="85" t="str">
        <f ca="1">CONCATENATE(YEAR(TODAY())-24,"-",YEAR(TODAY())-40)</f>
        <v>2002-1986</v>
      </c>
      <c r="AO2" s="86" t="str">
        <f ca="1">CONCATENATE("≤",YEAR(TODAY())-15)</f>
        <v>≤2011</v>
      </c>
      <c r="AP2" s="86">
        <f ca="1">YEAR(TODAY())-16</f>
        <v>2010</v>
      </c>
      <c r="AQ2" s="87">
        <f ca="1">YEAR(TODAY())-17</f>
        <v>2009</v>
      </c>
      <c r="AR2" s="77">
        <f ca="1">YEAR(TODAY())-16</f>
        <v>2010</v>
      </c>
      <c r="AS2" s="77">
        <f ca="1">YEAR(TODAY())-17</f>
        <v>2009</v>
      </c>
      <c r="AT2" s="77">
        <f ca="1">YEAR(TODAY())-18</f>
        <v>2008</v>
      </c>
      <c r="AU2" s="77" t="str">
        <f ca="1">CONCATENATE(YEAR(TODAY())-19,"-",YEAR(TODAY())-21)</f>
        <v>2007-2005</v>
      </c>
      <c r="AV2" s="78" t="str">
        <f ca="1">CONCATENATE(YEAR(TODAY())-22,"-",YEAR(TODAY())-50)</f>
        <v>2004-1976</v>
      </c>
      <c r="AW2" s="88" t="str">
        <f ca="1">CONCATENATE(YEAR(TODAY())-15,"-",YEAR(TODAY())-19)</f>
        <v>2011-2007</v>
      </c>
      <c r="AX2" s="88">
        <f ca="1">YEAR(TODAY())-20</f>
        <v>2006</v>
      </c>
      <c r="AY2" s="88" t="str">
        <f ca="1">CONCATENATE(YEAR(TODAY())-21,"-",YEAR(TODAY())-23)</f>
        <v>2005-2003</v>
      </c>
      <c r="AZ2" s="79" t="str">
        <f ca="1">CONCATENATE(YEAR(TODAY())-24,"-",YEAR(TODAY())-40)</f>
        <v>2002-1986</v>
      </c>
      <c r="BB2" s="46" t="s">
        <v>224</v>
      </c>
      <c r="BC2" s="58" t="str">
        <f ca="1">CONCATENATE("≤",YEAR(TODAY())-15-1)</f>
        <v>≤2010</v>
      </c>
      <c r="BD2" s="58">
        <f ca="1">YEAR(TODAY())-16-1</f>
        <v>2009</v>
      </c>
      <c r="BE2" s="59">
        <f ca="1">YEAR(TODAY())-17-1</f>
        <v>2008</v>
      </c>
      <c r="BF2" s="60">
        <f ca="1">YEAR(TODAY())-16-1</f>
        <v>2009</v>
      </c>
      <c r="BG2" s="60">
        <f ca="1">YEAR(TODAY())-17-1</f>
        <v>2008</v>
      </c>
      <c r="BH2" s="60">
        <f ca="1">YEAR(TODAY())-18-1</f>
        <v>2007</v>
      </c>
      <c r="BI2" s="89" t="str">
        <f ca="1">CONCATENATE(YEAR(TODAY())-1-19,"-",YEAR(TODAY())-1-21)</f>
        <v>2006-2004</v>
      </c>
      <c r="BJ2" s="89" t="str">
        <f ca="1">CONCATENATE(YEAR(TODAY())-1-22,"-",YEAR(TODAY())-1-50)</f>
        <v>2003-1975</v>
      </c>
      <c r="BK2" s="90" t="str">
        <f ca="1">CONCATENATE(YEAR(TODAY())-1-15,"-",YEAR(TODAY())-1-19)</f>
        <v>2010-2006</v>
      </c>
      <c r="BL2" s="91">
        <f ca="1">YEAR(TODAY())-20-1</f>
        <v>2005</v>
      </c>
      <c r="BM2" s="91" t="str">
        <f ca="1">CONCATENATE(YEAR(TODAY())-1-21,"-",YEAR(TODAY())-1-23)</f>
        <v>2004-2002</v>
      </c>
      <c r="BN2" s="91" t="str">
        <f ca="1">CONCATENATE(YEAR(TODAY())-1-24,"-",YEAR(TODAY())-40-1)</f>
        <v>2001-1985</v>
      </c>
      <c r="BO2" s="105" t="str">
        <f ca="1">CONCATENATE("≤",YEAR(TODAY())-15-1)</f>
        <v>≤2010</v>
      </c>
      <c r="BP2" s="61">
        <f ca="1">YEAR(TODAY())-16-1</f>
        <v>2009</v>
      </c>
      <c r="BQ2" s="62">
        <f ca="1">YEAR(TODAY())-17-1</f>
        <v>2008</v>
      </c>
      <c r="BR2" s="63">
        <f ca="1">YEAR(TODAY())-16-1</f>
        <v>2009</v>
      </c>
      <c r="BS2" s="63">
        <f ca="1">YEAR(TODAY())-17-1</f>
        <v>2008</v>
      </c>
      <c r="BT2" s="63">
        <f ca="1">YEAR(TODAY())-18-1</f>
        <v>2007</v>
      </c>
      <c r="BU2" s="64" t="str">
        <f ca="1">CONCATENATE(YEAR(TODAY())-1-19,"-",YEAR(TODAY())-1-21)</f>
        <v>2006-2004</v>
      </c>
      <c r="BV2" s="65" t="str">
        <f ca="1">CONCATENATE(YEAR(TODAY())-1-22,"-",YEAR(TODAY())-1-50)</f>
        <v>2003-1975</v>
      </c>
      <c r="BW2" s="73" t="str">
        <f ca="1">CONCATENATE(YEAR(TODAY())-1-15,"-",YEAR(TODAY())-1-19)</f>
        <v>2010-2006</v>
      </c>
      <c r="BX2" s="93">
        <f ca="1">YEAR(TODAY())-20-1</f>
        <v>2005</v>
      </c>
      <c r="BY2" s="73" t="str">
        <f ca="1">CONCATENATE(YEAR(TODAY())-1-21,"-",YEAR(TODAY())-1-23)</f>
        <v>2004-2002</v>
      </c>
      <c r="BZ2" s="75" t="str">
        <f ca="1">CONCATENATE(YEAR(TODAY())-1-24,"-",YEAR(TODAY())-40-1)</f>
        <v>2001-1985</v>
      </c>
    </row>
    <row r="3" spans="1:78" ht="14.65" thickTop="1" x14ac:dyDescent="0.45">
      <c r="A3" s="106"/>
      <c r="B3" s="47" t="s">
        <v>0</v>
      </c>
      <c r="C3" s="51">
        <v>3.7384259259259255E-4</v>
      </c>
      <c r="D3" s="52">
        <v>3.7025462962962961E-4</v>
      </c>
      <c r="E3" s="53">
        <v>3.6620370370370371E-4</v>
      </c>
      <c r="F3" s="52">
        <v>3.6863425925925925E-4</v>
      </c>
      <c r="G3" s="52">
        <v>3.6469907407407409E-4</v>
      </c>
      <c r="H3" s="52">
        <v>3.6111111111111109E-4</v>
      </c>
      <c r="I3" s="52">
        <v>3.5787037037037037E-4</v>
      </c>
      <c r="J3" s="53">
        <v>3.4803240740740742E-4</v>
      </c>
      <c r="K3" s="52">
        <v>3.5381944444444447E-4</v>
      </c>
      <c r="L3" s="52">
        <v>3.5092592592592592E-4</v>
      </c>
      <c r="M3" s="52">
        <v>3.4745370370370372E-4</v>
      </c>
      <c r="N3" s="53">
        <v>3.4629629629629632E-4</v>
      </c>
      <c r="O3" s="52">
        <v>4.708333333333333E-4</v>
      </c>
      <c r="P3" s="52">
        <v>4.621527777777778E-4</v>
      </c>
      <c r="Q3" s="53">
        <v>4.5300925925925928E-4</v>
      </c>
      <c r="R3" s="66">
        <v>4.586805555555556E-4</v>
      </c>
      <c r="S3" s="67">
        <v>4.4942129629629629E-4</v>
      </c>
      <c r="T3" s="52">
        <v>4.4097222222222226E-4</v>
      </c>
      <c r="U3" s="52">
        <v>4.3379629629629627E-4</v>
      </c>
      <c r="V3" s="69">
        <v>4.1157407407407408E-4</v>
      </c>
      <c r="W3" s="52">
        <v>4.2465277777777776E-4</v>
      </c>
      <c r="X3" s="52">
        <v>4.1805555555555552E-4</v>
      </c>
      <c r="Y3" s="52">
        <v>4.1030092592592594E-4</v>
      </c>
      <c r="Z3" s="53">
        <v>4.0763888888888886E-4</v>
      </c>
      <c r="AA3" s="35"/>
      <c r="AB3" s="47" t="s">
        <v>0</v>
      </c>
      <c r="AC3" s="104">
        <v>0.2</v>
      </c>
      <c r="AD3" s="95">
        <v>0.2</v>
      </c>
      <c r="AE3" s="96">
        <v>0.2</v>
      </c>
      <c r="AF3" s="95">
        <v>0</v>
      </c>
      <c r="AG3" s="95">
        <v>0</v>
      </c>
      <c r="AH3" s="95">
        <v>0.16</v>
      </c>
      <c r="AI3" s="95">
        <v>0.16</v>
      </c>
      <c r="AJ3" s="96">
        <v>0.16</v>
      </c>
      <c r="AK3" s="97">
        <v>0</v>
      </c>
      <c r="AL3" s="97">
        <v>0</v>
      </c>
      <c r="AM3" s="97">
        <v>0</v>
      </c>
      <c r="AN3" s="96">
        <v>0</v>
      </c>
      <c r="AO3" s="95">
        <v>0.18</v>
      </c>
      <c r="AP3" s="95">
        <v>0.18</v>
      </c>
      <c r="AQ3" s="96">
        <v>0.18</v>
      </c>
      <c r="AR3" s="95">
        <v>0</v>
      </c>
      <c r="AS3" s="98">
        <v>0</v>
      </c>
      <c r="AT3" s="95">
        <v>0.17</v>
      </c>
      <c r="AU3" s="95">
        <v>0.17</v>
      </c>
      <c r="AV3" s="99">
        <v>0.17</v>
      </c>
      <c r="AW3" s="95">
        <v>0</v>
      </c>
      <c r="AX3" s="95">
        <v>0</v>
      </c>
      <c r="AY3" s="95">
        <v>0</v>
      </c>
      <c r="AZ3" s="96">
        <v>0</v>
      </c>
      <c r="BB3" s="47" t="s">
        <v>0</v>
      </c>
      <c r="BC3" s="51">
        <f>IF(AC3=0,"",C3+C3*AC3)</f>
        <v>4.4861111111111105E-4</v>
      </c>
      <c r="BD3" s="52">
        <f t="shared" ref="BD3:BD8" si="0">IF(AD3=0,"",D3+D3*AD3)</f>
        <v>4.4430555555555553E-4</v>
      </c>
      <c r="BE3" s="53">
        <f t="shared" ref="BE3:BE8" si="1">IF(AE3=0,"",E3+E3*AE3)</f>
        <v>4.3944444444444445E-4</v>
      </c>
      <c r="BF3" s="52" t="str">
        <f t="shared" ref="BF3:BF8" si="2">IF(AF3=0,"",F3+F3*AF3)</f>
        <v/>
      </c>
      <c r="BG3" s="52" t="str">
        <f t="shared" ref="BG3:BG8" si="3">IF(AG3=0,"",G3+G3*AG3)</f>
        <v/>
      </c>
      <c r="BH3" s="52">
        <f t="shared" ref="BH3:BH8" si="4">IF(AH3=0,"",H3+H3*AH3)</f>
        <v>4.1888888888888889E-4</v>
      </c>
      <c r="BI3" s="52">
        <f t="shared" ref="BI3:BI8" si="5">IF(AI3=0,"",I3+I3*AI3)</f>
        <v>4.1512962962962966E-4</v>
      </c>
      <c r="BJ3" s="53">
        <f t="shared" ref="BJ3:BJ8" si="6">IF(AJ3=0,"",J3+J3*AJ3)</f>
        <v>4.0371759259259262E-4</v>
      </c>
      <c r="BK3" s="52" t="str">
        <f t="shared" ref="BK3:BK8" si="7">IF(AK3=0,"",K3+K3*AK3)</f>
        <v/>
      </c>
      <c r="BL3" s="52" t="str">
        <f t="shared" ref="BL3:BL8" si="8">IF(AL3=0,"",L3+L3*AL3)</f>
        <v/>
      </c>
      <c r="BM3" s="52" t="str">
        <f t="shared" ref="BM3:BM8" si="9">IF(AM3=0,"",M3+M3*AM3)</f>
        <v/>
      </c>
      <c r="BN3" s="53" t="str">
        <f t="shared" ref="BN3:BN8" si="10">IF(AN3=0,"",N3+N3*AN3)</f>
        <v/>
      </c>
      <c r="BO3" s="52">
        <f t="shared" ref="BO3:BO8" si="11">IF(AO3=0,"",O3+O3*AO3)</f>
        <v>5.5558333333333328E-4</v>
      </c>
      <c r="BP3" s="52">
        <f t="shared" ref="BP3:BP8" si="12">IF(AP3=0,"",P3+P3*AP3)</f>
        <v>5.4534027777777784E-4</v>
      </c>
      <c r="BQ3" s="53">
        <f t="shared" ref="BQ3:BQ8" si="13">IF(AQ3=0,"",Q3+Q3*AQ3)</f>
        <v>5.3455092592592595E-4</v>
      </c>
      <c r="BR3" s="66" t="str">
        <f t="shared" ref="BR3:BR8" si="14">IF(AR3=0,"",R3+R3*AR3)</f>
        <v/>
      </c>
      <c r="BS3" s="67" t="str">
        <f t="shared" ref="BS3:BS8" si="15">IF(AS3=0,"",S3+S3*AS3)</f>
        <v/>
      </c>
      <c r="BT3" s="52">
        <f t="shared" ref="BT3:BT8" si="16">IF(AT3=0,"",T3+T3*AT3)</f>
        <v>5.1593750000000001E-4</v>
      </c>
      <c r="BU3" s="52">
        <f t="shared" ref="BU3:BU8" si="17">IF(AU3=0,"",U3+U3*AU3)</f>
        <v>5.0754166666666667E-4</v>
      </c>
      <c r="BV3" s="69">
        <f t="shared" ref="BV3:BV8" si="18">IF(AV3=0,"",V3+V3*AV3)</f>
        <v>4.8154166666666668E-4</v>
      </c>
      <c r="BW3" s="52" t="str">
        <f t="shared" ref="BW3:BW8" si="19">IF(AW3=0,"",W3+W3*AW3)</f>
        <v/>
      </c>
      <c r="BX3" s="52" t="str">
        <f t="shared" ref="BX3:BX8" si="20">IF(AX3=0,"",X3+X3*AX3)</f>
        <v/>
      </c>
      <c r="BY3" s="52" t="str">
        <f t="shared" ref="BY3:BY8" si="21">IF(AY3=0,"",Y3+Y3*AY3)</f>
        <v/>
      </c>
      <c r="BZ3" s="53" t="str">
        <f t="shared" ref="BZ3:BZ8" si="22">IF(AZ3=0,"",Z3+Z3*AZ3)</f>
        <v/>
      </c>
    </row>
    <row r="4" spans="1:78" x14ac:dyDescent="0.45">
      <c r="A4" s="106"/>
      <c r="B4" s="47" t="s">
        <v>185</v>
      </c>
      <c r="C4" s="52">
        <v>8.0902777777777787E-4</v>
      </c>
      <c r="D4" s="52">
        <v>7.9837962962962968E-4</v>
      </c>
      <c r="E4" s="53">
        <v>7.869212962962962E-4</v>
      </c>
      <c r="F4" s="52">
        <v>7.9398148148148145E-4</v>
      </c>
      <c r="G4" s="52">
        <v>7.8252314814814818E-4</v>
      </c>
      <c r="H4" s="52">
        <v>7.7187499999999999E-4</v>
      </c>
      <c r="I4" s="52">
        <v>7.6273148148148153E-4</v>
      </c>
      <c r="J4" s="53">
        <v>7.3425925925925926E-4</v>
      </c>
      <c r="K4" s="52">
        <v>7.5104166666666668E-4</v>
      </c>
      <c r="L4" s="52">
        <v>7.4259259259259254E-4</v>
      </c>
      <c r="M4" s="52">
        <v>7.326388888888889E-4</v>
      </c>
      <c r="N4" s="53">
        <v>7.2928240740740733E-4</v>
      </c>
      <c r="O4" s="52">
        <v>9.5381944444444442E-4</v>
      </c>
      <c r="P4" s="52">
        <v>9.3854166666666673E-4</v>
      </c>
      <c r="Q4" s="53">
        <v>9.2199074074074069E-4</v>
      </c>
      <c r="R4" s="68">
        <v>9.3217592592592582E-4</v>
      </c>
      <c r="S4" s="52">
        <v>9.1562499999999999E-4</v>
      </c>
      <c r="T4" s="52">
        <v>9.0034722222222209E-4</v>
      </c>
      <c r="U4" s="52">
        <v>8.8726851851851846E-4</v>
      </c>
      <c r="V4" s="53">
        <v>8.4699074074074082E-4</v>
      </c>
      <c r="W4" s="52">
        <v>8.7071759259259264E-4</v>
      </c>
      <c r="X4" s="52">
        <v>8.587962962962963E-4</v>
      </c>
      <c r="Y4" s="52">
        <v>8.4456018518518517E-4</v>
      </c>
      <c r="Z4" s="53">
        <v>8.3981481481481483E-4</v>
      </c>
      <c r="AB4" s="47" t="s">
        <v>185</v>
      </c>
      <c r="AC4" s="95">
        <v>0.2</v>
      </c>
      <c r="AD4" s="95">
        <v>0.2</v>
      </c>
      <c r="AE4" s="96">
        <v>0.2</v>
      </c>
      <c r="AF4" s="95">
        <v>0</v>
      </c>
      <c r="AG4" s="95">
        <v>0</v>
      </c>
      <c r="AH4" s="95">
        <v>0.16</v>
      </c>
      <c r="AI4" s="95">
        <v>0.16</v>
      </c>
      <c r="AJ4" s="96">
        <v>0.16</v>
      </c>
      <c r="AK4" s="97">
        <v>0</v>
      </c>
      <c r="AL4" s="97">
        <v>0</v>
      </c>
      <c r="AM4" s="97">
        <v>0</v>
      </c>
      <c r="AN4" s="96">
        <v>0</v>
      </c>
      <c r="AO4" s="95">
        <v>0.18</v>
      </c>
      <c r="AP4" s="95">
        <v>0.18</v>
      </c>
      <c r="AQ4" s="96">
        <v>0.18</v>
      </c>
      <c r="AR4" s="100">
        <v>0</v>
      </c>
      <c r="AS4" s="97">
        <v>0</v>
      </c>
      <c r="AT4" s="95">
        <v>0.17</v>
      </c>
      <c r="AU4" s="95">
        <v>0.17</v>
      </c>
      <c r="AV4" s="96">
        <v>0.17</v>
      </c>
      <c r="AW4" s="95">
        <v>0</v>
      </c>
      <c r="AX4" s="95">
        <v>0</v>
      </c>
      <c r="AY4" s="95">
        <v>0</v>
      </c>
      <c r="AZ4" s="96">
        <v>0</v>
      </c>
      <c r="BB4" s="47" t="s">
        <v>185</v>
      </c>
      <c r="BC4" s="52">
        <f t="shared" ref="BC4:BC8" si="23">IF(AC4=0,"",C4+C4*AC4)</f>
        <v>9.7083333333333342E-4</v>
      </c>
      <c r="BD4" s="52">
        <f t="shared" si="0"/>
        <v>9.5805555555555564E-4</v>
      </c>
      <c r="BE4" s="53">
        <f t="shared" si="1"/>
        <v>9.4430555555555544E-4</v>
      </c>
      <c r="BF4" s="52" t="str">
        <f t="shared" si="2"/>
        <v/>
      </c>
      <c r="BG4" s="52" t="str">
        <f t="shared" si="3"/>
        <v/>
      </c>
      <c r="BH4" s="52">
        <f t="shared" si="4"/>
        <v>8.9537500000000001E-4</v>
      </c>
      <c r="BI4" s="52">
        <f t="shared" si="5"/>
        <v>8.8476851851851856E-4</v>
      </c>
      <c r="BJ4" s="53">
        <f t="shared" si="6"/>
        <v>8.517407407407408E-4</v>
      </c>
      <c r="BK4" s="52" t="str">
        <f t="shared" si="7"/>
        <v/>
      </c>
      <c r="BL4" s="52" t="str">
        <f t="shared" si="8"/>
        <v/>
      </c>
      <c r="BM4" s="52" t="str">
        <f t="shared" si="9"/>
        <v/>
      </c>
      <c r="BN4" s="53" t="str">
        <f t="shared" si="10"/>
        <v/>
      </c>
      <c r="BO4" s="52">
        <f t="shared" si="11"/>
        <v>1.1255069444444444E-3</v>
      </c>
      <c r="BP4" s="52">
        <f t="shared" si="12"/>
        <v>1.1074791666666668E-3</v>
      </c>
      <c r="BQ4" s="53">
        <f t="shared" si="13"/>
        <v>1.0879490740740741E-3</v>
      </c>
      <c r="BR4" s="68" t="str">
        <f t="shared" si="14"/>
        <v/>
      </c>
      <c r="BS4" s="52" t="str">
        <f t="shared" si="15"/>
        <v/>
      </c>
      <c r="BT4" s="52">
        <f t="shared" si="16"/>
        <v>1.0534062499999999E-3</v>
      </c>
      <c r="BU4" s="52">
        <f t="shared" si="17"/>
        <v>1.0381041666666666E-3</v>
      </c>
      <c r="BV4" s="53">
        <f t="shared" si="18"/>
        <v>9.909791666666667E-4</v>
      </c>
      <c r="BW4" s="52" t="str">
        <f t="shared" si="19"/>
        <v/>
      </c>
      <c r="BX4" s="52" t="str">
        <f t="shared" si="20"/>
        <v/>
      </c>
      <c r="BY4" s="52" t="str">
        <f t="shared" si="21"/>
        <v/>
      </c>
      <c r="BZ4" s="53" t="str">
        <f t="shared" si="22"/>
        <v/>
      </c>
    </row>
    <row r="5" spans="1:78" x14ac:dyDescent="0.45">
      <c r="A5" s="106"/>
      <c r="B5" s="47" t="s">
        <v>186</v>
      </c>
      <c r="C5" s="52">
        <v>5.9027777777777778E-4</v>
      </c>
      <c r="D5" s="52">
        <v>5.8495370370370374E-4</v>
      </c>
      <c r="E5" s="53">
        <v>5.7928240740740737E-4</v>
      </c>
      <c r="F5" s="52">
        <v>5.8275462962962968E-4</v>
      </c>
      <c r="G5" s="52">
        <v>5.7708333333333331E-4</v>
      </c>
      <c r="H5" s="52">
        <v>5.7175925925925927E-4</v>
      </c>
      <c r="I5" s="52">
        <v>5.6712962962962967E-4</v>
      </c>
      <c r="J5" s="53">
        <v>5.5266203703703705E-4</v>
      </c>
      <c r="K5" s="52">
        <v>5.6111111111111108E-4</v>
      </c>
      <c r="L5" s="52">
        <v>5.5694444444444444E-4</v>
      </c>
      <c r="M5" s="52">
        <v>5.5185185185185187E-4</v>
      </c>
      <c r="N5" s="53">
        <v>5.5011574074074077E-4</v>
      </c>
      <c r="O5" s="52">
        <v>6.9664351851851853E-4</v>
      </c>
      <c r="P5" s="52">
        <v>6.8946759259259265E-4</v>
      </c>
      <c r="Q5" s="53">
        <v>6.8171296296296296E-4</v>
      </c>
      <c r="R5" s="68">
        <v>6.8657407407407404E-4</v>
      </c>
      <c r="S5" s="52">
        <v>6.7881944444444446E-4</v>
      </c>
      <c r="T5" s="52">
        <v>6.7164351851851857E-4</v>
      </c>
      <c r="U5" s="52">
        <v>6.653935185185185E-4</v>
      </c>
      <c r="V5" s="53">
        <v>6.4606481481481481E-4</v>
      </c>
      <c r="W5" s="52">
        <v>6.5740740740740733E-4</v>
      </c>
      <c r="X5" s="52">
        <v>6.5173611111111118E-4</v>
      </c>
      <c r="Y5" s="52">
        <v>6.4490740740740741E-4</v>
      </c>
      <c r="Z5" s="53">
        <v>6.4259259259259261E-4</v>
      </c>
      <c r="AB5" s="47" t="s">
        <v>186</v>
      </c>
      <c r="AC5" s="95">
        <v>0.2</v>
      </c>
      <c r="AD5" s="95">
        <v>0.2</v>
      </c>
      <c r="AE5" s="96">
        <v>0.2</v>
      </c>
      <c r="AF5" s="95">
        <v>0</v>
      </c>
      <c r="AG5" s="95">
        <v>0</v>
      </c>
      <c r="AH5" s="95">
        <v>0.16</v>
      </c>
      <c r="AI5" s="95">
        <v>0.16</v>
      </c>
      <c r="AJ5" s="96">
        <v>0.16</v>
      </c>
      <c r="AK5" s="97">
        <v>0</v>
      </c>
      <c r="AL5" s="97">
        <v>0</v>
      </c>
      <c r="AM5" s="97">
        <v>0</v>
      </c>
      <c r="AN5" s="96">
        <v>0</v>
      </c>
      <c r="AO5" s="95">
        <v>0.18</v>
      </c>
      <c r="AP5" s="95">
        <v>0.18</v>
      </c>
      <c r="AQ5" s="96">
        <v>0.18</v>
      </c>
      <c r="AR5" s="100">
        <v>0</v>
      </c>
      <c r="AS5" s="97">
        <v>0</v>
      </c>
      <c r="AT5" s="95">
        <v>0.17</v>
      </c>
      <c r="AU5" s="95">
        <v>0.17</v>
      </c>
      <c r="AV5" s="96">
        <v>0.17</v>
      </c>
      <c r="AW5" s="95">
        <v>0</v>
      </c>
      <c r="AX5" s="95">
        <v>0</v>
      </c>
      <c r="AY5" s="95">
        <v>0</v>
      </c>
      <c r="AZ5" s="96">
        <v>0</v>
      </c>
      <c r="BB5" s="47" t="s">
        <v>186</v>
      </c>
      <c r="BC5" s="52">
        <f t="shared" si="23"/>
        <v>7.0833333333333338E-4</v>
      </c>
      <c r="BD5" s="52">
        <f t="shared" si="0"/>
        <v>7.0194444444444449E-4</v>
      </c>
      <c r="BE5" s="53">
        <f t="shared" si="1"/>
        <v>6.951388888888888E-4</v>
      </c>
      <c r="BF5" s="52" t="str">
        <f t="shared" si="2"/>
        <v/>
      </c>
      <c r="BG5" s="52" t="str">
        <f t="shared" si="3"/>
        <v/>
      </c>
      <c r="BH5" s="52">
        <f t="shared" si="4"/>
        <v>6.6324074074074072E-4</v>
      </c>
      <c r="BI5" s="52">
        <f t="shared" si="5"/>
        <v>6.578703703703704E-4</v>
      </c>
      <c r="BJ5" s="53">
        <f t="shared" si="6"/>
        <v>6.4108796296296299E-4</v>
      </c>
      <c r="BK5" s="52" t="str">
        <f t="shared" si="7"/>
        <v/>
      </c>
      <c r="BL5" s="52" t="str">
        <f t="shared" si="8"/>
        <v/>
      </c>
      <c r="BM5" s="52" t="str">
        <f t="shared" si="9"/>
        <v/>
      </c>
      <c r="BN5" s="53" t="str">
        <f t="shared" si="10"/>
        <v/>
      </c>
      <c r="BO5" s="52">
        <f t="shared" si="11"/>
        <v>8.220393518518519E-4</v>
      </c>
      <c r="BP5" s="52">
        <f t="shared" si="12"/>
        <v>8.1357175925925933E-4</v>
      </c>
      <c r="BQ5" s="53">
        <f t="shared" si="13"/>
        <v>8.0442129629629635E-4</v>
      </c>
      <c r="BR5" s="68" t="str">
        <f t="shared" si="14"/>
        <v/>
      </c>
      <c r="BS5" s="52" t="str">
        <f t="shared" si="15"/>
        <v/>
      </c>
      <c r="BT5" s="52">
        <f t="shared" si="16"/>
        <v>7.8582291666666677E-4</v>
      </c>
      <c r="BU5" s="52">
        <f t="shared" si="17"/>
        <v>7.7851041666666672E-4</v>
      </c>
      <c r="BV5" s="53">
        <f t="shared" si="18"/>
        <v>7.5589583333333335E-4</v>
      </c>
      <c r="BW5" s="52" t="str">
        <f t="shared" si="19"/>
        <v/>
      </c>
      <c r="BX5" s="52" t="str">
        <f t="shared" si="20"/>
        <v/>
      </c>
      <c r="BY5" s="52" t="str">
        <f t="shared" si="21"/>
        <v/>
      </c>
      <c r="BZ5" s="53" t="str">
        <f t="shared" si="22"/>
        <v/>
      </c>
    </row>
    <row r="6" spans="1:78" x14ac:dyDescent="0.45">
      <c r="A6" s="106"/>
      <c r="B6" s="47" t="s">
        <v>187</v>
      </c>
      <c r="C6" s="52">
        <v>6.8726851851851859E-4</v>
      </c>
      <c r="D6" s="52">
        <v>6.7418981481481486E-4</v>
      </c>
      <c r="E6" s="53">
        <v>6.5995370370370372E-4</v>
      </c>
      <c r="F6" s="52">
        <v>6.6874999999999997E-4</v>
      </c>
      <c r="G6" s="52">
        <v>6.5451388888888883E-4</v>
      </c>
      <c r="H6" s="52">
        <v>6.4131944444444436E-4</v>
      </c>
      <c r="I6" s="52">
        <v>6.3020833333333331E-4</v>
      </c>
      <c r="J6" s="53">
        <v>5.9594907407407405E-4</v>
      </c>
      <c r="K6" s="52">
        <v>6.1608796296296292E-4</v>
      </c>
      <c r="L6" s="52">
        <v>6.0601851851851854E-4</v>
      </c>
      <c r="M6" s="52">
        <v>5.9398148148148147E-4</v>
      </c>
      <c r="N6" s="53">
        <v>5.8993055555555556E-4</v>
      </c>
      <c r="O6" s="52">
        <v>7.7847222222222228E-4</v>
      </c>
      <c r="P6" s="52">
        <v>7.6828703703703694E-4</v>
      </c>
      <c r="Q6" s="53">
        <v>7.571759259259259E-4</v>
      </c>
      <c r="R6" s="68">
        <v>7.6400462962962967E-4</v>
      </c>
      <c r="S6" s="52">
        <v>7.5289351851851852E-4</v>
      </c>
      <c r="T6" s="52">
        <v>7.4259259259259254E-4</v>
      </c>
      <c r="U6" s="52">
        <v>7.3368055555555556E-4</v>
      </c>
      <c r="V6" s="53">
        <v>7.0625000000000006E-4</v>
      </c>
      <c r="W6" s="52">
        <v>7.2233796296296293E-4</v>
      </c>
      <c r="X6" s="52">
        <v>7.1435185185185187E-4</v>
      </c>
      <c r="Y6" s="52">
        <v>7.046296296296297E-4</v>
      </c>
      <c r="Z6" s="53">
        <v>7.0138888888888887E-4</v>
      </c>
      <c r="AB6" s="47" t="s">
        <v>187</v>
      </c>
      <c r="AC6" s="95">
        <v>0.2</v>
      </c>
      <c r="AD6" s="95">
        <v>0.2</v>
      </c>
      <c r="AE6" s="96">
        <v>0.2</v>
      </c>
      <c r="AF6" s="95">
        <v>0</v>
      </c>
      <c r="AG6" s="95">
        <v>0</v>
      </c>
      <c r="AH6" s="95">
        <v>0.16</v>
      </c>
      <c r="AI6" s="95">
        <v>0.16</v>
      </c>
      <c r="AJ6" s="96">
        <v>0.16</v>
      </c>
      <c r="AK6" s="97">
        <v>0</v>
      </c>
      <c r="AL6" s="97">
        <v>0</v>
      </c>
      <c r="AM6" s="97">
        <v>0</v>
      </c>
      <c r="AN6" s="96">
        <v>0</v>
      </c>
      <c r="AO6" s="95">
        <v>0.18</v>
      </c>
      <c r="AP6" s="95">
        <v>0.18</v>
      </c>
      <c r="AQ6" s="96">
        <v>0.18</v>
      </c>
      <c r="AR6" s="100">
        <v>0</v>
      </c>
      <c r="AS6" s="97">
        <v>0</v>
      </c>
      <c r="AT6" s="95">
        <v>0.17</v>
      </c>
      <c r="AU6" s="95">
        <v>0.17</v>
      </c>
      <c r="AV6" s="96">
        <v>0.17</v>
      </c>
      <c r="AW6" s="95">
        <v>0</v>
      </c>
      <c r="AX6" s="95">
        <v>0</v>
      </c>
      <c r="AY6" s="95">
        <v>0</v>
      </c>
      <c r="AZ6" s="96">
        <v>0</v>
      </c>
      <c r="BB6" s="47" t="s">
        <v>187</v>
      </c>
      <c r="BC6" s="52">
        <f t="shared" si="23"/>
        <v>8.2472222222222235E-4</v>
      </c>
      <c r="BD6" s="52">
        <f t="shared" si="0"/>
        <v>8.0902777777777787E-4</v>
      </c>
      <c r="BE6" s="53">
        <f t="shared" si="1"/>
        <v>7.9194444444444451E-4</v>
      </c>
      <c r="BF6" s="52" t="str">
        <f t="shared" si="2"/>
        <v/>
      </c>
      <c r="BG6" s="52" t="str">
        <f t="shared" si="3"/>
        <v/>
      </c>
      <c r="BH6" s="52">
        <f t="shared" si="4"/>
        <v>7.439305555555554E-4</v>
      </c>
      <c r="BI6" s="52">
        <f t="shared" si="5"/>
        <v>7.3104166666666662E-4</v>
      </c>
      <c r="BJ6" s="53">
        <f t="shared" si="6"/>
        <v>6.9130092592592594E-4</v>
      </c>
      <c r="BK6" s="52" t="str">
        <f t="shared" si="7"/>
        <v/>
      </c>
      <c r="BL6" s="52" t="str">
        <f t="shared" si="8"/>
        <v/>
      </c>
      <c r="BM6" s="52" t="str">
        <f t="shared" si="9"/>
        <v/>
      </c>
      <c r="BN6" s="53" t="str">
        <f t="shared" si="10"/>
        <v/>
      </c>
      <c r="BO6" s="52">
        <f t="shared" si="11"/>
        <v>9.1859722222222234E-4</v>
      </c>
      <c r="BP6" s="52">
        <f t="shared" si="12"/>
        <v>9.065787037037036E-4</v>
      </c>
      <c r="BQ6" s="53">
        <f t="shared" si="13"/>
        <v>8.9346759259259262E-4</v>
      </c>
      <c r="BR6" s="68" t="str">
        <f t="shared" si="14"/>
        <v/>
      </c>
      <c r="BS6" s="52" t="str">
        <f t="shared" si="15"/>
        <v/>
      </c>
      <c r="BT6" s="52">
        <f t="shared" si="16"/>
        <v>8.6883333333333322E-4</v>
      </c>
      <c r="BU6" s="52">
        <f t="shared" si="17"/>
        <v>8.5840625000000001E-4</v>
      </c>
      <c r="BV6" s="53">
        <f t="shared" si="18"/>
        <v>8.2631250000000012E-4</v>
      </c>
      <c r="BW6" s="52" t="str">
        <f t="shared" si="19"/>
        <v/>
      </c>
      <c r="BX6" s="52" t="str">
        <f t="shared" si="20"/>
        <v/>
      </c>
      <c r="BY6" s="52" t="str">
        <f t="shared" si="21"/>
        <v/>
      </c>
      <c r="BZ6" s="53" t="str">
        <f t="shared" si="22"/>
        <v/>
      </c>
    </row>
    <row r="7" spans="1:78" x14ac:dyDescent="0.45">
      <c r="A7" s="106"/>
      <c r="B7" s="47" t="s">
        <v>188</v>
      </c>
      <c r="C7" s="52">
        <v>1.5266203703703705E-3</v>
      </c>
      <c r="D7" s="52">
        <v>1.5104166666666666E-3</v>
      </c>
      <c r="E7" s="53">
        <v>1.4928240740740739E-3</v>
      </c>
      <c r="F7" s="52">
        <v>1.5037037037037035E-3</v>
      </c>
      <c r="G7" s="52">
        <v>1.4859953703703702E-3</v>
      </c>
      <c r="H7" s="52">
        <v>1.4697916666666666E-3</v>
      </c>
      <c r="I7" s="52">
        <v>1.4555555555555556E-3</v>
      </c>
      <c r="J7" s="53">
        <v>1.411574074074074E-3</v>
      </c>
      <c r="K7" s="52">
        <v>1.4375E-3</v>
      </c>
      <c r="L7" s="52">
        <v>1.4245370370370371E-3</v>
      </c>
      <c r="M7" s="52">
        <v>1.4090277777777777E-3</v>
      </c>
      <c r="N7" s="53">
        <v>1.4038194444444445E-3</v>
      </c>
      <c r="O7" s="52">
        <v>1.6328703703703702E-3</v>
      </c>
      <c r="P7" s="52">
        <v>1.6271990740740741E-3</v>
      </c>
      <c r="Q7" s="53">
        <v>1.6210648148148148E-3</v>
      </c>
      <c r="R7" s="68">
        <v>1.6247685185185184E-3</v>
      </c>
      <c r="S7" s="52">
        <v>1.6186342592592591E-3</v>
      </c>
      <c r="T7" s="52">
        <v>1.6129629629629632E-3</v>
      </c>
      <c r="U7" s="52">
        <v>1.6078703703703706E-3</v>
      </c>
      <c r="V7" s="53">
        <v>1.5918981481481481E-3</v>
      </c>
      <c r="W7" s="52">
        <v>1.6012731481481481E-3</v>
      </c>
      <c r="X7" s="52">
        <v>1.5966435185185183E-3</v>
      </c>
      <c r="Y7" s="52">
        <v>1.5909722222222224E-3</v>
      </c>
      <c r="Z7" s="53">
        <v>1.5891203703703705E-3</v>
      </c>
      <c r="AB7" s="47" t="s">
        <v>188</v>
      </c>
      <c r="AC7" s="95">
        <v>0.2</v>
      </c>
      <c r="AD7" s="95">
        <v>0.2</v>
      </c>
      <c r="AE7" s="96">
        <v>0.2</v>
      </c>
      <c r="AF7" s="95">
        <v>0</v>
      </c>
      <c r="AG7" s="95">
        <v>0</v>
      </c>
      <c r="AH7" s="95">
        <v>0.16</v>
      </c>
      <c r="AI7" s="95">
        <v>0.16</v>
      </c>
      <c r="AJ7" s="96">
        <v>0.16</v>
      </c>
      <c r="AK7" s="97">
        <v>0</v>
      </c>
      <c r="AL7" s="97">
        <v>0</v>
      </c>
      <c r="AM7" s="97">
        <v>0</v>
      </c>
      <c r="AN7" s="96">
        <v>0</v>
      </c>
      <c r="AO7" s="95">
        <v>0.18</v>
      </c>
      <c r="AP7" s="95">
        <v>0.18</v>
      </c>
      <c r="AQ7" s="96">
        <v>0.18</v>
      </c>
      <c r="AR7" s="100">
        <v>0</v>
      </c>
      <c r="AS7" s="97">
        <v>0</v>
      </c>
      <c r="AT7" s="95">
        <v>0.17</v>
      </c>
      <c r="AU7" s="95">
        <v>0.17</v>
      </c>
      <c r="AV7" s="96">
        <v>0.17</v>
      </c>
      <c r="AW7" s="95">
        <v>0</v>
      </c>
      <c r="AX7" s="95">
        <v>0</v>
      </c>
      <c r="AY7" s="95">
        <v>0</v>
      </c>
      <c r="AZ7" s="96">
        <v>0</v>
      </c>
      <c r="BB7" s="47" t="s">
        <v>188</v>
      </c>
      <c r="BC7" s="52">
        <f t="shared" si="23"/>
        <v>1.8319444444444446E-3</v>
      </c>
      <c r="BD7" s="52">
        <f t="shared" si="0"/>
        <v>1.8124999999999999E-3</v>
      </c>
      <c r="BE7" s="53">
        <f t="shared" si="1"/>
        <v>1.7913888888888888E-3</v>
      </c>
      <c r="BF7" s="52" t="str">
        <f t="shared" si="2"/>
        <v/>
      </c>
      <c r="BG7" s="52" t="str">
        <f t="shared" si="3"/>
        <v/>
      </c>
      <c r="BH7" s="52">
        <f t="shared" si="4"/>
        <v>1.7049583333333333E-3</v>
      </c>
      <c r="BI7" s="52">
        <f t="shared" si="5"/>
        <v>1.6884444444444445E-3</v>
      </c>
      <c r="BJ7" s="53">
        <f t="shared" si="6"/>
        <v>1.6374259259259259E-3</v>
      </c>
      <c r="BK7" s="52" t="str">
        <f t="shared" si="7"/>
        <v/>
      </c>
      <c r="BL7" s="52" t="str">
        <f t="shared" si="8"/>
        <v/>
      </c>
      <c r="BM7" s="52" t="str">
        <f t="shared" si="9"/>
        <v/>
      </c>
      <c r="BN7" s="53" t="str">
        <f t="shared" si="10"/>
        <v/>
      </c>
      <c r="BO7" s="52">
        <f t="shared" si="11"/>
        <v>1.9267870370370367E-3</v>
      </c>
      <c r="BP7" s="52">
        <f t="shared" si="12"/>
        <v>1.9200949074074075E-3</v>
      </c>
      <c r="BQ7" s="53">
        <f t="shared" si="13"/>
        <v>1.9128564814814815E-3</v>
      </c>
      <c r="BR7" s="68" t="str">
        <f t="shared" si="14"/>
        <v/>
      </c>
      <c r="BS7" s="52" t="str">
        <f t="shared" si="15"/>
        <v/>
      </c>
      <c r="BT7" s="52">
        <f t="shared" si="16"/>
        <v>1.887166666666667E-3</v>
      </c>
      <c r="BU7" s="52">
        <f t="shared" si="17"/>
        <v>1.8812083333333337E-3</v>
      </c>
      <c r="BV7" s="53">
        <f t="shared" si="18"/>
        <v>1.8625208333333332E-3</v>
      </c>
      <c r="BW7" s="52" t="str">
        <f t="shared" si="19"/>
        <v/>
      </c>
      <c r="BX7" s="52" t="str">
        <f t="shared" si="20"/>
        <v/>
      </c>
      <c r="BY7" s="52" t="str">
        <f t="shared" si="21"/>
        <v/>
      </c>
      <c r="BZ7" s="53" t="str">
        <f t="shared" si="22"/>
        <v/>
      </c>
    </row>
    <row r="8" spans="1:78" ht="14.65" thickBot="1" x14ac:dyDescent="0.5">
      <c r="A8" s="106"/>
      <c r="B8" s="50" t="s">
        <v>4</v>
      </c>
      <c r="C8" s="54">
        <v>1.6688657407407407E-3</v>
      </c>
      <c r="D8" s="54">
        <v>1.6509259259259257E-3</v>
      </c>
      <c r="E8" s="55">
        <v>1.6315972222222222E-3</v>
      </c>
      <c r="F8" s="56">
        <v>1.6435185185185185E-3</v>
      </c>
      <c r="G8" s="54">
        <v>1.6241898148148146E-3</v>
      </c>
      <c r="H8" s="54">
        <v>1.60625E-3</v>
      </c>
      <c r="I8" s="54">
        <v>1.590625E-3</v>
      </c>
      <c r="J8" s="55">
        <v>1.5422453703703705E-3</v>
      </c>
      <c r="K8" s="54">
        <v>1.5707175925925927E-3</v>
      </c>
      <c r="L8" s="54">
        <v>1.5564814814814814E-3</v>
      </c>
      <c r="M8" s="54">
        <v>1.5393518518518519E-3</v>
      </c>
      <c r="N8" s="54">
        <v>1.5336805555555555E-3</v>
      </c>
      <c r="O8" s="56">
        <v>1.8101851851851853E-3</v>
      </c>
      <c r="P8" s="54">
        <v>1.7979166666666666E-3</v>
      </c>
      <c r="Q8" s="55">
        <v>1.784722222222222E-3</v>
      </c>
      <c r="R8" s="54">
        <v>1.7928240740740741E-3</v>
      </c>
      <c r="S8" s="54">
        <v>1.7796296296296295E-3</v>
      </c>
      <c r="T8" s="54">
        <v>1.767361111111111E-3</v>
      </c>
      <c r="U8" s="54">
        <v>1.7564814814814815E-3</v>
      </c>
      <c r="V8" s="55">
        <v>1.7228009259259258E-3</v>
      </c>
      <c r="W8" s="56">
        <v>1.7425925925925927E-3</v>
      </c>
      <c r="X8" s="54">
        <v>1.7327546296296297E-3</v>
      </c>
      <c r="Y8" s="54">
        <v>1.7208333333333333E-3</v>
      </c>
      <c r="Z8" s="55">
        <v>1.7168981481481482E-3</v>
      </c>
      <c r="AB8" s="50" t="s">
        <v>4</v>
      </c>
      <c r="AC8" s="101">
        <v>0.2</v>
      </c>
      <c r="AD8" s="101">
        <v>0.2</v>
      </c>
      <c r="AE8" s="102">
        <v>0.2</v>
      </c>
      <c r="AF8" s="103">
        <v>0</v>
      </c>
      <c r="AG8" s="101">
        <v>0</v>
      </c>
      <c r="AH8" s="101">
        <v>0.16</v>
      </c>
      <c r="AI8" s="101">
        <v>0.16</v>
      </c>
      <c r="AJ8" s="102">
        <v>0.16</v>
      </c>
      <c r="AK8" s="101">
        <v>0</v>
      </c>
      <c r="AL8" s="101">
        <v>0</v>
      </c>
      <c r="AM8" s="101">
        <v>0</v>
      </c>
      <c r="AN8" s="101">
        <v>0</v>
      </c>
      <c r="AO8" s="103">
        <v>0.18</v>
      </c>
      <c r="AP8" s="101">
        <v>0.18</v>
      </c>
      <c r="AQ8" s="102">
        <v>0.18</v>
      </c>
      <c r="AR8" s="101">
        <v>0</v>
      </c>
      <c r="AS8" s="101">
        <v>0</v>
      </c>
      <c r="AT8" s="101">
        <v>0.17</v>
      </c>
      <c r="AU8" s="101">
        <v>0.17</v>
      </c>
      <c r="AV8" s="102">
        <v>0.17</v>
      </c>
      <c r="AW8" s="103">
        <v>0</v>
      </c>
      <c r="AX8" s="101">
        <v>0</v>
      </c>
      <c r="AY8" s="101">
        <v>0</v>
      </c>
      <c r="AZ8" s="102">
        <v>0</v>
      </c>
      <c r="BB8" s="50" t="s">
        <v>4</v>
      </c>
      <c r="BC8" s="54">
        <f t="shared" si="23"/>
        <v>2.0026388888888889E-3</v>
      </c>
      <c r="BD8" s="54">
        <f t="shared" si="0"/>
        <v>1.981111111111111E-3</v>
      </c>
      <c r="BE8" s="55">
        <f t="shared" si="1"/>
        <v>1.9579166666666668E-3</v>
      </c>
      <c r="BF8" s="56" t="str">
        <f t="shared" si="2"/>
        <v/>
      </c>
      <c r="BG8" s="54" t="str">
        <f t="shared" si="3"/>
        <v/>
      </c>
      <c r="BH8" s="54">
        <f t="shared" si="4"/>
        <v>1.8632500000000001E-3</v>
      </c>
      <c r="BI8" s="54">
        <f t="shared" si="5"/>
        <v>1.845125E-3</v>
      </c>
      <c r="BJ8" s="55">
        <f t="shared" si="6"/>
        <v>1.7890046296296298E-3</v>
      </c>
      <c r="BK8" s="54" t="str">
        <f t="shared" si="7"/>
        <v/>
      </c>
      <c r="BL8" s="54" t="str">
        <f t="shared" si="8"/>
        <v/>
      </c>
      <c r="BM8" s="54" t="str">
        <f t="shared" si="9"/>
        <v/>
      </c>
      <c r="BN8" s="54" t="str">
        <f t="shared" si="10"/>
        <v/>
      </c>
      <c r="BO8" s="56">
        <f t="shared" si="11"/>
        <v>2.1360185185185189E-3</v>
      </c>
      <c r="BP8" s="54">
        <f t="shared" si="12"/>
        <v>2.1215416666666665E-3</v>
      </c>
      <c r="BQ8" s="55">
        <f t="shared" si="13"/>
        <v>2.1059722222222222E-3</v>
      </c>
      <c r="BR8" s="54" t="str">
        <f t="shared" si="14"/>
        <v/>
      </c>
      <c r="BS8" s="54" t="str">
        <f t="shared" si="15"/>
        <v/>
      </c>
      <c r="BT8" s="54">
        <f t="shared" si="16"/>
        <v>2.0678124999999998E-3</v>
      </c>
      <c r="BU8" s="54">
        <f t="shared" si="17"/>
        <v>2.0550833333333332E-3</v>
      </c>
      <c r="BV8" s="55">
        <f t="shared" si="18"/>
        <v>2.0156770833333333E-3</v>
      </c>
      <c r="BW8" s="56" t="str">
        <f t="shared" si="19"/>
        <v/>
      </c>
      <c r="BX8" s="54" t="str">
        <f t="shared" si="20"/>
        <v/>
      </c>
      <c r="BY8" s="54" t="str">
        <f t="shared" si="21"/>
        <v/>
      </c>
      <c r="BZ8" s="55" t="str">
        <f t="shared" si="22"/>
        <v/>
      </c>
    </row>
    <row r="9" spans="1:78" ht="14.65" thickTop="1" x14ac:dyDescent="0.45"/>
    <row r="10" spans="1:78" ht="18" x14ac:dyDescent="0.45">
      <c r="A10" s="106">
        <v>2026</v>
      </c>
      <c r="B10" s="45" t="str">
        <f ca="1">CONCATENATE("in: ",YEAR(TODAY())," für: ", YEAR(TODAY())+1)</f>
        <v>in: 2026 für: 2027</v>
      </c>
      <c r="C10" s="107" t="s">
        <v>220</v>
      </c>
      <c r="D10" s="107"/>
      <c r="E10" s="108"/>
      <c r="F10" s="109" t="s">
        <v>221</v>
      </c>
      <c r="G10" s="110"/>
      <c r="H10" s="110"/>
      <c r="I10" s="110"/>
      <c r="J10" s="111"/>
      <c r="K10" s="112" t="s">
        <v>225</v>
      </c>
      <c r="L10" s="113"/>
      <c r="M10" s="113"/>
      <c r="N10" s="114"/>
      <c r="O10" s="132" t="s">
        <v>222</v>
      </c>
      <c r="P10" s="132"/>
      <c r="Q10" s="133"/>
      <c r="R10" s="134" t="s">
        <v>223</v>
      </c>
      <c r="S10" s="135"/>
      <c r="T10" s="135"/>
      <c r="U10" s="135"/>
      <c r="V10" s="136"/>
      <c r="W10" s="137" t="s">
        <v>226</v>
      </c>
      <c r="X10" s="138"/>
      <c r="Y10" s="138"/>
      <c r="Z10" s="139"/>
      <c r="AB10" s="45" t="str">
        <f ca="1">CONCATENATE("in: ",YEAR(TODAY())," für: ", YEAR(TODAY())+1)</f>
        <v>in: 2026 für: 2027</v>
      </c>
      <c r="AC10" s="115" t="s">
        <v>227</v>
      </c>
      <c r="AD10" s="115"/>
      <c r="AE10" s="116"/>
      <c r="AF10" s="117" t="s">
        <v>228</v>
      </c>
      <c r="AG10" s="118"/>
      <c r="AH10" s="118"/>
      <c r="AI10" s="118"/>
      <c r="AJ10" s="119"/>
      <c r="AK10" s="120" t="s">
        <v>229</v>
      </c>
      <c r="AL10" s="121"/>
      <c r="AM10" s="121"/>
      <c r="AN10" s="122"/>
      <c r="AO10" s="123" t="s">
        <v>230</v>
      </c>
      <c r="AP10" s="124"/>
      <c r="AQ10" s="125"/>
      <c r="AR10" s="126" t="s">
        <v>231</v>
      </c>
      <c r="AS10" s="127"/>
      <c r="AT10" s="127"/>
      <c r="AU10" s="127"/>
      <c r="AV10" s="128"/>
      <c r="AW10" s="129" t="s">
        <v>232</v>
      </c>
      <c r="AX10" s="130"/>
      <c r="AY10" s="130"/>
      <c r="AZ10" s="131"/>
      <c r="BB10" s="45" t="str">
        <f ca="1">CONCATENATE("in: ",YEAR(TODAY())," für: ", YEAR(TODAY())+1)</f>
        <v>in: 2026 für: 2027</v>
      </c>
      <c r="BC10" s="107" t="s">
        <v>233</v>
      </c>
      <c r="BD10" s="107"/>
      <c r="BE10" s="108"/>
      <c r="BF10" s="109" t="s">
        <v>234</v>
      </c>
      <c r="BG10" s="110"/>
      <c r="BH10" s="110"/>
      <c r="BI10" s="110"/>
      <c r="BJ10" s="111"/>
      <c r="BK10" s="112" t="s">
        <v>235</v>
      </c>
      <c r="BL10" s="113"/>
      <c r="BM10" s="113"/>
      <c r="BN10" s="114"/>
      <c r="BO10" s="132" t="s">
        <v>241</v>
      </c>
      <c r="BP10" s="132"/>
      <c r="BQ10" s="133"/>
      <c r="BR10" s="134" t="s">
        <v>242</v>
      </c>
      <c r="BS10" s="135"/>
      <c r="BT10" s="135"/>
      <c r="BU10" s="135"/>
      <c r="BV10" s="136"/>
      <c r="BW10" s="137" t="s">
        <v>236</v>
      </c>
      <c r="BX10" s="138"/>
      <c r="BY10" s="138"/>
      <c r="BZ10" s="139"/>
    </row>
    <row r="11" spans="1:78" ht="21.4" thickBot="1" x14ac:dyDescent="0.5">
      <c r="A11" s="106"/>
      <c r="B11" s="46" t="s">
        <v>224</v>
      </c>
      <c r="C11" s="58" t="str">
        <f ca="1">CONCATENATE("≤",YEAR(TODAY())-15)</f>
        <v>≤2011</v>
      </c>
      <c r="D11" s="58">
        <f ca="1">YEAR(TODAY())-16</f>
        <v>2010</v>
      </c>
      <c r="E11" s="59">
        <f ca="1">YEAR(TODAY())-17</f>
        <v>2009</v>
      </c>
      <c r="F11" s="60">
        <f ca="1">YEAR(TODAY())-16</f>
        <v>2010</v>
      </c>
      <c r="G11" s="60">
        <f ca="1">YEAR(TODAY())-17</f>
        <v>2009</v>
      </c>
      <c r="H11" s="60">
        <f ca="1">YEAR(TODAY())-18</f>
        <v>2008</v>
      </c>
      <c r="I11" s="89" t="str">
        <f ca="1">CONCATENATE(YEAR(TODAY())-19,"-",YEAR(TODAY())-21)</f>
        <v>2007-2005</v>
      </c>
      <c r="J11" s="89" t="str">
        <f ca="1">CONCATENATE(YEAR(TODAY())-22,"-",YEAR(TODAY())-23)</f>
        <v>2004-2003</v>
      </c>
      <c r="K11" s="90" t="str">
        <f ca="1">CONCATENATE(YEAR(TODAY())-15,"-",YEAR(TODAY())-19)</f>
        <v>2011-2007</v>
      </c>
      <c r="L11" s="91">
        <f ca="1">YEAR(TODAY())-20</f>
        <v>2006</v>
      </c>
      <c r="M11" s="91" t="str">
        <f ca="1">CONCATENATE(YEAR(TODAY())-21,"-",YEAR(TODAY())-23)</f>
        <v>2005-2003</v>
      </c>
      <c r="N11" s="92" t="str">
        <f ca="1">CONCATENATE(YEAR(TODAY())-24,"-",YEAR(TODAY())-40)</f>
        <v>2002-1986</v>
      </c>
      <c r="O11" s="61" t="str">
        <f ca="1">CONCATENATE("≤",YEAR(TODAY())-15)</f>
        <v>≤2011</v>
      </c>
      <c r="P11" s="61">
        <f ca="1">YEAR(TODAY())-16</f>
        <v>2010</v>
      </c>
      <c r="Q11" s="62">
        <f ca="1">YEAR(TODAY())-17</f>
        <v>2009</v>
      </c>
      <c r="R11" s="63">
        <f ca="1">YEAR(TODAY())-16</f>
        <v>2010</v>
      </c>
      <c r="S11" s="63">
        <f ca="1">YEAR(TODAY())-17</f>
        <v>2009</v>
      </c>
      <c r="T11" s="63">
        <f ca="1">YEAR(TODAY())-18</f>
        <v>2008</v>
      </c>
      <c r="U11" s="64" t="str">
        <f ca="1">CONCATENATE(YEAR(TODAY())-19,"-",YEAR(TODAY())-21)</f>
        <v>2007-2005</v>
      </c>
      <c r="V11" s="65" t="str">
        <f ca="1">CONCATENATE(YEAR(TODAY())-22,"-",YEAR(TODAY())-23)</f>
        <v>2004-2003</v>
      </c>
      <c r="W11" s="73" t="str">
        <f ca="1">CONCATENATE(YEAR(TODAY())-15,"-",YEAR(TODAY())-19)</f>
        <v>2011-2007</v>
      </c>
      <c r="X11" s="93">
        <f ca="1">YEAR(TODAY())-20</f>
        <v>2006</v>
      </c>
      <c r="Y11" s="73" t="str">
        <f ca="1">CONCATENATE(YEAR(TODAY())-21,"-",YEAR(TODAY())-23)</f>
        <v>2005-2003</v>
      </c>
      <c r="Z11" s="75" t="str">
        <f ca="1">CONCATENATE(YEAR(TODAY())-24,"-",YEAR(TODAY())-50)</f>
        <v>2002-1976</v>
      </c>
      <c r="AA11" s="39"/>
      <c r="AB11" s="46" t="s">
        <v>224</v>
      </c>
      <c r="AC11" s="80" t="str">
        <f ca="1">CONCATENATE("≤",YEAR(TODAY())-15)</f>
        <v>≤2011</v>
      </c>
      <c r="AD11" s="80">
        <f ca="1">YEAR(TODAY())-16</f>
        <v>2010</v>
      </c>
      <c r="AE11" s="81">
        <f ca="1">YEAR(TODAY())-17</f>
        <v>2009</v>
      </c>
      <c r="AF11" s="82">
        <f ca="1">YEAR(TODAY())-16</f>
        <v>2010</v>
      </c>
      <c r="AG11" s="82">
        <f ca="1">YEAR(TODAY())-17</f>
        <v>2009</v>
      </c>
      <c r="AH11" s="82">
        <f ca="1">YEAR(TODAY())-18</f>
        <v>2008</v>
      </c>
      <c r="AI11" s="82" t="str">
        <f ca="1">CONCATENATE(YEAR(TODAY())-19,"-",YEAR(TODAY())-21)</f>
        <v>2007-2005</v>
      </c>
      <c r="AJ11" s="82" t="str">
        <f ca="1">CONCATENATE(YEAR(TODAY())-22,"-",YEAR(TODAY())-50)</f>
        <v>2004-1976</v>
      </c>
      <c r="AK11" s="83" t="str">
        <f ca="1">CONCATENATE(YEAR(TODAY())-15,"-",YEAR(TODAY())-19)</f>
        <v>2011-2007</v>
      </c>
      <c r="AL11" s="84">
        <f ca="1">YEAR(TODAY())-20</f>
        <v>2006</v>
      </c>
      <c r="AM11" s="84" t="str">
        <f ca="1">CONCATENATE(YEAR(TODAY())-21,"-",YEAR(TODAY())-23)</f>
        <v>2005-2003</v>
      </c>
      <c r="AN11" s="85" t="str">
        <f ca="1">CONCATENATE(YEAR(TODAY())-24,"-",YEAR(TODAY())-40)</f>
        <v>2002-1986</v>
      </c>
      <c r="AO11" s="86" t="str">
        <f ca="1">CONCATENATE("≤",YEAR(TODAY())-15)</f>
        <v>≤2011</v>
      </c>
      <c r="AP11" s="86">
        <f ca="1">YEAR(TODAY())-16</f>
        <v>2010</v>
      </c>
      <c r="AQ11" s="87">
        <f ca="1">YEAR(TODAY())-17</f>
        <v>2009</v>
      </c>
      <c r="AR11" s="77">
        <f ca="1">YEAR(TODAY())-16</f>
        <v>2010</v>
      </c>
      <c r="AS11" s="77">
        <f ca="1">YEAR(TODAY())-17</f>
        <v>2009</v>
      </c>
      <c r="AT11" s="77">
        <f ca="1">YEAR(TODAY())-18</f>
        <v>2008</v>
      </c>
      <c r="AU11" s="77" t="str">
        <f ca="1">CONCATENATE(YEAR(TODAY())-19,"-",YEAR(TODAY())-21)</f>
        <v>2007-2005</v>
      </c>
      <c r="AV11" s="78" t="str">
        <f ca="1">CONCATENATE(YEAR(TODAY())-22,"-",YEAR(TODAY())-50)</f>
        <v>2004-1976</v>
      </c>
      <c r="AW11" s="88" t="str">
        <f ca="1">CONCATENATE(YEAR(TODAY())-15,"-",YEAR(TODAY())-19)</f>
        <v>2011-2007</v>
      </c>
      <c r="AX11" s="88">
        <f ca="1">YEAR(TODAY())-20</f>
        <v>2006</v>
      </c>
      <c r="AY11" s="88" t="str">
        <f ca="1">CONCATENATE(YEAR(TODAY())-21,"-",YEAR(TODAY())-23)</f>
        <v>2005-2003</v>
      </c>
      <c r="AZ11" s="79" t="str">
        <f ca="1">CONCATENATE(YEAR(TODAY())-24,"-",YEAR(TODAY())-40)</f>
        <v>2002-1986</v>
      </c>
      <c r="BB11" s="46" t="s">
        <v>224</v>
      </c>
      <c r="BC11" s="58" t="str">
        <f ca="1">CONCATENATE("≤",YEAR(TODAY())-15-1)</f>
        <v>≤2010</v>
      </c>
      <c r="BD11" s="58">
        <f ca="1">YEAR(TODAY())-16-1</f>
        <v>2009</v>
      </c>
      <c r="BE11" s="59">
        <f ca="1">YEAR(TODAY())-17-1</f>
        <v>2008</v>
      </c>
      <c r="BF11" s="60">
        <f ca="1">YEAR(TODAY())-16-1</f>
        <v>2009</v>
      </c>
      <c r="BG11" s="60">
        <f ca="1">YEAR(TODAY())-17-1</f>
        <v>2008</v>
      </c>
      <c r="BH11" s="60">
        <f ca="1">YEAR(TODAY())-18-1</f>
        <v>2007</v>
      </c>
      <c r="BI11" s="89" t="str">
        <f ca="1">CONCATENATE(YEAR(TODAY())-1-19,"-",YEAR(TODAY())-1-21)</f>
        <v>2006-2004</v>
      </c>
      <c r="BJ11" s="89" t="str">
        <f ca="1">CONCATENATE(YEAR(TODAY())-1-22,"-",YEAR(TODAY())-1-50)</f>
        <v>2003-1975</v>
      </c>
      <c r="BK11" s="90" t="str">
        <f ca="1">CONCATENATE(YEAR(TODAY())-1-15,"-",YEAR(TODAY())-1-19)</f>
        <v>2010-2006</v>
      </c>
      <c r="BL11" s="91">
        <f ca="1">YEAR(TODAY())-20-1</f>
        <v>2005</v>
      </c>
      <c r="BM11" s="91" t="str">
        <f ca="1">CONCATENATE(YEAR(TODAY())-1-21,"-",YEAR(TODAY())-1-23)</f>
        <v>2004-2002</v>
      </c>
      <c r="BN11" s="91" t="str">
        <f ca="1">CONCATENATE(YEAR(TODAY())-1-24,"-",YEAR(TODAY())-40-1)</f>
        <v>2001-1985</v>
      </c>
      <c r="BO11" s="105" t="str">
        <f ca="1">CONCATENATE("≤",YEAR(TODAY())-15-1)</f>
        <v>≤2010</v>
      </c>
      <c r="BP11" s="61">
        <f ca="1">YEAR(TODAY())-16-1</f>
        <v>2009</v>
      </c>
      <c r="BQ11" s="62">
        <f ca="1">YEAR(TODAY())-17-1</f>
        <v>2008</v>
      </c>
      <c r="BR11" s="63">
        <f ca="1">YEAR(TODAY())-16-1</f>
        <v>2009</v>
      </c>
      <c r="BS11" s="63">
        <f ca="1">YEAR(TODAY())-17-1</f>
        <v>2008</v>
      </c>
      <c r="BT11" s="63">
        <f ca="1">YEAR(TODAY())-18-1</f>
        <v>2007</v>
      </c>
      <c r="BU11" s="64" t="str">
        <f ca="1">CONCATENATE(YEAR(TODAY())-1-19,"-",YEAR(TODAY())-1-21)</f>
        <v>2006-2004</v>
      </c>
      <c r="BV11" s="65" t="str">
        <f ca="1">CONCATENATE(YEAR(TODAY())-1-22,"-",YEAR(TODAY())-1-50)</f>
        <v>2003-1975</v>
      </c>
      <c r="BW11" s="73" t="str">
        <f ca="1">CONCATENATE(YEAR(TODAY())-1-15,"-",YEAR(TODAY())-1-19)</f>
        <v>2010-2006</v>
      </c>
      <c r="BX11" s="93">
        <f ca="1">YEAR(TODAY())-20-1</f>
        <v>2005</v>
      </c>
      <c r="BY11" s="73" t="str">
        <f ca="1">CONCATENATE(YEAR(TODAY())-1-21,"-",YEAR(TODAY())-1-23)</f>
        <v>2004-2002</v>
      </c>
      <c r="BZ11" s="75" t="str">
        <f ca="1">CONCATENATE(YEAR(TODAY())-1-24,"-",YEAR(TODAY())-40-1)</f>
        <v>2001-1985</v>
      </c>
    </row>
    <row r="12" spans="1:78" ht="14.65" thickTop="1" x14ac:dyDescent="0.45">
      <c r="A12" s="106"/>
      <c r="B12" s="47" t="s">
        <v>0</v>
      </c>
      <c r="C12" s="51">
        <v>3.9282407407407403E-4</v>
      </c>
      <c r="D12" s="52">
        <v>3.8495370370370371E-4</v>
      </c>
      <c r="E12" s="53">
        <v>3.7326388888888891E-4</v>
      </c>
      <c r="F12" s="52">
        <v>3.7430555555555562E-4</v>
      </c>
      <c r="G12" s="52">
        <v>3.6747685185185185E-4</v>
      </c>
      <c r="H12" s="52">
        <v>3.6111111111111109E-4</v>
      </c>
      <c r="I12" s="52">
        <v>3.5081018518518518E-4</v>
      </c>
      <c r="J12" s="53">
        <v>3.3900462962962964E-4</v>
      </c>
      <c r="K12" s="52">
        <v>3.488425925925926E-4</v>
      </c>
      <c r="L12" s="52">
        <v>3.4386574074074077E-4</v>
      </c>
      <c r="M12" s="52">
        <v>3.3796296296296298E-4</v>
      </c>
      <c r="N12" s="53">
        <v>3.359953703703704E-4</v>
      </c>
      <c r="O12" s="52">
        <v>4.7743055555555554E-4</v>
      </c>
      <c r="P12" s="52">
        <v>4.6701388888888888E-4</v>
      </c>
      <c r="Q12" s="53">
        <v>4.5578703703703704E-4</v>
      </c>
      <c r="R12" s="66">
        <v>4.586805555555556E-4</v>
      </c>
      <c r="S12" s="67">
        <v>4.5138888888888887E-4</v>
      </c>
      <c r="T12" s="52">
        <v>4.4097222222222226E-4</v>
      </c>
      <c r="U12" s="52">
        <v>4.2048611111111111E-4</v>
      </c>
      <c r="V12" s="69">
        <v>4.054398148148148E-4</v>
      </c>
      <c r="W12" s="52">
        <v>4.2118055555555555E-4</v>
      </c>
      <c r="X12" s="52">
        <v>4.1331018518518518E-4</v>
      </c>
      <c r="Y12" s="52">
        <v>4.0381944444444444E-4</v>
      </c>
      <c r="Z12" s="53">
        <v>4.0069444444444441E-4</v>
      </c>
      <c r="AB12" s="47" t="s">
        <v>0</v>
      </c>
      <c r="AC12" s="104">
        <v>0.2</v>
      </c>
      <c r="AD12" s="95">
        <v>0.2</v>
      </c>
      <c r="AE12" s="96">
        <v>0.2</v>
      </c>
      <c r="AF12" s="95">
        <v>0</v>
      </c>
      <c r="AG12" s="95">
        <v>0</v>
      </c>
      <c r="AH12" s="95">
        <v>0.16</v>
      </c>
      <c r="AI12" s="95">
        <v>0.16</v>
      </c>
      <c r="AJ12" s="96">
        <v>0.16</v>
      </c>
      <c r="AK12" s="97">
        <v>0</v>
      </c>
      <c r="AL12" s="97">
        <v>0</v>
      </c>
      <c r="AM12" s="97">
        <v>0</v>
      </c>
      <c r="AN12" s="96">
        <v>0</v>
      </c>
      <c r="AO12" s="95">
        <v>0.1799</v>
      </c>
      <c r="AP12" s="95">
        <v>0.18</v>
      </c>
      <c r="AQ12" s="96">
        <v>0.18</v>
      </c>
      <c r="AR12" s="95">
        <v>0</v>
      </c>
      <c r="AS12" s="98">
        <v>0</v>
      </c>
      <c r="AT12" s="95">
        <v>0.17</v>
      </c>
      <c r="AU12" s="95">
        <v>0.17</v>
      </c>
      <c r="AV12" s="99">
        <v>0.17</v>
      </c>
      <c r="AW12" s="95">
        <v>0</v>
      </c>
      <c r="AX12" s="95">
        <v>0</v>
      </c>
      <c r="AY12" s="95">
        <v>0</v>
      </c>
      <c r="AZ12" s="96">
        <v>0</v>
      </c>
      <c r="BB12" s="47" t="s">
        <v>0</v>
      </c>
      <c r="BC12" s="51">
        <f>IF(AC12=0,"",C12+C12*AC12)</f>
        <v>4.7138888888888881E-4</v>
      </c>
      <c r="BD12" s="52">
        <f t="shared" ref="BD12:BD17" si="24">IF(AD12=0,"",D12+D12*AD12)</f>
        <v>4.6194444444444446E-4</v>
      </c>
      <c r="BE12" s="53">
        <f t="shared" ref="BE12:BE17" si="25">IF(AE12=0,"",E12+E12*AE12)</f>
        <v>4.4791666666666667E-4</v>
      </c>
      <c r="BF12" s="52" t="str">
        <f t="shared" ref="BF12:BF17" si="26">IF(AF12=0,"",F12+F12*AF12)</f>
        <v/>
      </c>
      <c r="BG12" s="52" t="str">
        <f t="shared" ref="BG12:BG17" si="27">IF(AG12=0,"",G12+G12*AG12)</f>
        <v/>
      </c>
      <c r="BH12" s="52">
        <f t="shared" ref="BH12:BH17" si="28">IF(AH12=0,"",H12+H12*AH12)</f>
        <v>4.1888888888888889E-4</v>
      </c>
      <c r="BI12" s="52">
        <f t="shared" ref="BI12:BI17" si="29">IF(AI12=0,"",I12+I12*AI12)</f>
        <v>4.0693981481481478E-4</v>
      </c>
      <c r="BJ12" s="53">
        <f t="shared" ref="BJ12:BJ17" si="30">IF(AJ12=0,"",J12+J12*AJ12)</f>
        <v>3.9324537037037041E-4</v>
      </c>
      <c r="BK12" s="52" t="str">
        <f t="shared" ref="BK12:BK17" si="31">IF(AK12=0,"",K12+K12*AK12)</f>
        <v/>
      </c>
      <c r="BL12" s="52" t="str">
        <f t="shared" ref="BL12:BL17" si="32">IF(AL12=0,"",L12+L12*AL12)</f>
        <v/>
      </c>
      <c r="BM12" s="52" t="str">
        <f t="shared" ref="BM12:BM17" si="33">IF(AM12=0,"",M12+M12*AM12)</f>
        <v/>
      </c>
      <c r="BN12" s="53" t="str">
        <f t="shared" ref="BN12:BN17" si="34">IF(AN12=0,"",N12+N12*AN12)</f>
        <v/>
      </c>
      <c r="BO12" s="52">
        <f t="shared" ref="BO12:BO17" si="35">IF(AO12=0,"",O12+O12*AO12)</f>
        <v>5.6332031250000002E-4</v>
      </c>
      <c r="BP12" s="52">
        <f t="shared" ref="BP12:BP17" si="36">IF(AP12=0,"",P12+P12*AP12)</f>
        <v>5.5107638888888893E-4</v>
      </c>
      <c r="BQ12" s="53">
        <f t="shared" ref="BQ12:BQ17" si="37">IF(AQ12=0,"",Q12+Q12*AQ12)</f>
        <v>5.3782870370370367E-4</v>
      </c>
      <c r="BR12" s="66" t="str">
        <f t="shared" ref="BR12:BR17" si="38">IF(AR12=0,"",R12+R12*AR12)</f>
        <v/>
      </c>
      <c r="BS12" s="67" t="str">
        <f t="shared" ref="BS12:BS17" si="39">IF(AS12=0,"",S12+S12*AS12)</f>
        <v/>
      </c>
      <c r="BT12" s="52">
        <f t="shared" ref="BT12:BT17" si="40">IF(AT12=0,"",T12+T12*AT12)</f>
        <v>5.1593750000000001E-4</v>
      </c>
      <c r="BU12" s="52">
        <f t="shared" ref="BU12:BU17" si="41">IF(AU12=0,"",U12+U12*AU12)</f>
        <v>4.9196875E-4</v>
      </c>
      <c r="BV12" s="69">
        <f t="shared" ref="BV12:BV17" si="42">IF(AV12=0,"",V12+V12*AV12)</f>
        <v>4.7436458333333331E-4</v>
      </c>
      <c r="BW12" s="52" t="str">
        <f t="shared" ref="BW12:BW17" si="43">IF(AW12=0,"",W12+W12*AW12)</f>
        <v/>
      </c>
      <c r="BX12" s="52" t="str">
        <f t="shared" ref="BX12:BX17" si="44">IF(AX12=0,"",X12+X12*AX12)</f>
        <v/>
      </c>
      <c r="BY12" s="52" t="str">
        <f t="shared" ref="BY12:BY17" si="45">IF(AY12=0,"",Y12+Y12*AY12)</f>
        <v/>
      </c>
      <c r="BZ12" s="53" t="str">
        <f t="shared" ref="BZ12:BZ17" si="46">IF(AZ12=0,"",Z12+Z12*AZ12)</f>
        <v/>
      </c>
    </row>
    <row r="13" spans="1:78" x14ac:dyDescent="0.45">
      <c r="A13" s="106"/>
      <c r="B13" s="47" t="s">
        <v>185</v>
      </c>
      <c r="C13" s="52">
        <v>8.4803240740740737E-4</v>
      </c>
      <c r="D13" s="52">
        <v>8.3333333333333339E-4</v>
      </c>
      <c r="E13" s="53">
        <v>8.0104166666666681E-4</v>
      </c>
      <c r="F13" s="52">
        <v>8.0358796296296309E-4</v>
      </c>
      <c r="G13" s="52">
        <v>7.8715277777777779E-4</v>
      </c>
      <c r="H13" s="52">
        <v>7.7187499999999999E-4</v>
      </c>
      <c r="I13" s="52">
        <v>7.4733796296296289E-4</v>
      </c>
      <c r="J13" s="53">
        <v>7.1921296296296295E-4</v>
      </c>
      <c r="K13" s="52">
        <v>7.4259259259259254E-4</v>
      </c>
      <c r="L13" s="52">
        <v>7.309027777777778E-4</v>
      </c>
      <c r="M13" s="52">
        <v>7.1678240740740741E-4</v>
      </c>
      <c r="N13" s="53">
        <v>7.1215277777777781E-4</v>
      </c>
      <c r="O13" s="52">
        <v>1.0035879629629631E-3</v>
      </c>
      <c r="P13" s="52">
        <v>9.6921296296296295E-4</v>
      </c>
      <c r="Q13" s="53">
        <v>9.3472222222222231E-4</v>
      </c>
      <c r="R13" s="68">
        <v>9.4340277777777782E-4</v>
      </c>
      <c r="S13" s="52">
        <v>9.2094907407407403E-4</v>
      </c>
      <c r="T13" s="52">
        <v>9.0034722222222209E-4</v>
      </c>
      <c r="U13" s="52">
        <v>8.5960648148148148E-4</v>
      </c>
      <c r="V13" s="53">
        <v>8.2974537037037034E-4</v>
      </c>
      <c r="W13" s="52">
        <v>8.6111111111111121E-4</v>
      </c>
      <c r="X13" s="52">
        <v>8.4548611111111109E-4</v>
      </c>
      <c r="Y13" s="52">
        <v>8.2662037037037036E-4</v>
      </c>
      <c r="Z13" s="53">
        <v>8.2037037037037029E-4</v>
      </c>
      <c r="AB13" s="47" t="s">
        <v>185</v>
      </c>
      <c r="AC13" s="95">
        <v>0.2</v>
      </c>
      <c r="AD13" s="95">
        <v>0.2</v>
      </c>
      <c r="AE13" s="96">
        <v>0.2</v>
      </c>
      <c r="AF13" s="95">
        <v>0</v>
      </c>
      <c r="AG13" s="95">
        <v>0</v>
      </c>
      <c r="AH13" s="95">
        <v>0.16</v>
      </c>
      <c r="AI13" s="95">
        <v>0.16</v>
      </c>
      <c r="AJ13" s="96">
        <v>0.16</v>
      </c>
      <c r="AK13" s="97">
        <v>0</v>
      </c>
      <c r="AL13" s="97">
        <v>0</v>
      </c>
      <c r="AM13" s="97">
        <v>0</v>
      </c>
      <c r="AN13" s="96">
        <v>0</v>
      </c>
      <c r="AO13" s="95">
        <v>0.18</v>
      </c>
      <c r="AP13" s="95">
        <v>0.18</v>
      </c>
      <c r="AQ13" s="96">
        <v>0.18</v>
      </c>
      <c r="AR13" s="100">
        <v>0</v>
      </c>
      <c r="AS13" s="97">
        <v>0</v>
      </c>
      <c r="AT13" s="95">
        <v>0.17</v>
      </c>
      <c r="AU13" s="95">
        <v>0.17</v>
      </c>
      <c r="AV13" s="96">
        <v>0.17</v>
      </c>
      <c r="AW13" s="95">
        <v>0</v>
      </c>
      <c r="AX13" s="95">
        <v>0</v>
      </c>
      <c r="AY13" s="95">
        <v>0</v>
      </c>
      <c r="AZ13" s="96">
        <v>0</v>
      </c>
      <c r="BB13" s="47" t="s">
        <v>185</v>
      </c>
      <c r="BC13" s="52">
        <f t="shared" ref="BC13:BC17" si="47">IF(AC13=0,"",C13+C13*AC13)</f>
        <v>1.0176388888888889E-3</v>
      </c>
      <c r="BD13" s="52">
        <f t="shared" si="24"/>
        <v>1E-3</v>
      </c>
      <c r="BE13" s="53">
        <f t="shared" si="25"/>
        <v>9.6125000000000019E-4</v>
      </c>
      <c r="BF13" s="52" t="str">
        <f t="shared" si="26"/>
        <v/>
      </c>
      <c r="BG13" s="52" t="str">
        <f t="shared" si="27"/>
        <v/>
      </c>
      <c r="BH13" s="52">
        <f t="shared" si="28"/>
        <v>8.9537500000000001E-4</v>
      </c>
      <c r="BI13" s="52">
        <f t="shared" si="29"/>
        <v>8.6691203703703691E-4</v>
      </c>
      <c r="BJ13" s="53">
        <f t="shared" si="30"/>
        <v>8.3428703703703703E-4</v>
      </c>
      <c r="BK13" s="52" t="str">
        <f t="shared" si="31"/>
        <v/>
      </c>
      <c r="BL13" s="52" t="str">
        <f t="shared" si="32"/>
        <v/>
      </c>
      <c r="BM13" s="52" t="str">
        <f t="shared" si="33"/>
        <v/>
      </c>
      <c r="BN13" s="53" t="str">
        <f t="shared" si="34"/>
        <v/>
      </c>
      <c r="BO13" s="52">
        <f t="shared" si="35"/>
        <v>1.1842337962962965E-3</v>
      </c>
      <c r="BP13" s="52">
        <f t="shared" si="36"/>
        <v>1.1436712962962963E-3</v>
      </c>
      <c r="BQ13" s="53">
        <f t="shared" si="37"/>
        <v>1.1029722222222222E-3</v>
      </c>
      <c r="BR13" s="68" t="str">
        <f t="shared" si="38"/>
        <v/>
      </c>
      <c r="BS13" s="52" t="str">
        <f t="shared" si="39"/>
        <v/>
      </c>
      <c r="BT13" s="52">
        <f t="shared" si="40"/>
        <v>1.0534062499999999E-3</v>
      </c>
      <c r="BU13" s="52">
        <f t="shared" si="41"/>
        <v>1.0057395833333333E-3</v>
      </c>
      <c r="BV13" s="53">
        <f t="shared" si="42"/>
        <v>9.7080208333333328E-4</v>
      </c>
      <c r="BW13" s="52" t="str">
        <f t="shared" si="43"/>
        <v/>
      </c>
      <c r="BX13" s="52" t="str">
        <f t="shared" si="44"/>
        <v/>
      </c>
      <c r="BY13" s="52" t="str">
        <f t="shared" si="45"/>
        <v/>
      </c>
      <c r="BZ13" s="53" t="str">
        <f t="shared" si="46"/>
        <v/>
      </c>
    </row>
    <row r="14" spans="1:78" x14ac:dyDescent="0.45">
      <c r="A14" s="106"/>
      <c r="B14" s="47" t="s">
        <v>186</v>
      </c>
      <c r="C14" s="52">
        <v>6.1793981481481487E-4</v>
      </c>
      <c r="D14" s="52">
        <v>6.0636574074074076E-4</v>
      </c>
      <c r="E14" s="53">
        <v>5.894675925925926E-4</v>
      </c>
      <c r="F14" s="52">
        <v>5.9097222222222222E-4</v>
      </c>
      <c r="G14" s="52">
        <v>5.8101851851851858E-4</v>
      </c>
      <c r="H14" s="52">
        <v>5.7175925925925927E-4</v>
      </c>
      <c r="I14" s="52">
        <v>5.5659722222222222E-4</v>
      </c>
      <c r="J14" s="53">
        <v>5.3935185185185184E-4</v>
      </c>
      <c r="K14" s="52">
        <v>5.5381944444444445E-4</v>
      </c>
      <c r="L14" s="52">
        <v>5.4652777777777772E-4</v>
      </c>
      <c r="M14" s="52">
        <v>5.3796296296296296E-4</v>
      </c>
      <c r="N14" s="53">
        <v>5.3506944444444446E-4</v>
      </c>
      <c r="O14" s="52">
        <v>7.1643518518518519E-4</v>
      </c>
      <c r="P14" s="52">
        <v>7.0370370370370367E-4</v>
      </c>
      <c r="Q14" s="53">
        <v>6.8981481481481487E-4</v>
      </c>
      <c r="R14" s="68">
        <v>6.9837962962962963E-4</v>
      </c>
      <c r="S14" s="52">
        <v>6.8449074074074072E-4</v>
      </c>
      <c r="T14" s="52">
        <v>6.7164351851851857E-4</v>
      </c>
      <c r="U14" s="52">
        <v>6.4594907407407407E-4</v>
      </c>
      <c r="V14" s="53">
        <v>6.2719907407407407E-4</v>
      </c>
      <c r="W14" s="52">
        <v>6.4699074074074073E-4</v>
      </c>
      <c r="X14" s="52">
        <v>6.3703703703703698E-4</v>
      </c>
      <c r="Y14" s="52">
        <v>6.2523148148148149E-4</v>
      </c>
      <c r="Z14" s="53">
        <v>6.2129629629629633E-4</v>
      </c>
      <c r="AB14" s="47" t="s">
        <v>186</v>
      </c>
      <c r="AC14" s="95">
        <v>0.2</v>
      </c>
      <c r="AD14" s="95">
        <v>0.2</v>
      </c>
      <c r="AE14" s="96">
        <v>0.2</v>
      </c>
      <c r="AF14" s="95">
        <v>0</v>
      </c>
      <c r="AG14" s="95">
        <v>0</v>
      </c>
      <c r="AH14" s="95">
        <v>0.16</v>
      </c>
      <c r="AI14" s="95">
        <v>0.16</v>
      </c>
      <c r="AJ14" s="96">
        <v>0.16</v>
      </c>
      <c r="AK14" s="97">
        <v>0</v>
      </c>
      <c r="AL14" s="97">
        <v>0</v>
      </c>
      <c r="AM14" s="97">
        <v>0</v>
      </c>
      <c r="AN14" s="96">
        <v>0</v>
      </c>
      <c r="AO14" s="95">
        <v>0.18</v>
      </c>
      <c r="AP14" s="95">
        <v>0.18</v>
      </c>
      <c r="AQ14" s="96">
        <v>0.18</v>
      </c>
      <c r="AR14" s="100">
        <v>0</v>
      </c>
      <c r="AS14" s="97">
        <v>0</v>
      </c>
      <c r="AT14" s="95">
        <v>0.17</v>
      </c>
      <c r="AU14" s="95">
        <v>0.17</v>
      </c>
      <c r="AV14" s="96">
        <v>0.17</v>
      </c>
      <c r="AW14" s="95">
        <v>0</v>
      </c>
      <c r="AX14" s="95">
        <v>0</v>
      </c>
      <c r="AY14" s="95">
        <v>0</v>
      </c>
      <c r="AZ14" s="96">
        <v>0</v>
      </c>
      <c r="BB14" s="47" t="s">
        <v>186</v>
      </c>
      <c r="BC14" s="52">
        <f t="shared" si="47"/>
        <v>7.415277777777778E-4</v>
      </c>
      <c r="BD14" s="52">
        <f t="shared" si="24"/>
        <v>7.2763888888888889E-4</v>
      </c>
      <c r="BE14" s="53">
        <f t="shared" si="25"/>
        <v>7.0736111111111108E-4</v>
      </c>
      <c r="BF14" s="52" t="str">
        <f t="shared" si="26"/>
        <v/>
      </c>
      <c r="BG14" s="52" t="str">
        <f t="shared" si="27"/>
        <v/>
      </c>
      <c r="BH14" s="52">
        <f t="shared" si="28"/>
        <v>6.6324074074074072E-4</v>
      </c>
      <c r="BI14" s="52">
        <f t="shared" si="29"/>
        <v>6.4565277777777776E-4</v>
      </c>
      <c r="BJ14" s="53">
        <f t="shared" si="30"/>
        <v>6.2564814814814818E-4</v>
      </c>
      <c r="BK14" s="52" t="str">
        <f t="shared" si="31"/>
        <v/>
      </c>
      <c r="BL14" s="52" t="str">
        <f t="shared" si="32"/>
        <v/>
      </c>
      <c r="BM14" s="52" t="str">
        <f t="shared" si="33"/>
        <v/>
      </c>
      <c r="BN14" s="53" t="str">
        <f t="shared" si="34"/>
        <v/>
      </c>
      <c r="BO14" s="52">
        <f t="shared" si="35"/>
        <v>8.4539351851851854E-4</v>
      </c>
      <c r="BP14" s="52">
        <f t="shared" si="36"/>
        <v>8.3037037037037031E-4</v>
      </c>
      <c r="BQ14" s="53">
        <f t="shared" si="37"/>
        <v>8.139814814814815E-4</v>
      </c>
      <c r="BR14" s="68" t="str">
        <f t="shared" si="38"/>
        <v/>
      </c>
      <c r="BS14" s="52" t="str">
        <f t="shared" si="39"/>
        <v/>
      </c>
      <c r="BT14" s="52">
        <f t="shared" si="40"/>
        <v>7.8582291666666677E-4</v>
      </c>
      <c r="BU14" s="52">
        <f t="shared" si="41"/>
        <v>7.5576041666666662E-4</v>
      </c>
      <c r="BV14" s="53">
        <f t="shared" si="42"/>
        <v>7.3382291666666669E-4</v>
      </c>
      <c r="BW14" s="52" t="str">
        <f t="shared" si="43"/>
        <v/>
      </c>
      <c r="BX14" s="52" t="str">
        <f t="shared" si="44"/>
        <v/>
      </c>
      <c r="BY14" s="52" t="str">
        <f t="shared" si="45"/>
        <v/>
      </c>
      <c r="BZ14" s="53" t="str">
        <f t="shared" si="46"/>
        <v/>
      </c>
    </row>
    <row r="15" spans="1:78" x14ac:dyDescent="0.45">
      <c r="A15" s="106"/>
      <c r="B15" s="47" t="s">
        <v>187</v>
      </c>
      <c r="C15" s="52">
        <v>7.1145833333333337E-4</v>
      </c>
      <c r="D15" s="52">
        <v>6.9386574074074077E-4</v>
      </c>
      <c r="E15" s="53">
        <v>6.6817129629629626E-4</v>
      </c>
      <c r="F15" s="52">
        <v>6.7048611111111107E-4</v>
      </c>
      <c r="G15" s="52">
        <v>6.5532407407407401E-4</v>
      </c>
      <c r="H15" s="52">
        <v>6.4131944444444436E-4</v>
      </c>
      <c r="I15" s="52">
        <v>6.1886574074074068E-4</v>
      </c>
      <c r="J15" s="53">
        <v>5.9317129629629629E-4</v>
      </c>
      <c r="K15" s="52">
        <v>6.145833333333333E-4</v>
      </c>
      <c r="L15" s="52">
        <v>6.0393518518518522E-4</v>
      </c>
      <c r="M15" s="52">
        <v>5.9108796296296296E-4</v>
      </c>
      <c r="N15" s="53">
        <v>5.8680555555555558E-4</v>
      </c>
      <c r="O15" s="52">
        <v>7.9768518518518524E-4</v>
      </c>
      <c r="P15" s="52">
        <v>7.8194444444444448E-4</v>
      </c>
      <c r="Q15" s="53">
        <v>7.6493055555555559E-4</v>
      </c>
      <c r="R15" s="68">
        <v>7.7534722222222219E-4</v>
      </c>
      <c r="S15" s="52">
        <v>7.583333333333333E-4</v>
      </c>
      <c r="T15" s="52">
        <v>7.4259259259259254E-4</v>
      </c>
      <c r="U15" s="52">
        <v>7.1134259259259263E-4</v>
      </c>
      <c r="V15" s="53">
        <v>6.8842592592592588E-4</v>
      </c>
      <c r="W15" s="52">
        <v>7.1250000000000003E-4</v>
      </c>
      <c r="X15" s="52">
        <v>7.0046296296296295E-4</v>
      </c>
      <c r="Y15" s="52">
        <v>6.8611111111111108E-4</v>
      </c>
      <c r="Z15" s="53">
        <v>6.8125E-4</v>
      </c>
      <c r="AB15" s="47" t="s">
        <v>187</v>
      </c>
      <c r="AC15" s="95">
        <v>0.2</v>
      </c>
      <c r="AD15" s="95">
        <v>0.2</v>
      </c>
      <c r="AE15" s="96">
        <v>0.2</v>
      </c>
      <c r="AF15" s="95">
        <v>0</v>
      </c>
      <c r="AG15" s="95">
        <v>0</v>
      </c>
      <c r="AH15" s="95">
        <v>0.16</v>
      </c>
      <c r="AI15" s="95">
        <v>0.16</v>
      </c>
      <c r="AJ15" s="96">
        <v>0.16</v>
      </c>
      <c r="AK15" s="97">
        <v>0</v>
      </c>
      <c r="AL15" s="97">
        <v>0</v>
      </c>
      <c r="AM15" s="97">
        <v>0</v>
      </c>
      <c r="AN15" s="96">
        <v>0</v>
      </c>
      <c r="AO15" s="95">
        <v>0.18</v>
      </c>
      <c r="AP15" s="95">
        <v>0.18</v>
      </c>
      <c r="AQ15" s="96">
        <v>0.18</v>
      </c>
      <c r="AR15" s="100">
        <v>0</v>
      </c>
      <c r="AS15" s="97">
        <v>0</v>
      </c>
      <c r="AT15" s="95">
        <v>0.17</v>
      </c>
      <c r="AU15" s="95">
        <v>0.17</v>
      </c>
      <c r="AV15" s="96">
        <v>0.17</v>
      </c>
      <c r="AW15" s="95">
        <v>0</v>
      </c>
      <c r="AX15" s="95">
        <v>0</v>
      </c>
      <c r="AY15" s="95">
        <v>0</v>
      </c>
      <c r="AZ15" s="96">
        <v>0</v>
      </c>
      <c r="BB15" s="47" t="s">
        <v>187</v>
      </c>
      <c r="BC15" s="52">
        <f t="shared" si="47"/>
        <v>8.5375000000000002E-4</v>
      </c>
      <c r="BD15" s="52">
        <f t="shared" si="24"/>
        <v>8.3263888888888895E-4</v>
      </c>
      <c r="BE15" s="53">
        <f t="shared" si="25"/>
        <v>8.018055555555555E-4</v>
      </c>
      <c r="BF15" s="52" t="str">
        <f t="shared" si="26"/>
        <v/>
      </c>
      <c r="BG15" s="52" t="str">
        <f t="shared" si="27"/>
        <v/>
      </c>
      <c r="BH15" s="52">
        <f t="shared" si="28"/>
        <v>7.439305555555554E-4</v>
      </c>
      <c r="BI15" s="52">
        <f t="shared" si="29"/>
        <v>7.1788425925925915E-4</v>
      </c>
      <c r="BJ15" s="53">
        <f t="shared" si="30"/>
        <v>6.8807870370370366E-4</v>
      </c>
      <c r="BK15" s="52" t="str">
        <f t="shared" si="31"/>
        <v/>
      </c>
      <c r="BL15" s="52" t="str">
        <f t="shared" si="32"/>
        <v/>
      </c>
      <c r="BM15" s="52" t="str">
        <f t="shared" si="33"/>
        <v/>
      </c>
      <c r="BN15" s="53" t="str">
        <f t="shared" si="34"/>
        <v/>
      </c>
      <c r="BO15" s="52">
        <f t="shared" si="35"/>
        <v>9.4126851851851858E-4</v>
      </c>
      <c r="BP15" s="52">
        <f t="shared" si="36"/>
        <v>9.2269444444444452E-4</v>
      </c>
      <c r="BQ15" s="53">
        <f t="shared" si="37"/>
        <v>9.026180555555556E-4</v>
      </c>
      <c r="BR15" s="68" t="str">
        <f t="shared" si="38"/>
        <v/>
      </c>
      <c r="BS15" s="52" t="str">
        <f t="shared" si="39"/>
        <v/>
      </c>
      <c r="BT15" s="52">
        <f t="shared" si="40"/>
        <v>8.6883333333333322E-4</v>
      </c>
      <c r="BU15" s="52">
        <f t="shared" si="41"/>
        <v>8.3227083333333341E-4</v>
      </c>
      <c r="BV15" s="53">
        <f t="shared" si="42"/>
        <v>8.0545833333333326E-4</v>
      </c>
      <c r="BW15" s="52" t="str">
        <f t="shared" si="43"/>
        <v/>
      </c>
      <c r="BX15" s="52" t="str">
        <f t="shared" si="44"/>
        <v/>
      </c>
      <c r="BY15" s="52" t="str">
        <f t="shared" si="45"/>
        <v/>
      </c>
      <c r="BZ15" s="53" t="str">
        <f t="shared" si="46"/>
        <v/>
      </c>
    </row>
    <row r="16" spans="1:78" ht="15" customHeight="1" x14ac:dyDescent="0.45">
      <c r="A16" s="106"/>
      <c r="B16" s="47" t="s">
        <v>188</v>
      </c>
      <c r="C16" s="52">
        <v>1.5960648148148149E-3</v>
      </c>
      <c r="D16" s="52">
        <v>1.5644675925925923E-3</v>
      </c>
      <c r="E16" s="53">
        <v>1.5181712962962961E-3</v>
      </c>
      <c r="F16" s="52">
        <v>1.522337962962963E-3</v>
      </c>
      <c r="G16" s="52">
        <v>1.4950231481481481E-3</v>
      </c>
      <c r="H16" s="52">
        <v>1.4697916666666666E-3</v>
      </c>
      <c r="I16" s="52">
        <v>1.4285879629629631E-3</v>
      </c>
      <c r="J16" s="53">
        <v>1.3815972222222222E-3</v>
      </c>
      <c r="K16" s="52">
        <v>1.4207175925925926E-3</v>
      </c>
      <c r="L16" s="52">
        <v>1.4011574074074074E-3</v>
      </c>
      <c r="M16" s="52">
        <v>1.377662037037037E-3</v>
      </c>
      <c r="N16" s="53">
        <v>1.3697916666666665E-3</v>
      </c>
      <c r="O16" s="52">
        <v>1.6878472222222221E-3</v>
      </c>
      <c r="P16" s="52">
        <v>1.6628472222222225E-3</v>
      </c>
      <c r="Q16" s="53">
        <v>1.637962962962963E-3</v>
      </c>
      <c r="R16" s="68">
        <v>1.644212962962963E-3</v>
      </c>
      <c r="S16" s="52">
        <v>1.6278935185185185E-3</v>
      </c>
      <c r="T16" s="52">
        <v>1.6129629629629632E-3</v>
      </c>
      <c r="U16" s="52">
        <v>1.5817129629629629E-3</v>
      </c>
      <c r="V16" s="53">
        <v>1.558912037037037E-3</v>
      </c>
      <c r="W16" s="52">
        <v>1.5829861111111112E-3</v>
      </c>
      <c r="X16" s="52">
        <v>1.570949074074074E-3</v>
      </c>
      <c r="Y16" s="52">
        <v>1.5564814814814814E-3</v>
      </c>
      <c r="Z16" s="53">
        <v>1.5517361111111109E-3</v>
      </c>
      <c r="AB16" s="47" t="s">
        <v>188</v>
      </c>
      <c r="AC16" s="95">
        <v>0.2</v>
      </c>
      <c r="AD16" s="95">
        <v>0.2</v>
      </c>
      <c r="AE16" s="96">
        <v>0.2</v>
      </c>
      <c r="AF16" s="95">
        <v>0</v>
      </c>
      <c r="AG16" s="95">
        <v>0</v>
      </c>
      <c r="AH16" s="95">
        <v>0.16</v>
      </c>
      <c r="AI16" s="95">
        <v>0.16</v>
      </c>
      <c r="AJ16" s="96">
        <v>0.16</v>
      </c>
      <c r="AK16" s="97">
        <v>0</v>
      </c>
      <c r="AL16" s="97">
        <v>0</v>
      </c>
      <c r="AM16" s="97">
        <v>0</v>
      </c>
      <c r="AN16" s="96">
        <v>0</v>
      </c>
      <c r="AO16" s="95">
        <v>0.18</v>
      </c>
      <c r="AP16" s="95">
        <v>0.18</v>
      </c>
      <c r="AQ16" s="96">
        <v>0.18</v>
      </c>
      <c r="AR16" s="100">
        <v>0</v>
      </c>
      <c r="AS16" s="97">
        <v>0</v>
      </c>
      <c r="AT16" s="95">
        <v>0.17</v>
      </c>
      <c r="AU16" s="95">
        <v>0.17</v>
      </c>
      <c r="AV16" s="96">
        <v>0.17</v>
      </c>
      <c r="AW16" s="95">
        <v>0</v>
      </c>
      <c r="AX16" s="95">
        <v>0</v>
      </c>
      <c r="AY16" s="95">
        <v>0</v>
      </c>
      <c r="AZ16" s="96">
        <v>0</v>
      </c>
      <c r="BB16" s="47" t="s">
        <v>188</v>
      </c>
      <c r="BC16" s="52">
        <f t="shared" si="47"/>
        <v>1.9152777777777779E-3</v>
      </c>
      <c r="BD16" s="52">
        <f t="shared" si="24"/>
        <v>1.8773611111111109E-3</v>
      </c>
      <c r="BE16" s="53">
        <f t="shared" si="25"/>
        <v>1.8218055555555552E-3</v>
      </c>
      <c r="BF16" s="52" t="str">
        <f t="shared" si="26"/>
        <v/>
      </c>
      <c r="BG16" s="52" t="str">
        <f t="shared" si="27"/>
        <v/>
      </c>
      <c r="BH16" s="52">
        <f t="shared" si="28"/>
        <v>1.7049583333333333E-3</v>
      </c>
      <c r="BI16" s="52">
        <f t="shared" si="29"/>
        <v>1.6571620370370373E-3</v>
      </c>
      <c r="BJ16" s="53">
        <f t="shared" si="30"/>
        <v>1.6026527777777777E-3</v>
      </c>
      <c r="BK16" s="52" t="str">
        <f t="shared" si="31"/>
        <v/>
      </c>
      <c r="BL16" s="52" t="str">
        <f t="shared" si="32"/>
        <v/>
      </c>
      <c r="BM16" s="52" t="str">
        <f t="shared" si="33"/>
        <v/>
      </c>
      <c r="BN16" s="53" t="str">
        <f t="shared" si="34"/>
        <v/>
      </c>
      <c r="BO16" s="52">
        <f t="shared" si="35"/>
        <v>1.9916597222222219E-3</v>
      </c>
      <c r="BP16" s="52">
        <f t="shared" si="36"/>
        <v>1.9621597222222223E-3</v>
      </c>
      <c r="BQ16" s="53">
        <f t="shared" si="37"/>
        <v>1.9327962962962964E-3</v>
      </c>
      <c r="BR16" s="68" t="str">
        <f t="shared" si="38"/>
        <v/>
      </c>
      <c r="BS16" s="52" t="str">
        <f t="shared" si="39"/>
        <v/>
      </c>
      <c r="BT16" s="52">
        <f t="shared" si="40"/>
        <v>1.887166666666667E-3</v>
      </c>
      <c r="BU16" s="52">
        <f t="shared" si="41"/>
        <v>1.8506041666666666E-3</v>
      </c>
      <c r="BV16" s="53">
        <f t="shared" si="42"/>
        <v>1.8239270833333334E-3</v>
      </c>
      <c r="BW16" s="52" t="str">
        <f t="shared" si="43"/>
        <v/>
      </c>
      <c r="BX16" s="52" t="str">
        <f t="shared" si="44"/>
        <v/>
      </c>
      <c r="BY16" s="52" t="str">
        <f t="shared" si="45"/>
        <v/>
      </c>
      <c r="BZ16" s="53" t="str">
        <f t="shared" si="46"/>
        <v/>
      </c>
    </row>
    <row r="17" spans="1:78" ht="14.65" thickBot="1" x14ac:dyDescent="0.5">
      <c r="A17" s="106"/>
      <c r="B17" s="50" t="s">
        <v>4</v>
      </c>
      <c r="C17" s="54">
        <v>1.7520833333333334E-3</v>
      </c>
      <c r="D17" s="54">
        <v>1.7156249999999999E-3</v>
      </c>
      <c r="E17" s="55">
        <v>1.662152777777778E-3</v>
      </c>
      <c r="F17" s="56">
        <v>1.6435185185185185E-3</v>
      </c>
      <c r="G17" s="54">
        <v>1.6241898148148146E-3</v>
      </c>
      <c r="H17" s="54">
        <v>1.60625E-3</v>
      </c>
      <c r="I17" s="54">
        <v>1.590625E-3</v>
      </c>
      <c r="J17" s="55">
        <v>1.5422453703703705E-3</v>
      </c>
      <c r="K17" s="54">
        <v>1.5498842592592593E-3</v>
      </c>
      <c r="L17" s="54">
        <v>1.5273148148148149E-3</v>
      </c>
      <c r="M17" s="54">
        <v>1.5002314814814815E-3</v>
      </c>
      <c r="N17" s="54">
        <v>1.4912037037037038E-3</v>
      </c>
      <c r="O17" s="56">
        <v>1.8891203703703704E-3</v>
      </c>
      <c r="P17" s="54">
        <v>1.8486111111111112E-3</v>
      </c>
      <c r="Q17" s="55">
        <v>1.8079861111111111E-3</v>
      </c>
      <c r="R17" s="54">
        <v>1.8180555555555554E-3</v>
      </c>
      <c r="S17" s="54">
        <v>1.7916666666666669E-3</v>
      </c>
      <c r="T17" s="54">
        <v>1.767361111111111E-3</v>
      </c>
      <c r="U17" s="54">
        <v>1.7174768518518518E-3</v>
      </c>
      <c r="V17" s="55">
        <v>1.6810185185185185E-3</v>
      </c>
      <c r="W17" s="56">
        <v>1.7194444444444444E-3</v>
      </c>
      <c r="X17" s="54">
        <v>1.7002314814814816E-3</v>
      </c>
      <c r="Y17" s="54">
        <v>1.677199074074074E-3</v>
      </c>
      <c r="Z17" s="55">
        <v>1.6695601851851852E-3</v>
      </c>
      <c r="AB17" s="50" t="s">
        <v>4</v>
      </c>
      <c r="AC17" s="101">
        <v>0.2</v>
      </c>
      <c r="AD17" s="101">
        <v>0.2</v>
      </c>
      <c r="AE17" s="102">
        <v>0.2</v>
      </c>
      <c r="AF17" s="103">
        <v>0</v>
      </c>
      <c r="AG17" s="101">
        <v>0</v>
      </c>
      <c r="AH17" s="101">
        <v>0.16</v>
      </c>
      <c r="AI17" s="101">
        <v>0.16</v>
      </c>
      <c r="AJ17" s="102">
        <v>0.16</v>
      </c>
      <c r="AK17" s="101">
        <v>0</v>
      </c>
      <c r="AL17" s="101">
        <v>0</v>
      </c>
      <c r="AM17" s="101">
        <v>0</v>
      </c>
      <c r="AN17" s="101">
        <v>0</v>
      </c>
      <c r="AO17" s="103">
        <v>0.18</v>
      </c>
      <c r="AP17" s="101">
        <v>0.18</v>
      </c>
      <c r="AQ17" s="102">
        <v>0.18</v>
      </c>
      <c r="AR17" s="101">
        <v>0</v>
      </c>
      <c r="AS17" s="101">
        <v>0</v>
      </c>
      <c r="AT17" s="101">
        <v>0.17</v>
      </c>
      <c r="AU17" s="101">
        <v>0.17</v>
      </c>
      <c r="AV17" s="102">
        <v>0.17</v>
      </c>
      <c r="AW17" s="103">
        <v>0</v>
      </c>
      <c r="AX17" s="101">
        <v>0</v>
      </c>
      <c r="AY17" s="101">
        <v>0</v>
      </c>
      <c r="AZ17" s="102">
        <v>0</v>
      </c>
      <c r="BB17" s="50" t="s">
        <v>4</v>
      </c>
      <c r="BC17" s="54">
        <f t="shared" si="47"/>
        <v>2.1025000000000002E-3</v>
      </c>
      <c r="BD17" s="54">
        <f t="shared" si="24"/>
        <v>2.0587499999999998E-3</v>
      </c>
      <c r="BE17" s="55">
        <f t="shared" si="25"/>
        <v>1.9945833333333335E-3</v>
      </c>
      <c r="BF17" s="56" t="str">
        <f t="shared" si="26"/>
        <v/>
      </c>
      <c r="BG17" s="54" t="str">
        <f t="shared" si="27"/>
        <v/>
      </c>
      <c r="BH17" s="54">
        <f t="shared" si="28"/>
        <v>1.8632500000000001E-3</v>
      </c>
      <c r="BI17" s="54">
        <f t="shared" si="29"/>
        <v>1.845125E-3</v>
      </c>
      <c r="BJ17" s="55">
        <f t="shared" si="30"/>
        <v>1.7890046296296298E-3</v>
      </c>
      <c r="BK17" s="54" t="str">
        <f t="shared" si="31"/>
        <v/>
      </c>
      <c r="BL17" s="54" t="str">
        <f t="shared" si="32"/>
        <v/>
      </c>
      <c r="BM17" s="54" t="str">
        <f t="shared" si="33"/>
        <v/>
      </c>
      <c r="BN17" s="54" t="str">
        <f t="shared" si="34"/>
        <v/>
      </c>
      <c r="BO17" s="56">
        <f t="shared" si="35"/>
        <v>2.2291620370370373E-3</v>
      </c>
      <c r="BP17" s="54">
        <f t="shared" si="36"/>
        <v>2.1813611111111113E-3</v>
      </c>
      <c r="BQ17" s="55">
        <f t="shared" si="37"/>
        <v>2.1334236111111111E-3</v>
      </c>
      <c r="BR17" s="54" t="str">
        <f t="shared" si="38"/>
        <v/>
      </c>
      <c r="BS17" s="54" t="str">
        <f t="shared" si="39"/>
        <v/>
      </c>
      <c r="BT17" s="54">
        <f t="shared" si="40"/>
        <v>2.0678124999999998E-3</v>
      </c>
      <c r="BU17" s="54">
        <f t="shared" si="41"/>
        <v>2.0094479166666668E-3</v>
      </c>
      <c r="BV17" s="55">
        <f t="shared" si="42"/>
        <v>1.9667916666666666E-3</v>
      </c>
      <c r="BW17" s="56" t="str">
        <f t="shared" si="43"/>
        <v/>
      </c>
      <c r="BX17" s="54" t="str">
        <f t="shared" si="44"/>
        <v/>
      </c>
      <c r="BY17" s="54" t="str">
        <f t="shared" si="45"/>
        <v/>
      </c>
      <c r="BZ17" s="55" t="str">
        <f t="shared" si="46"/>
        <v/>
      </c>
    </row>
    <row r="18" spans="1:78" ht="14.65" thickTop="1" x14ac:dyDescent="0.45">
      <c r="C18" s="30"/>
      <c r="O18" s="30"/>
      <c r="T18" s="33"/>
      <c r="U18" s="33"/>
      <c r="W18" s="34"/>
      <c r="X18" s="30"/>
      <c r="AD18" s="30"/>
    </row>
    <row r="21" spans="1:78" x14ac:dyDescent="0.45">
      <c r="C21" s="29"/>
      <c r="D21" s="32"/>
      <c r="E21" s="32"/>
      <c r="F21" s="32"/>
      <c r="G21" s="32"/>
      <c r="H21" s="32"/>
      <c r="O21" s="29"/>
      <c r="P21" s="32"/>
      <c r="Q21" s="32"/>
      <c r="R21" s="32"/>
      <c r="X21" s="29"/>
      <c r="Y21" s="35"/>
      <c r="Z21" s="35"/>
      <c r="AA21" s="35"/>
      <c r="AD21" s="29"/>
      <c r="AE21" s="35"/>
      <c r="AF21" s="35"/>
      <c r="AG21" s="35"/>
    </row>
    <row r="22" spans="1:78" x14ac:dyDescent="0.45">
      <c r="C22" s="30"/>
      <c r="D22" s="31"/>
      <c r="E22" s="31"/>
      <c r="F22" s="31"/>
      <c r="G22" s="31"/>
      <c r="H22" s="31"/>
      <c r="O22" s="30"/>
      <c r="P22" s="31"/>
      <c r="Q22" s="31"/>
      <c r="R22" s="31"/>
      <c r="X22" s="30"/>
      <c r="Y22" s="31"/>
      <c r="Z22" s="31"/>
      <c r="AA22" s="31"/>
      <c r="AD22" s="30"/>
      <c r="AE22" s="31"/>
      <c r="AF22" s="31"/>
      <c r="AG22" s="31"/>
    </row>
    <row r="23" spans="1:78" x14ac:dyDescent="0.45">
      <c r="C23" s="30"/>
      <c r="D23" s="31"/>
      <c r="E23" s="31"/>
      <c r="F23" s="31"/>
      <c r="G23" s="31"/>
      <c r="H23" s="31"/>
      <c r="O23" s="30"/>
      <c r="P23" s="31"/>
      <c r="Q23" s="31"/>
      <c r="R23" s="31"/>
      <c r="X23" s="30"/>
      <c r="Y23" s="31"/>
      <c r="Z23" s="31"/>
      <c r="AA23" s="31"/>
      <c r="AD23" s="30"/>
      <c r="AE23" s="31"/>
      <c r="AF23" s="31"/>
      <c r="AG23" s="31"/>
    </row>
    <row r="24" spans="1:78" x14ac:dyDescent="0.45">
      <c r="C24" s="30"/>
      <c r="D24" s="31"/>
      <c r="E24" s="31"/>
      <c r="F24" s="31"/>
      <c r="G24" s="31"/>
      <c r="H24" s="31"/>
      <c r="O24" s="30"/>
      <c r="P24" s="31"/>
      <c r="Q24" s="31"/>
      <c r="R24" s="31"/>
      <c r="X24" s="30"/>
      <c r="Y24" s="31"/>
      <c r="Z24" s="31"/>
      <c r="AA24" s="31"/>
      <c r="AD24" s="30"/>
      <c r="AE24" s="31"/>
      <c r="AF24" s="31"/>
      <c r="AG24" s="31"/>
    </row>
    <row r="25" spans="1:78" ht="14.25" customHeight="1" x14ac:dyDescent="0.45">
      <c r="C25" s="30"/>
      <c r="D25" s="31"/>
      <c r="E25" s="31"/>
      <c r="F25" s="31"/>
      <c r="G25" s="31"/>
      <c r="H25" s="31"/>
      <c r="O25" s="30"/>
      <c r="P25" s="31"/>
      <c r="Q25" s="31"/>
      <c r="R25" s="31"/>
      <c r="X25" s="30"/>
      <c r="Y25" s="31"/>
      <c r="Z25" s="31"/>
      <c r="AA25" s="31"/>
      <c r="AD25" s="30"/>
      <c r="AE25" s="31"/>
      <c r="AF25" s="31"/>
      <c r="AG25" s="31"/>
    </row>
    <row r="26" spans="1:78" x14ac:dyDescent="0.45">
      <c r="C26" s="30"/>
      <c r="D26" s="31"/>
      <c r="E26" s="31"/>
      <c r="F26" s="31"/>
      <c r="G26" s="31"/>
      <c r="H26" s="31"/>
      <c r="O26" s="30"/>
      <c r="P26" s="31"/>
      <c r="Q26" s="31"/>
      <c r="R26" s="31"/>
      <c r="X26" s="30"/>
      <c r="Y26" s="31"/>
      <c r="Z26" s="31"/>
      <c r="AA26" s="31"/>
      <c r="AD26" s="30"/>
      <c r="AE26" s="31"/>
      <c r="AF26" s="31"/>
      <c r="AG26" s="31"/>
    </row>
    <row r="27" spans="1:78" x14ac:dyDescent="0.45">
      <c r="C27" s="30"/>
      <c r="D27" s="31"/>
      <c r="E27" s="31"/>
      <c r="F27" s="31"/>
      <c r="G27" s="31"/>
      <c r="H27" s="31"/>
      <c r="O27" s="30"/>
      <c r="P27" s="31"/>
      <c r="Q27" s="31"/>
      <c r="R27" s="31"/>
      <c r="X27" s="30"/>
      <c r="Y27" s="31"/>
      <c r="Z27" s="31"/>
      <c r="AA27" s="31"/>
      <c r="AD27" s="30"/>
      <c r="AE27" s="31"/>
      <c r="AF27" s="31"/>
      <c r="AG27" s="31"/>
    </row>
    <row r="30" spans="1:78" x14ac:dyDescent="0.45">
      <c r="C30" s="29"/>
      <c r="D30" s="32"/>
      <c r="E30" s="32"/>
      <c r="F30" s="32"/>
      <c r="G30" s="32"/>
      <c r="H30" s="32"/>
      <c r="P30" s="33"/>
    </row>
    <row r="31" spans="1:78" x14ac:dyDescent="0.45">
      <c r="C31" s="30"/>
      <c r="D31" s="31"/>
      <c r="E31" s="31"/>
      <c r="F31" s="31"/>
      <c r="G31" s="31"/>
      <c r="H31" s="31"/>
    </row>
    <row r="40" spans="3:8" x14ac:dyDescent="0.45">
      <c r="C40" s="30"/>
      <c r="D40" s="31"/>
      <c r="E40" s="31"/>
      <c r="F40" s="31"/>
      <c r="G40" s="31"/>
      <c r="H40" s="31"/>
    </row>
    <row r="41" spans="3:8" x14ac:dyDescent="0.45">
      <c r="C41" s="30"/>
      <c r="D41" s="31"/>
      <c r="E41" s="31"/>
      <c r="F41" s="31"/>
      <c r="G41" s="31"/>
      <c r="H41" s="31"/>
    </row>
    <row r="42" spans="3:8" x14ac:dyDescent="0.45">
      <c r="C42" s="30"/>
      <c r="D42" s="31"/>
      <c r="E42" s="31"/>
      <c r="F42" s="31"/>
      <c r="G42" s="31"/>
      <c r="H42" s="31"/>
    </row>
    <row r="43" spans="3:8" x14ac:dyDescent="0.45">
      <c r="C43" s="30"/>
      <c r="D43" s="31"/>
      <c r="E43" s="31"/>
      <c r="F43" s="31"/>
      <c r="G43" s="31"/>
      <c r="H43" s="31"/>
    </row>
    <row r="44" spans="3:8" x14ac:dyDescent="0.45">
      <c r="C44" s="30"/>
      <c r="D44" s="31"/>
      <c r="E44" s="31"/>
      <c r="F44" s="31"/>
      <c r="G44" s="31"/>
      <c r="H44" s="31"/>
    </row>
    <row r="45" spans="3:8" x14ac:dyDescent="0.45">
      <c r="C45" s="30"/>
      <c r="D45" s="31"/>
      <c r="E45" s="31"/>
      <c r="F45" s="31"/>
      <c r="G45" s="31"/>
      <c r="H45" s="31"/>
    </row>
  </sheetData>
  <mergeCells count="38">
    <mergeCell ref="C10:E10"/>
    <mergeCell ref="O10:Q10"/>
    <mergeCell ref="C1:E1"/>
    <mergeCell ref="O1:Q1"/>
    <mergeCell ref="F10:J10"/>
    <mergeCell ref="AW10:AZ10"/>
    <mergeCell ref="K10:N10"/>
    <mergeCell ref="W10:Z10"/>
    <mergeCell ref="F1:J1"/>
    <mergeCell ref="K1:N1"/>
    <mergeCell ref="R1:V1"/>
    <mergeCell ref="W1:Z1"/>
    <mergeCell ref="R10:V10"/>
    <mergeCell ref="BO10:BQ10"/>
    <mergeCell ref="BR10:BV10"/>
    <mergeCell ref="BW10:BZ10"/>
    <mergeCell ref="BC1:BE1"/>
    <mergeCell ref="BF1:BJ1"/>
    <mergeCell ref="BK1:BN1"/>
    <mergeCell ref="BO1:BQ1"/>
    <mergeCell ref="BR1:BV1"/>
    <mergeCell ref="BW1:BZ1"/>
    <mergeCell ref="A1:A8"/>
    <mergeCell ref="A10:A17"/>
    <mergeCell ref="BC10:BE10"/>
    <mergeCell ref="BF10:BJ10"/>
    <mergeCell ref="BK10:BN10"/>
    <mergeCell ref="AC1:AE1"/>
    <mergeCell ref="AF1:AJ1"/>
    <mergeCell ref="AK1:AN1"/>
    <mergeCell ref="AO1:AQ1"/>
    <mergeCell ref="AR1:AV1"/>
    <mergeCell ref="AW1:AZ1"/>
    <mergeCell ref="AC10:AE10"/>
    <mergeCell ref="AF10:AJ10"/>
    <mergeCell ref="AK10:AN10"/>
    <mergeCell ref="AO10:AQ10"/>
    <mergeCell ref="AR10:AV10"/>
  </mergeCells>
  <conditionalFormatting sqref="AC3:AZ8">
    <cfRule type="cellIs" dxfId="16" priority="1" operator="equal">
      <formula>0</formula>
    </cfRule>
  </conditionalFormatting>
  <conditionalFormatting sqref="AC12:AZ17">
    <cfRule type="cellIs" dxfId="15" priority="2" operator="equal">
      <formula>0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ED5B-F9C4-44E1-BE4D-7CDC5A2222BE}">
  <sheetPr codeName="Tabelle11">
    <tabColor theme="3"/>
  </sheetPr>
  <dimension ref="A1:H8"/>
  <sheetViews>
    <sheetView workbookViewId="0">
      <selection activeCell="F14" sqref="F14"/>
    </sheetView>
  </sheetViews>
  <sheetFormatPr baseColWidth="10" defaultRowHeight="14.25" x14ac:dyDescent="0.45"/>
  <cols>
    <col min="1" max="1" width="11.1328125" bestFit="1" customWidth="1"/>
    <col min="3" max="3" width="11.73046875" bestFit="1" customWidth="1"/>
    <col min="4" max="4" width="11.1328125" bestFit="1" customWidth="1"/>
    <col min="5" max="5" width="21.86328125" bestFit="1" customWidth="1"/>
    <col min="6" max="6" width="84.86328125" bestFit="1" customWidth="1"/>
    <col min="7" max="7" width="36.73046875" bestFit="1" customWidth="1"/>
    <col min="8" max="8" width="11.86328125" bestFit="1" customWidth="1"/>
  </cols>
  <sheetData>
    <row r="1" spans="1:8" x14ac:dyDescent="0.4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201</v>
      </c>
      <c r="G1" t="s">
        <v>197</v>
      </c>
      <c r="H1" t="s">
        <v>196</v>
      </c>
    </row>
    <row r="2" spans="1:8" x14ac:dyDescent="0.45">
      <c r="A2" s="36">
        <v>46124</v>
      </c>
      <c r="C2" s="37">
        <v>0.38541666666666669</v>
      </c>
      <c r="D2" s="37">
        <v>0.52083333333333337</v>
      </c>
      <c r="E2" s="38" t="s">
        <v>198</v>
      </c>
      <c r="F2" s="38" t="s">
        <v>202</v>
      </c>
      <c r="G2" t="s">
        <v>199</v>
      </c>
      <c r="H2" t="s">
        <v>200</v>
      </c>
    </row>
    <row r="3" spans="1:8" x14ac:dyDescent="0.45">
      <c r="A3" s="36">
        <v>46124</v>
      </c>
      <c r="C3" s="37">
        <v>0.5</v>
      </c>
      <c r="D3" s="37">
        <v>0.65625</v>
      </c>
      <c r="E3" s="38" t="s">
        <v>203</v>
      </c>
      <c r="F3" s="38" t="s">
        <v>204</v>
      </c>
      <c r="G3" t="s">
        <v>199</v>
      </c>
      <c r="H3" t="s">
        <v>237</v>
      </c>
    </row>
    <row r="4" spans="1:8" x14ac:dyDescent="0.45">
      <c r="A4" s="36">
        <v>46186</v>
      </c>
      <c r="C4" s="37">
        <v>0.41666666666666669</v>
      </c>
      <c r="D4" s="37">
        <v>0.76041666666666663</v>
      </c>
      <c r="E4" s="38" t="s">
        <v>203</v>
      </c>
      <c r="F4" s="38" t="s">
        <v>205</v>
      </c>
      <c r="G4" t="s">
        <v>206</v>
      </c>
      <c r="H4" t="s">
        <v>237</v>
      </c>
    </row>
    <row r="5" spans="1:8" x14ac:dyDescent="0.45">
      <c r="A5" s="36">
        <v>46187</v>
      </c>
      <c r="C5" s="37">
        <v>0.53125</v>
      </c>
      <c r="D5" s="37">
        <v>0.66666666666666663</v>
      </c>
      <c r="E5" s="38" t="s">
        <v>198</v>
      </c>
      <c r="F5" s="38" t="s">
        <v>207</v>
      </c>
      <c r="G5" t="s">
        <v>199</v>
      </c>
      <c r="H5" t="s">
        <v>200</v>
      </c>
    </row>
    <row r="6" spans="1:8" x14ac:dyDescent="0.45">
      <c r="A6" s="36">
        <v>46199</v>
      </c>
      <c r="B6" s="36">
        <v>46203</v>
      </c>
      <c r="C6" s="37">
        <v>0</v>
      </c>
      <c r="D6" s="37">
        <v>0.99930555555555556</v>
      </c>
      <c r="E6" s="38" t="s">
        <v>208</v>
      </c>
      <c r="F6" s="38" t="s">
        <v>209</v>
      </c>
      <c r="G6" t="s">
        <v>210</v>
      </c>
      <c r="H6" t="s">
        <v>237</v>
      </c>
    </row>
    <row r="7" spans="1:8" x14ac:dyDescent="0.45">
      <c r="A7" s="36">
        <v>46201</v>
      </c>
      <c r="C7" s="37">
        <v>0.41666666666666669</v>
      </c>
      <c r="D7" s="37">
        <v>0.75</v>
      </c>
      <c r="E7" s="38" t="s">
        <v>211</v>
      </c>
      <c r="F7" s="38" t="s">
        <v>238</v>
      </c>
      <c r="G7" t="s">
        <v>212</v>
      </c>
      <c r="H7" t="s">
        <v>213</v>
      </c>
    </row>
    <row r="8" spans="1:8" x14ac:dyDescent="0.45">
      <c r="A8" s="36">
        <v>46228</v>
      </c>
      <c r="C8" s="37">
        <v>0</v>
      </c>
      <c r="D8" s="37">
        <v>0.99930555555555556</v>
      </c>
      <c r="E8" s="38" t="s">
        <v>214</v>
      </c>
      <c r="F8" s="38" t="s">
        <v>215</v>
      </c>
      <c r="G8" t="s">
        <v>216</v>
      </c>
      <c r="H8" t="s">
        <v>217</v>
      </c>
    </row>
  </sheetData>
  <conditionalFormatting sqref="A2:H8">
    <cfRule type="expression" dxfId="14" priority="1">
      <formula>$A2&lt;TODAY()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DR</vt:lpstr>
      <vt:lpstr>WR-Youth</vt:lpstr>
      <vt:lpstr>WR-Open</vt:lpstr>
      <vt:lpstr>DP</vt:lpstr>
      <vt:lpstr>BP</vt:lpstr>
      <vt:lpstr>DEM</vt:lpstr>
      <vt:lpstr>JRP</vt:lpstr>
      <vt:lpstr>LK</vt:lpstr>
      <vt:lpstr>NK-LK Transf.</vt:lpstr>
      <vt:lpstr>LK 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2025-09-24T10:27:12Z</dcterms:created>
  <dcterms:modified xsi:type="dcterms:W3CDTF">2026-03-06T12:31:45Z</dcterms:modified>
</cp:coreProperties>
</file>