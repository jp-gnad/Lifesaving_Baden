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E9D9E425-DB7B-46B8-BCE8-3AFE602DA79F}" xr6:coauthVersionLast="47" xr6:coauthVersionMax="47" xr10:uidLastSave="{00000000-0000-0000-0000-000000000000}"/>
  <bookViews>
    <workbookView xWindow="-98" yWindow="-98" windowWidth="21795" windowHeight="12975" tabRatio="687" firstSheet="1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-LK Transf.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13" l="1"/>
  <c r="W15" i="13"/>
  <c r="V15" i="13"/>
  <c r="U15" i="13"/>
  <c r="T15" i="13"/>
  <c r="S15" i="13"/>
  <c r="X14" i="13"/>
  <c r="W14" i="13"/>
  <c r="V14" i="13"/>
  <c r="U14" i="13"/>
  <c r="T14" i="13"/>
  <c r="S14" i="13"/>
  <c r="X13" i="13"/>
  <c r="W13" i="13"/>
  <c r="V13" i="13"/>
  <c r="U13" i="13"/>
  <c r="T13" i="13"/>
  <c r="S13" i="13"/>
  <c r="X12" i="13"/>
  <c r="W12" i="13"/>
  <c r="V12" i="13"/>
  <c r="U12" i="13"/>
  <c r="T12" i="13"/>
  <c r="S12" i="13"/>
  <c r="X11" i="13"/>
  <c r="W11" i="13"/>
  <c r="V11" i="13"/>
  <c r="U11" i="13"/>
  <c r="T11" i="13"/>
  <c r="S11" i="13"/>
  <c r="X10" i="13"/>
  <c r="W10" i="13"/>
  <c r="V10" i="13"/>
  <c r="U10" i="13"/>
  <c r="T10" i="13"/>
  <c r="S10" i="13"/>
  <c r="X9" i="13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BB10" i="14" l="1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<sst xmlns="http://schemas.openxmlformats.org/spreadsheetml/2006/main" count="776" uniqueCount="277">
  <si>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</si>
  <si>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</si>
  <si>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</si>
  <si>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</si>
  <si>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</si>
  <si>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</si>
  <si>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</si>
  <si>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</si>
  <si>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</si>
  <si>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</si>
  <si>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</si>
  <si>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</si>
  <si>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</si>
  <si>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</si>
  <si>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</si>
  <si>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</si>
  <si>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</si>
  <si>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</si>
  <si>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</si>
  <si>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</si>
  <si>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</si>
  <si>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</si>
  <si>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</si>
  <si>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</si>
  <si>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</si>
  <si>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</si>
  <si>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</si>
  <si>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</si>
  <si>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</si>
  <si>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</si>
  <si>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</si>
  <si>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</si>
  <si>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</si>
  <si>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</si>
  <si>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</si>
  <si>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</si>
  <si>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</si>
  <si>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</si>
  <si>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</si>
  <si>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</si>
  <si>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</si>
  <si>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</si>
  <si>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</si>
  <si>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</si>
  <si>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</si>
  <si>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</si>
  <si>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</si>
  <si>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</si>
  <si>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</si>
  <si>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</si>
  <si>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</si>
  <si>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</si>
  <si>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</si>
  <si>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</si>
  <si>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</si>
  <si>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</si>
  <si>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</si>
  <si>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</si>
  <si>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</si>
  <si>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</si>
  <si>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</si>
  <si>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</si>
  <si>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</si>
  <si>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</si>
  <si>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</si>
  <si>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</si>
  <si>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</si>
  <si>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</si>
  <si>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</si>
  <si>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</si>
  <si>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</si>
  <si>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</si>
  <si>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</si>
  <si>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</si>
  <si>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</si>
  <si>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</si>
  <si>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</si>
  <si>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</si>
  <si>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</si>
  <si>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</si>
  <si>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</si>
  <si>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</si>
  <si>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</si>
  <si>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</si>
  <si>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</si>
  <si>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</si>
  <si>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</si>
  <si>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</si>
  <si>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</si>
  <si>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</si>
  <si>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</si>
  <si>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</si>
  <si>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</si>
  <si>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</si>
  <si>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</si>
  <si>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</si>
  <si>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</si>
  <si>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</si>
  <si>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</si>
  <si>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</si>
  <si>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</si>
  <si>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</si>
  <si>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</si>
  <si>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</si>
  <si>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</si>
  <si>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</si>
  <si>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</si>
  <si>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</si>
  <si>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</si>
  <si>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</si>
  <si>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</si>
  <si>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</si>
  <si>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</si>
  <si>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</si>
  <si>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</si>
  <si>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</si>
  <si>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</si>
  <si>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</si>
  <si>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</si>
  <si>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</si>
  <si>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</si>
  <si>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</si>
  <si>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</si>
  <si>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</si>
  <si>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</si>
  <si>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</si>
  <si>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</si>
  <si>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</si>
  <si>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</si>
  <si>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</si>
  <si>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</si>
  <si>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</si>
  <si>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</si>
  <si>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</si>
  <si>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</si>
  <si>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</si>
  <si>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</si>
  <si>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</si>
  <si>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</si>
  <si>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</si>
  <si>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</si>
  <si>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</si>
  <si>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</si>
  <si>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</si>
  <si>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</si>
  <si>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</si>
  <si>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</si>
  <si>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</si>
  <si>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</si>
  <si>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</si>
  <si>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</si>
  <si>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</si>
  <si>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</si>
  <si>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</si>
  <si>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</si>
  <si>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</si>
  <si>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</si>
  <si>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</si>
  <si>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</si>
  <si>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</si>
  <si>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</si>
  <si>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</si>
  <si>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</si>
  <si>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</si>
  <si>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</si>
  <si>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</si>
  <si>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</si>
  <si>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</si>
  <si>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</si>
  <si>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</si>
  <si>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</si>
  <si>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</si>
  <si>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</si>
  <si>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</si>
  <si>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</si>
  <si>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</si>
  <si>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</si>
  <si>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</si>
  <si>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</si>
  <si>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</si>
  <si>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</si>
  <si>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</si>
  <si>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</si>
  <si>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</si>
  <si>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</si>
  <si>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</si>
  <si>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</si>
  <si>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</si>
  <si>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</si>
  <si>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</si>
  <si>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</si>
  <si>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</si>
  <si>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</si>
  <si>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</si>
  <si>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</si>
  <si>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</si>
  <si>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</si>
  <si>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</si>
  <si>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</si>
  <si>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</si>
  <si>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</si>
  <si>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</si>
  <si>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</si>
  <si>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</si>
  <si>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</si>
  <si>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</si>
  <si>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</si>
  <si>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</si>
  <si>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</si>
  <si>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</si>
  <si>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</si>
  <si>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</si>
  <si>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</si>
  <si>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</si>
  <si>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</si>
  <si>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</si>
  <si>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</si>
  <si>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</si>
  <si>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</si>
  <si>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</si>
  <si>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</si>
  <si>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</si>
  <si>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</si>
  <si>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</si>
  <si>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</si>
  <si>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</si>
  <si>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</si>
  <si>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</si>
  <si>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</si>
  <si>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</si>
  <si>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</si>
  <si>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</si>
  <si>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</si>
  <si>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</si>
  <si>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</si>
  <si>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</si>
  <si>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</si>
  <si>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</si>
  <si>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</si>
  <si>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</si>
  <si>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</si>
  <si>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</si>
  <si>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</si>
  <si>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</si>
  <si>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</si>
  <si>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</si>
  <si>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</si>
  <si>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</si>
  <si>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</si>
  <si>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</si>
  <si>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</si>
  <si>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</si>
  <si>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</si>
  <si>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</si>
  <si>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Warm Up, 50m Bahn, Cool Down, Theorie Lifesaver, Treffpunkt 12:10 im Foyer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</si>
  <si>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</si>
  <si>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</si>
  <si>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</si>
  <si>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</si>
  <si>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</si>
  <si>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</si>
  <si>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</si>
  <si>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</si>
  <si>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</si>
  <si>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</si>
  <si>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</si>
  <si>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</si>
  <si>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</si>
  <si>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</si>
  <si>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</si>
  <si>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</si>
  <si>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</si>
  <si>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</si>
  <si>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</si>
  <si>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LK1 - Männlich</t>
  </si>
  <si>
    <t>LK1 - Weiblich</t>
  </si>
  <si>
    <t>LK2 - Weiblich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</si>
</sst>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77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8" fillId="0" borderId="0" xfId="0" applyFont="1"/>
    <xf numFmtId="0" fontId="17" fillId="9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17" fillId="9" borderId="13" xfId="0" applyFont="1" applyFill="1" applyBorder="1" applyAlignment="1">
      <alignment horizontal="center"/>
    </xf>
    <xf numFmtId="0" fontId="17" fillId="8" borderId="13" xfId="0" applyFont="1" applyFill="1" applyBorder="1" applyAlignment="1">
      <alignment horizontal="center"/>
    </xf>
    <xf numFmtId="0" fontId="9" fillId="4" borderId="13" xfId="0" applyFont="1" applyFill="1" applyBorder="1" applyAlignment="1">
      <alignment vertical="center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 wrapText="1"/>
    </xf>
    <xf numFmtId="164" fontId="19" fillId="0" borderId="11" xfId="0" applyNumberFormat="1" applyFont="1" applyBorder="1" applyAlignment="1">
      <alignment horizontal="center" vertical="center" wrapText="1"/>
    </xf>
    <xf numFmtId="164" fontId="19" fillId="0" borderId="10" xfId="0" applyNumberFormat="1" applyFont="1" applyBorder="1" applyAlignment="1">
      <alignment horizontal="center" vertical="center" wrapText="1"/>
    </xf>
    <xf numFmtId="164" fontId="19" fillId="0" borderId="13" xfId="0" applyNumberFormat="1" applyFont="1" applyBorder="1" applyAlignment="1">
      <alignment horizontal="center" vertical="center" wrapText="1"/>
    </xf>
    <xf numFmtId="164" fontId="19" fillId="0" borderId="16" xfId="0" applyNumberFormat="1" applyFont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/>
    </xf>
    <xf numFmtId="0" fontId="17" fillId="9" borderId="10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19" fillId="0" borderId="18" xfId="0" applyNumberFormat="1" applyFont="1" applyBorder="1" applyAlignment="1">
      <alignment horizontal="center" vertical="center" wrapText="1"/>
    </xf>
    <xf numFmtId="164" fontId="19" fillId="0" borderId="14" xfId="0" applyNumberFormat="1" applyFont="1" applyBorder="1" applyAlignment="1">
      <alignment horizontal="center" vertical="center" wrapText="1"/>
    </xf>
    <xf numFmtId="164" fontId="19" fillId="0" borderId="17" xfId="0" applyNumberFormat="1" applyFont="1" applyBorder="1" applyAlignment="1">
      <alignment horizontal="center" vertical="center" wrapText="1"/>
    </xf>
    <xf numFmtId="164" fontId="19" fillId="0" borderId="15" xfId="0" applyNumberFormat="1" applyFont="1" applyBorder="1" applyAlignment="1">
      <alignment horizontal="center" vertical="center" wrapText="1"/>
    </xf>
    <xf numFmtId="0" fontId="9" fillId="10" borderId="16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9" fillId="11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/>
    </xf>
    <xf numFmtId="0" fontId="9" fillId="11" borderId="13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11" borderId="13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20" fillId="3" borderId="10" xfId="0" applyFont="1" applyFill="1" applyBorder="1" applyAlignment="1">
      <alignment horizontal="center" vertical="center" wrapText="1"/>
    </xf>
    <xf numFmtId="0" fontId="20" fillId="10" borderId="16" xfId="0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0" fontId="20" fillId="10" borderId="13" xfId="0" applyFont="1" applyFill="1" applyBorder="1" applyAlignment="1">
      <alignment horizontal="center" vertical="center" wrapText="1"/>
    </xf>
    <xf numFmtId="0" fontId="20" fillId="8" borderId="10" xfId="0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20" fillId="11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9" fontId="21" fillId="0" borderId="0" xfId="1" applyFont="1" applyAlignment="1">
      <alignment horizontal="center" vertical="center" wrapText="1"/>
    </xf>
    <xf numFmtId="9" fontId="21" fillId="0" borderId="11" xfId="1" applyFont="1" applyBorder="1" applyAlignment="1">
      <alignment horizontal="center" vertical="center" wrapText="1"/>
    </xf>
    <xf numFmtId="9" fontId="21" fillId="0" borderId="0" xfId="1" applyFont="1" applyBorder="1" applyAlignment="1">
      <alignment horizontal="center" vertical="center" wrapText="1"/>
    </xf>
    <xf numFmtId="9" fontId="21" fillId="0" borderId="14" xfId="1" applyFont="1" applyBorder="1" applyAlignment="1">
      <alignment horizontal="center" vertical="center" wrapText="1"/>
    </xf>
    <xf numFmtId="9" fontId="21" fillId="0" borderId="15" xfId="1" applyFont="1" applyBorder="1" applyAlignment="1">
      <alignment horizontal="center" vertical="center" wrapText="1"/>
    </xf>
    <xf numFmtId="9" fontId="21" fillId="0" borderId="17" xfId="1" applyFont="1" applyBorder="1" applyAlignment="1">
      <alignment horizontal="center" vertical="center" wrapText="1"/>
    </xf>
    <xf numFmtId="9" fontId="21" fillId="0" borderId="10" xfId="1" applyFont="1" applyBorder="1" applyAlignment="1">
      <alignment horizontal="center" vertical="center" wrapText="1"/>
    </xf>
    <xf numFmtId="9" fontId="21" fillId="0" borderId="13" xfId="1" applyFont="1" applyBorder="1" applyAlignment="1">
      <alignment horizontal="center" vertical="center" wrapText="1"/>
    </xf>
    <xf numFmtId="9" fontId="21" fillId="0" borderId="16" xfId="1" applyFont="1" applyBorder="1" applyAlignment="1">
      <alignment horizontal="center" vertical="center" wrapText="1"/>
    </xf>
    <xf numFmtId="9" fontId="21" fillId="0" borderId="0" xfId="1" applyFont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17" fillId="10" borderId="17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20" fillId="9" borderId="0" xfId="0" applyFont="1" applyFill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7" borderId="17" xfId="0" applyFont="1" applyFill="1" applyBorder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20" fillId="11" borderId="17" xfId="0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20" fillId="11" borderId="1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Prozent" xfId="1" builtinId="5"/>
    <cellStyle name="Standard" xfId="0" builtinId="0"/>
  </cellStyles>
  <dxfs count="207"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83" headerRowBorderDxfId="182" tableBorderDxfId="181">
  <autoFilter ref="A4:AW31" xr:uid="{2C5E83EE-6B6F-478A-9C90-A846A1A76536}"/>
  <tableColumns count="49">
    <tableColumn id="1" xr3:uid="{7C0C4105-A61A-4B8D-9129-EDC4F18765AF}" name="WR-Open" dataDxfId="180">
      <calculatedColumnFormula>A4+1</calculatedColumnFormula>
    </tableColumn>
    <tableColumn id="2" xr3:uid="{516F5612-F85F-413F-9012-E235F415E34B}" name="50m Retten - offen - W" dataDxfId="179"/>
    <tableColumn id="3" xr3:uid="{BC9ACAC9-0D45-42FD-B596-D19FBE3A4D83}" name="100m Retten - offen - W" dataDxfId="178"/>
    <tableColumn id="4" xr3:uid="{CB6DBE59-EB65-43F0-93E7-0BDC3F82832B}" name="100m Kombi - offen - W" dataDxfId="177"/>
    <tableColumn id="5" xr3:uid="{AA603C60-6831-4C14-A8CD-0AA050DA7551}" name="100m Lifesaver - offen - W" dataDxfId="176"/>
    <tableColumn id="6" xr3:uid="{7920F147-7717-4582-940A-2610F7D310CA}" name="200m Superlifesaver - offen - W" dataDxfId="175"/>
    <tableColumn id="7" xr3:uid="{04E21F1D-AC8D-4A1B-9B43-59B8F7901673}" name="200m Hindernis - offen - W" dataDxfId="174"/>
    <tableColumn id="8" xr3:uid="{40E8A083-653A-48A8-9B37-0A2D850B7829}" name="50m Retten - offen - M" dataDxfId="173"/>
    <tableColumn id="9" xr3:uid="{863824A9-134F-4189-BB14-225AE224FC44}" name="100m Retten - offen - M" dataDxfId="17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71"/>
    <tableColumn id="14" xr3:uid="{FA907992-7FCE-4CAD-8CF2-F5BEBC9B3756}" name="50m Retten - 17/18 - W" dataDxfId="170"/>
    <tableColumn id="15" xr3:uid="{76B63DC0-CB67-48F4-9B5A-D22902F59334}" name="100m Retten - 17/18 - W" dataDxfId="169"/>
    <tableColumn id="16" xr3:uid="{614A2419-51B1-44C0-8469-ADBFB078B81A}" name="100m Kombi -17/18 - W" dataDxfId="168"/>
    <tableColumn id="17" xr3:uid="{2EC953EE-367D-4524-A25E-8DE3B8168E34}" name="100m Lifesaver - 17/18 - W" dataDxfId="167"/>
    <tableColumn id="18" xr3:uid="{25711867-9BD7-4197-9094-A21392411249}" name="200m Superlifesaver - 17/18 - W" dataDxfId="166"/>
    <tableColumn id="19" xr3:uid="{262DB142-CFB1-45C3-9332-7273CACD1B62}" name="200m Hindernis - 17/18 - W" dataDxfId="165"/>
    <tableColumn id="20" xr3:uid="{938BA45A-8244-4637-8A14-DF49CD91A945}" name="50m Retten - 17/18 - M" dataDxfId="164"/>
    <tableColumn id="21" xr3:uid="{737E28D8-900F-4A98-95FE-EE7B0AFDEE90}" name="100m Retten - 17/18 - M" dataDxfId="163"/>
    <tableColumn id="22" xr3:uid="{330BD3A8-061C-45E2-ADDB-40C2F346772F}" name="100m Kombi - 17/18 - M" dataDxfId="162"/>
    <tableColumn id="23" xr3:uid="{0CADDE90-A167-4E1D-8D33-8624E5E1A4E2}" name="100m Lifesaver - 17/18 - M" dataDxfId="161"/>
    <tableColumn id="24" xr3:uid="{FCF9F42C-1291-4985-9D37-B9DE2DAA5DCB}" name="200m Superlifesaver - 17/18 - M" dataDxfId="160"/>
    <tableColumn id="25" xr3:uid="{4E5397B2-F924-4F48-AE69-AF6D650AF88D}" name="200m Hindernis - 17/18 - M" dataDxfId="159"/>
    <tableColumn id="26" xr3:uid="{0A78315A-BFDC-43EE-A66F-48B301F66508}" name="50m Retten - 15/16 - W" dataDxfId="158"/>
    <tableColumn id="27" xr3:uid="{D3FCF8BD-6C76-450D-80C0-CC0519A79731}" name="100m Retten - 15/16 - W" dataDxfId="157"/>
    <tableColumn id="28" xr3:uid="{6BE7937E-D62D-47CD-95DE-1730304B0DF3}" name="100m Kombi - 15/16 - W" dataDxfId="156"/>
    <tableColumn id="29" xr3:uid="{098BA5BE-5AF6-4187-89B6-534498F24C51}" name="100m Lifesaver -  15/16 - W" dataDxfId="155"/>
    <tableColumn id="30" xr3:uid="{2A6822CF-143C-4BF7-A440-5777527BE512}" name="200m Superlifesaver -  15/16 - W" dataDxfId="154"/>
    <tableColumn id="31" xr3:uid="{541C7145-CDEA-4E4E-9E7A-A4F05BA6C3E5}" name="200m Hindernis -  15/16 - W" dataDxfId="153"/>
    <tableColumn id="32" xr3:uid="{342C4488-8C61-42E6-87A9-C75BD8EB7452}" name="50m Retten - 15/16 - M" dataDxfId="152"/>
    <tableColumn id="33" xr3:uid="{857B1D46-7D20-47F7-AB9B-732D50346E32}" name="100m Retten - 15/16 - M" dataDxfId="151"/>
    <tableColumn id="34" xr3:uid="{4C8A2EB4-804B-45F1-A768-9A6958957F8B}" name="100m Kombi -15/16 - M" dataDxfId="150"/>
    <tableColumn id="35" xr3:uid="{26C75B4F-21EC-4EB0-A9A9-54BC80140672}" name="100m Lifesaver - 15/16 - M" dataDxfId="149"/>
    <tableColumn id="36" xr3:uid="{DBBB2A23-1A06-429A-A5D1-A547EF5EC16F}" name="200m Superlifesaver - 15/16 - M" dataDxfId="148"/>
    <tableColumn id="37" xr3:uid="{84061231-CAE5-427A-87F5-6DDBA99F77D2}" name="200m Hindernis - 15/16 - M" dataDxfId="147"/>
    <tableColumn id="38" xr3:uid="{878CCA80-A742-4B3C-90C9-E93BB814201B}" name="50m Retten - 13/14 - W" dataDxfId="146"/>
    <tableColumn id="39" xr3:uid="{A1F57102-61CF-4784-8DE2-0B8F32D5D699}" name="50m Retten mit Flossen - 13/14 - W" dataDxfId="145"/>
    <tableColumn id="40" xr3:uid="{0F6BAF78-3D79-42A9-9FED-E6D0E335A920}" name="100m Hindernis - 13/14 - W" dataDxfId="144"/>
    <tableColumn id="41" xr3:uid="{EB748A68-E10D-4D76-B315-8FDB3AC33C8D}" name="50m Retten - 13/14 - M" dataDxfId="143"/>
    <tableColumn id="42" xr3:uid="{C7B04167-6430-40F0-9A0F-D0D0BE2F9C77}" name="50m Retten mit Flossen - 13/14 - M" dataDxfId="142"/>
    <tableColumn id="43" xr3:uid="{48704BB7-A853-445A-8CDC-8D8F86C2B66A}" name="100m Hindernis - 13/14 - M" dataDxfId="141"/>
    <tableColumn id="44" xr3:uid="{9605FE9A-F41C-4A5F-A59C-B7A9D45C460F}" name="50m Flossen - 12 - W" dataDxfId="140"/>
    <tableColumn id="45" xr3:uid="{4C9DBF61-35B1-4BC2-8272-526E0AFAAFFB}" name="50m komb. Schwimmen - 12 - W" dataDxfId="139"/>
    <tableColumn id="46" xr3:uid="{CF433C95-C272-48F9-98CD-7E3C8DBB6F2C}" name="50m Hindernis - 12 - W" dataDxfId="138"/>
    <tableColumn id="47" xr3:uid="{FADB7411-DB43-4B14-B9E8-D74CA1BA18B8}" name="50m Flossen - 12 - M" dataDxfId="137"/>
    <tableColumn id="48" xr3:uid="{02936F84-1D82-48AC-8D7C-6D2954D68A06}" name="50m komb. Schwimmen - 12 - M" dataDxfId="136"/>
    <tableColumn id="49" xr3:uid="{7FD9BD11-0597-4E07-8DA5-DB53384197F5}" name="50m Hindernis - 12 - M" dataDxfId="13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34" dataDxfId="132" headerRowBorderDxfId="133" tableBorderDxfId="131">
  <autoFilter ref="A4:M32" xr:uid="{4234D44E-A2BE-4790-B589-1A8CC19B714E}"/>
  <tableColumns count="13">
    <tableColumn id="1" xr3:uid="{848E691A-41B0-42DD-B122-FB6DF43CB3EF}" name="WR-Youth" dataDxfId="130"/>
    <tableColumn id="2" xr3:uid="{2FE43F18-485B-46A9-8946-FBC5FDAE5A8E}" name="50m Retten" dataDxfId="129"/>
    <tableColumn id="3" xr3:uid="{CA5C3ABF-02E6-442B-868B-95B293B231D3}" name="100m Retten" dataDxfId="128"/>
    <tableColumn id="4" xr3:uid="{7A6BBA52-2145-464D-8C04-B2CCFC1A90DC}" name="100m Kombi" dataDxfId="127"/>
    <tableColumn id="5" xr3:uid="{21F420C9-E788-49EE-88F6-E37963ED31CF}" name="100m Lifesaver" dataDxfId="126"/>
    <tableColumn id="6" xr3:uid="{CB87B7CD-8A9C-4775-A4D7-4D267F43FD1A}" name="200m Superlifesaver" dataDxfId="125"/>
    <tableColumn id="7" xr3:uid="{2DC7F290-B564-4851-85AE-D211DA701B32}" name="200m Hindernis" dataDxfId="124"/>
    <tableColumn id="8" xr3:uid="{8112783D-8796-4D6A-8414-AC675D745697}" name="50m Retten2" dataDxfId="123"/>
    <tableColumn id="9" xr3:uid="{4E818CD4-8725-495D-9D1D-1AFCED9181F5}" name="100m Retten2" dataDxfId="122"/>
    <tableColumn id="10" xr3:uid="{28C05A91-E302-40A9-B50A-ECF997F129FC}" name="100m Kombi2" dataDxfId="121"/>
    <tableColumn id="11" xr3:uid="{D56FB9F2-45BF-4EC9-A84C-8A5FB59F2F05}" name="100m Lifesaver2" dataDxfId="120"/>
    <tableColumn id="12" xr3:uid="{540169C0-2A40-4794-A872-F7DF8A887BF2}" name="200m Superlifesaver2" dataDxfId="119"/>
    <tableColumn id="13" xr3:uid="{D104CB67-B55A-4C81-87E5-0AC758DD22A4}" name="200m Hindernis2" dataDxfId="11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17" headerRowBorderDxfId="116" tableBorderDxfId="115">
  <autoFilter ref="A4:M32" xr:uid="{E2D2F97B-7645-4066-8AB3-F35CF6E035EB}"/>
  <tableColumns count="13">
    <tableColumn id="1" xr3:uid="{AE73402B-B27E-4B29-8DCF-30B7FC1855EF}" name="WR-Open" dataDxfId="114">
      <calculatedColumnFormula>A4+1</calculatedColumnFormula>
    </tableColumn>
    <tableColumn id="2" xr3:uid="{EA3EAC1F-184E-4A28-B3E3-08DE12F138EF}" name="50m Retten" dataDxfId="113"/>
    <tableColumn id="3" xr3:uid="{E0305A3F-6087-4F8C-8B64-153E1ACAA32E}" name="100m Retten" dataDxfId="112"/>
    <tableColumn id="4" xr3:uid="{F0B7AC37-315E-49AA-855C-7955D2B43A76}" name="100m Kombi" dataDxfId="111"/>
    <tableColumn id="5" xr3:uid="{B5E690AB-DB7D-4864-8916-89D2A68C4128}" name="100m Lifesaver" dataDxfId="110"/>
    <tableColumn id="6" xr3:uid="{D89BAF4D-36AE-4C73-9320-9C5736F02F8A}" name="200m Superlifesaver" dataDxfId="109"/>
    <tableColumn id="7" xr3:uid="{58AE7517-1A90-459F-A7D2-B95265D217E7}" name="200m Hindernis" dataDxfId="108"/>
    <tableColumn id="8" xr3:uid="{13A189FB-E897-4A1F-A001-525F61E9CFFF}" name="50m Retten2" dataDxfId="107"/>
    <tableColumn id="9" xr3:uid="{36418AC5-46B8-400F-BD2E-D329CF4F92CD}" name="100m Retten2" dataDxfId="10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206" dataDxfId="205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204"/>
    <tableColumn id="2" xr3:uid="{2F302F6C-F8AF-4FDE-AB08-6F30F9671015}" name="Geschlecht" dataDxfId="203"/>
    <tableColumn id="3" xr3:uid="{4D91FBF9-386D-43DD-90D0-B49823FDB629}" name="Mindest alter" dataDxfId="202"/>
    <tableColumn id="4" xr3:uid="{4126AAC6-AF2F-446C-B4EA-D86ACFD9FAC2}" name="Maximales Alter" dataDxfId="201"/>
    <tableColumn id="5" xr3:uid="{8A10890A-A299-4B09-AC72-0E9AE9238AF3}" name="Qualizeitraum anfang" dataDxfId="200"/>
    <tableColumn id="6" xr3:uid="{FBCD1C13-FC82-429B-8DE1-0C5A455FDAB8}" name="Qualizeitraum Ende" dataDxfId="199"/>
    <tableColumn id="7" xr3:uid="{1DCCAC9B-BC46-468E-A3CE-57576C2FF11D}" name="Letzter Wettkampf am" dataDxfId="198"/>
    <tableColumn id="8" xr3:uid="{9A6E47EE-ABD8-4A1E-87D3-9D286E4C124F}" name="Wertung" dataDxfId="197"/>
    <tableColumn id="9" xr3:uid="{09E848D2-ED17-49C7-9775-CBF17D20DFC0}" name="Landesverband" dataDxfId="196"/>
    <tableColumn id="10" xr3:uid="{70ABB713-23F6-4FCF-920E-3CB0CD451446}" name="OMS" dataDxfId="195"/>
    <tableColumn id="11" xr3:uid="{9C108A1C-E6AB-4C13-9C1D-0FA8944A39A3}" name="Pool-Länge" dataDxfId="194"/>
    <tableColumn id="12" xr3:uid="{087948DD-430D-48F1-906D-4F4EF4B46053}" name="Regelwerk" dataDxfId="193"/>
    <tableColumn id="13" xr3:uid="{BF42D9C0-F77D-4971-A67E-32B0246C72C3}" name="Referenz" dataDxfId="192"/>
    <tableColumn id="19" xr3:uid="{AFFB84E8-B398-4E99-805B-9A247071A040}" name="Referenz Jahr" dataDxfId="191"/>
    <tableColumn id="20" xr3:uid="{0A59A474-DFBB-4437-8EFF-70284AFD9934}" name="Mindest Punktzahl" dataDxfId="190"/>
    <tableColumn id="21" xr3:uid="{198BD231-EEF3-43C9-AD9B-39B4B7E9B337}" name="Mindest Disziplinen" dataDxfId="189"/>
    <tableColumn id="14" xr3:uid="{443CD4F6-A2B2-480B-BB35-DCEEBC531727}" name="3-Kampf Regel" dataDxfId="188"/>
    <tableColumn id="15" xr3:uid="{70116160-7666-42B1-92AC-FAC2620E6A60}" name="Anzahl Nominierte" dataDxfId="187"/>
    <tableColumn id="16" xr3:uid="{0EFD0A46-D12B-4AB0-907C-08E5D9F282E0}" name="Anzahl Nachrücker" dataDxfId="186"/>
    <tableColumn id="17" xr3:uid="{AA5430A0-8ED8-40E8-B7F8-DA25E4E8790F}" name="Seiten Anzahl" dataDxfId="185"/>
    <tableColumn id="18" xr3:uid="{16F699D9-2741-43F3-AD5F-826A568EFEAC}" name="Absagen" dataDxfId="18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5" dataDxfId="104">
  <autoFilter ref="A1:U7" xr:uid="{CDBF6724-48A1-41AB-94B5-CC35C54BB15C}"/>
  <tableColumns count="21">
    <tableColumn id="1" xr3:uid="{E1FB3D0C-B874-4874-BACC-6872CF171957}" name="Tabellen Name" dataDxfId="103"/>
    <tableColumn id="2" xr3:uid="{FFDD2777-2097-450C-B020-F133CF643855}" name="Geschlecht" dataDxfId="102"/>
    <tableColumn id="3" xr3:uid="{8CF52BE2-8020-48BD-A36D-63F13A1878DE}" name="Mindest alter" dataDxfId="101"/>
    <tableColumn id="4" xr3:uid="{FD3A030F-CD97-4B6F-8E8C-BC2E67D79F1D}" name="Maximales Alter" dataDxfId="100"/>
    <tableColumn id="5" xr3:uid="{3E22B645-D77C-4509-B031-9914FCB91599}" name="Qualizeitraum anfang" dataDxfId="99"/>
    <tableColumn id="6" xr3:uid="{AE299324-3C1C-4063-ADF9-54555A161734}" name="Qualizeitraum Ende" dataDxfId="98"/>
    <tableColumn id="7" xr3:uid="{DCC178B3-11FC-4C53-BBC6-C2FDA2C89857}" name="Letzter Wettkampf am" dataDxfId="97"/>
    <tableColumn id="8" xr3:uid="{2811DB01-60A5-4BE4-B6F9-A806398A602A}" name="Wertung" dataDxfId="96"/>
    <tableColumn id="9" xr3:uid="{0C16DAFE-847D-4E9E-9604-3A7D9FE924D0}" name="Landesverband" dataDxfId="95"/>
    <tableColumn id="10" xr3:uid="{7A8A4101-A553-4BD5-9116-9AA5876B9401}" name="OMS" dataDxfId="94"/>
    <tableColumn id="11" xr3:uid="{9807C9BD-6499-45F6-ACE0-4D13D64EF675}" name="Pool-Länge" dataDxfId="93"/>
    <tableColumn id="12" xr3:uid="{13D336DD-650F-4F2C-836F-361CA1528F6D}" name="Regelwerk" dataDxfId="92"/>
    <tableColumn id="13" xr3:uid="{66660E2D-ADF2-4FB5-8A13-004F826EE908}" name="Referenz" dataDxfId="91"/>
    <tableColumn id="19" xr3:uid="{D72EDF8B-ECC3-4FF7-ABE6-B60BCE4A5E26}" name="Referenz Jahr" dataDxfId="90"/>
    <tableColumn id="20" xr3:uid="{7B18E667-70F7-4BC1-AB1B-21C019F2AA89}" name="Mindest Punktzahl" dataDxfId="89"/>
    <tableColumn id="21" xr3:uid="{FC185946-681B-42A6-AB1A-FC1EABB668C5}" name="Mindest Disziplinen" dataDxfId="88"/>
    <tableColumn id="14" xr3:uid="{6A2676FD-2EC7-4C41-A35E-A1597A38F932}" name="3-Kampf Regel" dataDxfId="87"/>
    <tableColumn id="15" xr3:uid="{718E0917-4F83-4A2B-832F-EBB16D5E21BF}" name="Anzahl Nominierte" dataDxfId="86"/>
    <tableColumn id="16" xr3:uid="{5C66A461-D647-4E00-A81C-FD7AD44D7CC2}" name="Anzahl Nachrücker" dataDxfId="85"/>
    <tableColumn id="17" xr3:uid="{D434BDEC-293B-4B4E-A5E9-479438960A03}" name="Seiten Anzahl" dataDxfId="84"/>
    <tableColumn id="18" xr3:uid="{80908229-9247-473F-81C0-9C9D4C12FF06}" name="Absagen" dataDxfId="8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82" dataDxfId="81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80"/>
    <tableColumn id="2" xr3:uid="{6346FF3B-B334-4CD8-8B23-F2347E29C536}" name="Geschlecht" dataDxfId="79"/>
    <tableColumn id="3" xr3:uid="{E793B48A-BC8A-439F-8AAF-6FD08104A619}" name="Mindest Alter" dataDxfId="78"/>
    <tableColumn id="4" xr3:uid="{01A62C29-2F75-4107-A431-F69230BCCD0C}" name="Maximales Alter" dataDxfId="77"/>
    <tableColumn id="5" xr3:uid="{B7E4DE90-7856-4A0C-9063-61414D7F227C}" name="Qualizeitraum anfang" dataDxfId="76"/>
    <tableColumn id="6" xr3:uid="{B00F7CD1-82CB-42B9-A396-89F79EF419CA}" name="Qualizeitraum Ende" dataDxfId="75"/>
    <tableColumn id="7" xr3:uid="{9E50DDE5-12E3-4BCB-801C-FBABCE309F0E}" name="Letzter Wettkampf am" dataDxfId="74"/>
    <tableColumn id="8" xr3:uid="{57E68247-0FF2-48D8-8ACD-AB057E576A21}" name="Landesverband" dataDxfId="73"/>
    <tableColumn id="9" xr3:uid="{EBAA439D-F69A-4C2A-8193-9AE08F1E57B8}" name="OMS" dataDxfId="72"/>
    <tableColumn id="10" xr3:uid="{BBD11E7F-3DDF-428A-B005-4A40E6FA78DC}" name="Pool-Länge" dataDxfId="71"/>
    <tableColumn id="11" xr3:uid="{6AE38DCA-A084-4F3D-A6A4-4E76E3E2CBC6}" name="Regelwerk" dataDxfId="70"/>
    <tableColumn id="12" xr3:uid="{7F7470AD-5502-4CEE-BB4C-44BA308E61D7}" name="Seiten Anzahl" dataDxfId="69"/>
    <tableColumn id="13" xr3:uid="{F416CBFA-4C9D-45CD-9BA7-E4BC57A08BC2}" name="PZ1 - 50m Retten" dataDxfId="68"/>
    <tableColumn id="14" xr3:uid="{7117DBCA-0DA7-462C-84FE-0DC7E33B124C}" name="PZ1 - 100m Retten" dataDxfId="67"/>
    <tableColumn id="15" xr3:uid="{E8630E91-DC30-4822-9E53-6D65487C3670}" name="PZ1 - 100m Kombi" dataDxfId="66"/>
    <tableColumn id="16" xr3:uid="{4B3AA225-E042-430F-8259-D176887B4528}" name="PZ1 - 100m Lifesaver" dataDxfId="65"/>
    <tableColumn id="17" xr3:uid="{798674BD-98CE-4531-BDFF-6AB06253AD7C}" name="PZ1 - 200m Super-Lifesaver" dataDxfId="64"/>
    <tableColumn id="18" xr3:uid="{8809BB71-D58B-4E8B-A442-D0EB9A65A25D}" name="PZ1 - 200m Hindernis" dataDxfId="63"/>
    <tableColumn id="19" xr3:uid="{93DCF463-806B-4117-B4E3-1FFAE976B37C}" name="PZ2 - 50m Retten" dataDxfId="62"/>
    <tableColumn id="20" xr3:uid="{A514C961-559E-462F-B143-BA30974C0129}" name="PZ2 - 100m Retten" dataDxfId="61"/>
    <tableColumn id="21" xr3:uid="{F1CF6143-45FE-498D-93D6-36F26D2F3C0B}" name="PZ2 - 100m Kombi" dataDxfId="60"/>
    <tableColumn id="22" xr3:uid="{E90962FC-C214-467F-841F-40DF60E41456}" name="PZ2 - 100m Lifesaver" dataDxfId="59"/>
    <tableColumn id="23" xr3:uid="{7FBC6334-C4C8-4B38-9F59-30ED95A44379}" name="PZ2 - 200m Super-Lifesaver" dataDxfId="58"/>
    <tableColumn id="24" xr3:uid="{231BFF86-8F3A-4BA1-B25E-28175D9EDFA9}" name="PZ2 - 200m Hindernis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56" dataDxfId="55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54"/>
    <tableColumn id="2" xr3:uid="{733C1722-A9C9-4830-A9E2-FE62E96BCD98}" name="Geschlecht" dataDxfId="53"/>
    <tableColumn id="3" xr3:uid="{80C0BF46-0E43-4947-BF86-B808C324772A}" name="Mindest Alter" dataDxfId="52"/>
    <tableColumn id="4" xr3:uid="{DBA2A923-EEB7-43F9-A1A3-E78624448FB9}" name="Maximales Alter" dataDxfId="51"/>
    <tableColumn id="5" xr3:uid="{3FDEE18A-328D-45AE-907D-69A916A93345}" name="Qualizeitraum anfang" dataDxfId="50"/>
    <tableColumn id="6" xr3:uid="{BE002D7F-575F-4B60-9251-C71D93F59045}" name="Qualizeitraum Ende" dataDxfId="49"/>
    <tableColumn id="7" xr3:uid="{208ABD57-DE4B-41D6-B9FC-93F2D8966E8D}" name="Letzter Wettkampf am" dataDxfId="48"/>
    <tableColumn id="8" xr3:uid="{30C9697C-6550-4996-ADDB-7FEE5325B794}" name="Landesverband" dataDxfId="47"/>
    <tableColumn id="9" xr3:uid="{ED2DAB77-EF46-4D8B-B8E4-90412E32E277}" name="OMS" dataDxfId="46"/>
    <tableColumn id="10" xr3:uid="{AD534940-A91B-4A6E-9606-E3F3E517D401}" name="Pool-Länge" dataDxfId="45"/>
    <tableColumn id="11" xr3:uid="{11F9D5D5-72FE-42CA-8624-01D513B4140F}" name="Regelwerk" dataDxfId="44"/>
    <tableColumn id="12" xr3:uid="{3907872B-5438-4FBF-A045-3EF9EAACFC47}" name="Seiten Anzahl" dataDxfId="43"/>
    <tableColumn id="13" xr3:uid="{FC821324-3638-40C0-BA1E-069B44E23C7A}" name="PZ1 - 50m Retten" dataDxfId="42"/>
    <tableColumn id="14" xr3:uid="{70529619-443E-40D3-88C1-3E0F00BB2A50}" name="PZ1 - 100m Retten" dataDxfId="41"/>
    <tableColumn id="15" xr3:uid="{EFA92FD2-C23F-42B3-83DC-5036513F19AF}" name="PZ1 - 100m Kombi" dataDxfId="40"/>
    <tableColumn id="16" xr3:uid="{03309E52-8CF3-4E90-9EE6-A818901C3B32}" name="PZ1 - 100m Lifesaver" dataDxfId="39"/>
    <tableColumn id="17" xr3:uid="{00B22013-AA11-4C17-9250-22060AE4B0A8}" name="PZ1 - 200m Super-Lifesaver" dataDxfId="38"/>
    <tableColumn id="18" xr3:uid="{7E3508A9-0422-4561-A23E-53E613259B24}" name="PZ1 - 200m Hindernis" dataDxfId="37"/>
    <tableColumn id="19" xr3:uid="{5CEA435F-F34B-4D8D-88D0-F5EBFF18B713}" name="PZ2 - 50m Retten" dataDxfId="36"/>
    <tableColumn id="20" xr3:uid="{8585BE62-F7C4-4D5D-B287-052B43B08610}" name="PZ2 - 100m Retten" dataDxfId="35"/>
    <tableColumn id="21" xr3:uid="{D981758B-ADAD-4E36-B787-0B0FDA808CA2}" name="PZ2 - 100m Kombi" dataDxfId="34"/>
    <tableColumn id="22" xr3:uid="{1D4970A8-D22F-4962-934C-AEA295ED687A}" name="PZ2 - 100m Lifesaver" dataDxfId="33"/>
    <tableColumn id="23" xr3:uid="{BE394430-C58F-4690-9615-44475E5AF9F8}" name="PZ2 - 200m Super-Lifesaver" dataDxfId="32"/>
    <tableColumn id="24" xr3:uid="{A7036B1A-99CE-4F7C-AAB8-12E8B2696202}" name="PZ2 - 200m Hindernis" dataDxfId="3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30"/>
    <tableColumn id="2" xr3:uid="{38211212-0A92-428C-895C-E4CA68F52818}" name="datum bis"/>
    <tableColumn id="3" xr3:uid="{66E541C6-0A5E-4B2D-9B89-5E52F449A4A6}" name="uhrzeit von" dataDxfId="29"/>
    <tableColumn id="4" xr3:uid="{D93C06A2-29AD-4073-8E3C-A685B4474CC8}" name="uhrzeit bis" dataDxfId="28"/>
    <tableColumn id="5" xr3:uid="{C5C3979C-B528-44E8-A5A6-36F020A6034F}" name="titel" dataDxfId="27"/>
    <tableColumn id="6" xr3:uid="{9DC09E1D-44FD-40ED-9EBE-86A8E61C38B2}" name="meta" dataDxfId="26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5" priority="15">
      <formula>B5&lt;&gt;B4</formula>
    </cfRule>
  </conditionalFormatting>
  <conditionalFormatting sqref="H5:M31">
    <cfRule type="expression" dxfId="24" priority="14">
      <formula>H5&lt;&gt;H4</formula>
    </cfRule>
  </conditionalFormatting>
  <conditionalFormatting sqref="N5:S31">
    <cfRule type="expression" dxfId="23" priority="13">
      <formula>N5&lt;&gt;N4</formula>
    </cfRule>
  </conditionalFormatting>
  <conditionalFormatting sqref="T5:Y31">
    <cfRule type="expression" dxfId="22" priority="12">
      <formula>T5&lt;&gt;T4</formula>
    </cfRule>
  </conditionalFormatting>
  <conditionalFormatting sqref="Z5:AE31">
    <cfRule type="expression" dxfId="21" priority="9">
      <formula>Z5&lt;&gt;Z4</formula>
    </cfRule>
  </conditionalFormatting>
  <conditionalFormatting sqref="AF5:AK31">
    <cfRule type="expression" dxfId="20" priority="8">
      <formula>AF5&lt;&gt;AF4</formula>
    </cfRule>
  </conditionalFormatting>
  <conditionalFormatting sqref="AL5:AN31">
    <cfRule type="expression" dxfId="19" priority="6">
      <formula>AL5&lt;&gt;AL4</formula>
    </cfRule>
  </conditionalFormatting>
  <conditionalFormatting sqref="AO5:AQ31">
    <cfRule type="expression" dxfId="18" priority="5">
      <formula>AO5&lt;&gt;AO4</formula>
    </cfRule>
  </conditionalFormatting>
  <conditionalFormatting sqref="AR5:AT31">
    <cfRule type="expression" dxfId="17" priority="2">
      <formula>AR5&lt;&gt;AR4</formula>
    </cfRule>
  </conditionalFormatting>
  <conditionalFormatting sqref="AU5:AW31">
    <cfRule type="expression" dxfId="16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5" priority="20">
      <formula>B6&lt;&gt;B4</formula>
    </cfRule>
  </conditionalFormatting>
  <conditionalFormatting sqref="B7:G32">
    <cfRule type="expression" dxfId="14" priority="1">
      <formula>B7&lt;&gt;B6</formula>
    </cfRule>
  </conditionalFormatting>
  <conditionalFormatting sqref="H6:M6">
    <cfRule type="expression" dxfId="13" priority="22">
      <formula>H6&lt;&gt;H4</formula>
    </cfRule>
  </conditionalFormatting>
  <conditionalFormatting sqref="H7:M32">
    <cfRule type="expression" dxfId="12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11" priority="19">
      <formula>B6&lt;&gt;B4</formula>
    </cfRule>
  </conditionalFormatting>
  <conditionalFormatting sqref="B7:G32">
    <cfRule type="expression" dxfId="10" priority="2">
      <formula>B7&lt;&gt;B6</formula>
    </cfRule>
  </conditionalFormatting>
  <conditionalFormatting sqref="H6:M6">
    <cfRule type="expression" dxfId="9" priority="20">
      <formula>H6&lt;&gt;H4</formula>
    </cfRule>
  </conditionalFormatting>
  <conditionalFormatting sqref="H7:M32">
    <cfRule type="expression" dxfId="8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255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255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255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256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255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255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255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I8" sqref="I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223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224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274</v>
      </c>
      <c r="B4" s="59" t="s">
        <v>182</v>
      </c>
      <c r="C4" s="59">
        <v>23</v>
      </c>
      <c r="D4" s="59">
        <v>50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3.9324537037037035E-4</v>
      </c>
      <c r="N4" s="62">
        <v>6.2564814814814807E-4</v>
      </c>
      <c r="O4" s="62">
        <v>8.3428703703703692E-4</v>
      </c>
      <c r="P4" s="62">
        <v>6.8807870370370366E-4</v>
      </c>
      <c r="Q4" s="62">
        <v>1.7890046296296295E-3</v>
      </c>
      <c r="R4" s="62">
        <v>1.6026527777777777E-3</v>
      </c>
      <c r="S4" s="62">
        <f>JRP_konfig[[#This Row],[PZ1 - 50m Retten]]</f>
        <v>3.9324537037037035E-4</v>
      </c>
      <c r="T4" s="62">
        <f>JRP_konfig[[#This Row],[PZ1 - 50m Retten]]</f>
        <v>3.9324537037037035E-4</v>
      </c>
      <c r="U4" s="62">
        <f>JRP_konfig[[#This Row],[PZ1 - 50m Retten]]</f>
        <v>3.9324537037037035E-4</v>
      </c>
      <c r="V4" s="62">
        <f>JRP_konfig[[#This Row],[PZ1 - 50m Retten]]</f>
        <v>3.9324537037037035E-4</v>
      </c>
      <c r="W4" s="62">
        <f>JRP_konfig[[#This Row],[PZ1 - 50m Retten]]</f>
        <v>3.9324537037037035E-4</v>
      </c>
      <c r="X4" s="62">
        <f>JRP_konfig[[#This Row],[PZ1 - 50m Retten]]</f>
        <v>3.9324537037037035E-4</v>
      </c>
    </row>
    <row r="5" spans="1:24" x14ac:dyDescent="0.45">
      <c r="A5" s="59" t="s">
        <v>274</v>
      </c>
      <c r="B5" s="59" t="s">
        <v>182</v>
      </c>
      <c r="C5" s="59">
        <v>20</v>
      </c>
      <c r="D5" s="59">
        <v>22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4.0693981481481478E-4</v>
      </c>
      <c r="N5" s="62">
        <v>6.4565277777777776E-4</v>
      </c>
      <c r="O5" s="62">
        <v>8.6691203703703691E-4</v>
      </c>
      <c r="P5" s="62">
        <v>7.1788425925925915E-4</v>
      </c>
      <c r="Q5" s="62">
        <v>1.845125E-3</v>
      </c>
      <c r="R5" s="62">
        <v>1.6571620370370371E-3</v>
      </c>
      <c r="S5" s="62">
        <f>JRP_konfig[[#This Row],[PZ1 - 50m Retten]]</f>
        <v>4.0693981481481478E-4</v>
      </c>
      <c r="T5" s="62">
        <f>JRP_konfig[[#This Row],[PZ1 - 50m Retten]]</f>
        <v>4.0693981481481478E-4</v>
      </c>
      <c r="U5" s="62">
        <f>JRP_konfig[[#This Row],[PZ1 - 50m Retten]]</f>
        <v>4.0693981481481478E-4</v>
      </c>
      <c r="V5" s="62">
        <f>JRP_konfig[[#This Row],[PZ1 - 50m Retten]]</f>
        <v>4.0693981481481478E-4</v>
      </c>
      <c r="W5" s="62">
        <f>JRP_konfig[[#This Row],[PZ1 - 50m Retten]]</f>
        <v>4.0693981481481478E-4</v>
      </c>
      <c r="X5" s="62">
        <f>JRP_konfig[[#This Row],[PZ1 - 50m Retten]]</f>
        <v>4.0693981481481478E-4</v>
      </c>
    </row>
    <row r="6" spans="1:24" x14ac:dyDescent="0.45">
      <c r="A6" s="59" t="s">
        <v>274</v>
      </c>
      <c r="B6" s="59" t="s">
        <v>182</v>
      </c>
      <c r="C6" s="59">
        <v>14</v>
      </c>
      <c r="D6" s="59">
        <v>19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4.1888888888888884E-4</v>
      </c>
      <c r="N6" s="62">
        <v>6.6324074074074072E-4</v>
      </c>
      <c r="O6" s="62">
        <v>8.953749999999999E-4</v>
      </c>
      <c r="P6" s="62">
        <v>7.439305555555554E-4</v>
      </c>
      <c r="Q6" s="62">
        <v>1.8632499999999999E-3</v>
      </c>
      <c r="R6" s="62">
        <v>1.7049583333333331E-3</v>
      </c>
      <c r="S6" s="62">
        <f>JRP_konfig[[#This Row],[PZ1 - 50m Retten]]</f>
        <v>4.1888888888888884E-4</v>
      </c>
      <c r="T6" s="62">
        <f>JRP_konfig[[#This Row],[PZ1 - 50m Retten]]</f>
        <v>4.1888888888888884E-4</v>
      </c>
      <c r="U6" s="62">
        <f>JRP_konfig[[#This Row],[PZ1 - 50m Retten]]</f>
        <v>4.1888888888888884E-4</v>
      </c>
      <c r="V6" s="62">
        <f>JRP_konfig[[#This Row],[PZ1 - 50m Retten]]</f>
        <v>4.1888888888888884E-4</v>
      </c>
      <c r="W6" s="62">
        <f>JRP_konfig[[#This Row],[PZ1 - 50m Retten]]</f>
        <v>4.1888888888888884E-4</v>
      </c>
      <c r="X6" s="62">
        <f>JRP_konfig[[#This Row],[PZ1 - 50m Retten]]</f>
        <v>4.1888888888888884E-4</v>
      </c>
    </row>
    <row r="7" spans="1:24" x14ac:dyDescent="0.45">
      <c r="A7" s="59" t="s">
        <v>275</v>
      </c>
      <c r="B7" s="59" t="s">
        <v>164</v>
      </c>
      <c r="C7" s="59">
        <v>23</v>
      </c>
      <c r="D7" s="59">
        <v>50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4.7436458333333331E-4</v>
      </c>
      <c r="N7" s="62">
        <v>7.3382291666666659E-4</v>
      </c>
      <c r="O7" s="62">
        <v>9.7080208333333328E-4</v>
      </c>
      <c r="P7" s="62">
        <v>8.0545833333333326E-4</v>
      </c>
      <c r="Q7" s="62">
        <v>1.9667916666666666E-3</v>
      </c>
      <c r="R7" s="62">
        <v>1.8239270833333332E-3</v>
      </c>
      <c r="S7" s="62">
        <f>JRP_konfig[[#This Row],[PZ1 - 50m Retten]]</f>
        <v>4.7436458333333331E-4</v>
      </c>
      <c r="T7" s="62">
        <f>JRP_konfig[[#This Row],[PZ1 - 50m Retten]]</f>
        <v>4.7436458333333331E-4</v>
      </c>
      <c r="U7" s="62">
        <f>JRP_konfig[[#This Row],[PZ1 - 50m Retten]]</f>
        <v>4.7436458333333331E-4</v>
      </c>
      <c r="V7" s="62">
        <f>JRP_konfig[[#This Row],[PZ1 - 50m Retten]]</f>
        <v>4.7436458333333331E-4</v>
      </c>
      <c r="W7" s="62">
        <f>JRP_konfig[[#This Row],[PZ1 - 50m Retten]]</f>
        <v>4.7436458333333331E-4</v>
      </c>
      <c r="X7" s="62">
        <f>JRP_konfig[[#This Row],[PZ1 - 50m Retten]]</f>
        <v>4.7436458333333331E-4</v>
      </c>
    </row>
    <row r="8" spans="1:24" x14ac:dyDescent="0.45">
      <c r="A8" s="59" t="s">
        <v>275</v>
      </c>
      <c r="B8" s="59" t="s">
        <v>164</v>
      </c>
      <c r="C8" s="59">
        <v>20</v>
      </c>
      <c r="D8" s="59">
        <v>22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4.9196875E-4</v>
      </c>
      <c r="N8" s="62">
        <v>7.5576041666666662E-4</v>
      </c>
      <c r="O8" s="62">
        <v>1.0057395833333333E-3</v>
      </c>
      <c r="P8" s="62">
        <v>8.322708333333333E-4</v>
      </c>
      <c r="Q8" s="62">
        <v>2.0094479166666663E-3</v>
      </c>
      <c r="R8" s="62">
        <v>1.8506041666666664E-3</v>
      </c>
      <c r="S8" s="62">
        <f>JRP_konfig[[#This Row],[PZ1 - 50m Retten]]</f>
        <v>4.9196875E-4</v>
      </c>
      <c r="T8" s="62">
        <f>JRP_konfig[[#This Row],[PZ1 - 50m Retten]]</f>
        <v>4.9196875E-4</v>
      </c>
      <c r="U8" s="62">
        <f>JRP_konfig[[#This Row],[PZ1 - 50m Retten]]</f>
        <v>4.9196875E-4</v>
      </c>
      <c r="V8" s="62">
        <f>JRP_konfig[[#This Row],[PZ1 - 50m Retten]]</f>
        <v>4.9196875E-4</v>
      </c>
      <c r="W8" s="62">
        <f>JRP_konfig[[#This Row],[PZ1 - 50m Retten]]</f>
        <v>4.9196875E-4</v>
      </c>
      <c r="X8" s="62">
        <f>JRP_konfig[[#This Row],[PZ1 - 50m Retten]]</f>
        <v>4.9196875E-4</v>
      </c>
    </row>
    <row r="9" spans="1:24" x14ac:dyDescent="0.45">
      <c r="A9" s="59" t="s">
        <v>275</v>
      </c>
      <c r="B9" s="59" t="s">
        <v>164</v>
      </c>
      <c r="C9" s="59">
        <v>14</v>
      </c>
      <c r="D9" s="59">
        <v>19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5.1593750000000001E-4</v>
      </c>
      <c r="N9" s="62">
        <v>7.8582291666666666E-4</v>
      </c>
      <c r="O9" s="62">
        <v>1.0534062499999999E-3</v>
      </c>
      <c r="P9" s="62">
        <v>8.6883333333333322E-4</v>
      </c>
      <c r="Q9" s="62">
        <v>2.0678124999999998E-3</v>
      </c>
      <c r="R9" s="62">
        <v>1.8871666666666668E-3</v>
      </c>
      <c r="S9" s="62">
        <f>JRP_konfig[[#This Row],[PZ1 - 50m Retten]]</f>
        <v>5.1593750000000001E-4</v>
      </c>
      <c r="T9" s="62">
        <f>JRP_konfig[[#This Row],[PZ1 - 50m Retten]]</f>
        <v>5.1593750000000001E-4</v>
      </c>
      <c r="U9" s="62">
        <f>JRP_konfig[[#This Row],[PZ1 - 50m Retten]]</f>
        <v>5.1593750000000001E-4</v>
      </c>
      <c r="V9" s="62">
        <f>JRP_konfig[[#This Row],[PZ1 - 50m Retten]]</f>
        <v>5.1593750000000001E-4</v>
      </c>
      <c r="W9" s="62">
        <f>JRP_konfig[[#This Row],[PZ1 - 50m Retten]]</f>
        <v>5.1593750000000001E-4</v>
      </c>
      <c r="X9" s="62">
        <f>JRP_konfig[[#This Row],[PZ1 - 50m Retten]]</f>
        <v>5.1593750000000001E-4</v>
      </c>
    </row>
    <row r="10" spans="1:24" x14ac:dyDescent="0.45">
      <c r="A10" s="59" t="s">
        <v>270</v>
      </c>
      <c r="B10" s="59" t="s">
        <v>182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4.4791666666666667E-4</v>
      </c>
      <c r="N10" s="62">
        <v>7.0736111111111108E-4</v>
      </c>
      <c r="O10" s="62">
        <v>9.6125000000000008E-4</v>
      </c>
      <c r="P10" s="62">
        <v>8.018055555555555E-4</v>
      </c>
      <c r="Q10" s="62">
        <v>1.9945833333333335E-3</v>
      </c>
      <c r="R10" s="62">
        <v>1.8218055555555552E-3</v>
      </c>
      <c r="S10" s="62">
        <f>JRP_konfig[[#This Row],[PZ1 - 50m Retten]]</f>
        <v>4.4791666666666667E-4</v>
      </c>
      <c r="T10" s="62">
        <f>JRP_konfig[[#This Row],[PZ1 - 50m Retten]]</f>
        <v>4.4791666666666667E-4</v>
      </c>
      <c r="U10" s="62">
        <f>JRP_konfig[[#This Row],[PZ1 - 50m Retten]]</f>
        <v>4.4791666666666667E-4</v>
      </c>
      <c r="V10" s="62">
        <f>JRP_konfig[[#This Row],[PZ1 - 50m Retten]]</f>
        <v>4.4791666666666667E-4</v>
      </c>
      <c r="W10" s="62">
        <f>JRP_konfig[[#This Row],[PZ1 - 50m Retten]]</f>
        <v>4.4791666666666667E-4</v>
      </c>
      <c r="X10" s="62">
        <f>JRP_konfig[[#This Row],[PZ1 - 50m Retten]]</f>
        <v>4.4791666666666667E-4</v>
      </c>
    </row>
    <row r="11" spans="1:24" x14ac:dyDescent="0.45">
      <c r="A11" s="59" t="s">
        <v>270</v>
      </c>
      <c r="B11" s="59" t="s">
        <v>182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4.619444444444444E-4</v>
      </c>
      <c r="N11" s="62">
        <v>7.2763888888888889E-4</v>
      </c>
      <c r="O11" s="62">
        <v>9.9472222222222236E-4</v>
      </c>
      <c r="P11" s="62">
        <v>8.3263888888888895E-4</v>
      </c>
      <c r="Q11" s="62">
        <v>2.0587499999999998E-3</v>
      </c>
      <c r="R11" s="62">
        <v>1.8773611111111107E-3</v>
      </c>
      <c r="S11" s="62">
        <f>JRP_konfig[[#This Row],[PZ1 - 50m Retten]]</f>
        <v>4.619444444444444E-4</v>
      </c>
      <c r="T11" s="62">
        <f>JRP_konfig[[#This Row],[PZ1 - 50m Retten]]</f>
        <v>4.619444444444444E-4</v>
      </c>
      <c r="U11" s="62">
        <f>JRP_konfig[[#This Row],[PZ1 - 50m Retten]]</f>
        <v>4.619444444444444E-4</v>
      </c>
      <c r="V11" s="62">
        <f>JRP_konfig[[#This Row],[PZ1 - 50m Retten]]</f>
        <v>4.619444444444444E-4</v>
      </c>
      <c r="W11" s="62">
        <f>JRP_konfig[[#This Row],[PZ1 - 50m Retten]]</f>
        <v>4.619444444444444E-4</v>
      </c>
      <c r="X11" s="62">
        <f>JRP_konfig[[#This Row],[PZ1 - 50m Retten]]</f>
        <v>4.619444444444444E-4</v>
      </c>
    </row>
    <row r="12" spans="1:24" x14ac:dyDescent="0.45">
      <c r="A12" s="59" t="s">
        <v>270</v>
      </c>
      <c r="B12" s="59" t="s">
        <v>182</v>
      </c>
      <c r="C12" s="59">
        <v>14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4.7138888888888881E-4</v>
      </c>
      <c r="N12" s="62">
        <v>7.415277777777778E-4</v>
      </c>
      <c r="O12" s="62">
        <v>1.0176388888888889E-3</v>
      </c>
      <c r="P12" s="62">
        <v>8.5375000000000002E-4</v>
      </c>
      <c r="Q12" s="62">
        <v>2.1024999999999998E-3</v>
      </c>
      <c r="R12" s="62">
        <v>1.9152777777777779E-3</v>
      </c>
      <c r="S12" s="62">
        <f>JRP_konfig[[#This Row],[PZ1 - 50m Retten]]</f>
        <v>4.7138888888888881E-4</v>
      </c>
      <c r="T12" s="62">
        <f>JRP_konfig[[#This Row],[PZ1 - 50m Retten]]</f>
        <v>4.7138888888888881E-4</v>
      </c>
      <c r="U12" s="62">
        <f>JRP_konfig[[#This Row],[PZ1 - 50m Retten]]</f>
        <v>4.7138888888888881E-4</v>
      </c>
      <c r="V12" s="62">
        <f>JRP_konfig[[#This Row],[PZ1 - 50m Retten]]</f>
        <v>4.7138888888888881E-4</v>
      </c>
      <c r="W12" s="62">
        <f>JRP_konfig[[#This Row],[PZ1 - 50m Retten]]</f>
        <v>4.7138888888888881E-4</v>
      </c>
      <c r="X12" s="62">
        <f>JRP_konfig[[#This Row],[PZ1 - 50m Retten]]</f>
        <v>4.7138888888888881E-4</v>
      </c>
    </row>
    <row r="13" spans="1:24" x14ac:dyDescent="0.45">
      <c r="A13" s="59" t="s">
        <v>276</v>
      </c>
      <c r="B13" s="59" t="s">
        <v>164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5.3782870370370367E-4</v>
      </c>
      <c r="N13" s="62">
        <v>8.139814814814815E-4</v>
      </c>
      <c r="O13" s="62">
        <v>1.1029722222222222E-3</v>
      </c>
      <c r="P13" s="62">
        <v>9.026180555555556E-4</v>
      </c>
      <c r="Q13" s="62">
        <v>2.1334236111111111E-3</v>
      </c>
      <c r="R13" s="62">
        <v>1.9327962962962962E-3</v>
      </c>
      <c r="S13" s="62">
        <f>JRP_konfig[[#This Row],[PZ1 - 50m Retten]]</f>
        <v>5.3782870370370367E-4</v>
      </c>
      <c r="T13" s="62">
        <f>JRP_konfig[[#This Row],[PZ1 - 50m Retten]]</f>
        <v>5.3782870370370367E-4</v>
      </c>
      <c r="U13" s="62">
        <f>JRP_konfig[[#This Row],[PZ1 - 50m Retten]]</f>
        <v>5.3782870370370367E-4</v>
      </c>
      <c r="V13" s="62">
        <f>JRP_konfig[[#This Row],[PZ1 - 50m Retten]]</f>
        <v>5.3782870370370367E-4</v>
      </c>
      <c r="W13" s="62">
        <f>JRP_konfig[[#This Row],[PZ1 - 50m Retten]]</f>
        <v>5.3782870370370367E-4</v>
      </c>
      <c r="X13" s="62">
        <f>JRP_konfig[[#This Row],[PZ1 - 50m Retten]]</f>
        <v>5.3782870370370367E-4</v>
      </c>
    </row>
    <row r="14" spans="1:24" x14ac:dyDescent="0.45">
      <c r="A14" s="59" t="s">
        <v>276</v>
      </c>
      <c r="B14" s="59" t="s">
        <v>164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5.5107638888888882E-4</v>
      </c>
      <c r="N14" s="62">
        <v>8.3037037037037031E-4</v>
      </c>
      <c r="O14" s="62">
        <v>1.1436712962962963E-3</v>
      </c>
      <c r="P14" s="62">
        <v>9.2269444444444441E-4</v>
      </c>
      <c r="Q14" s="62">
        <v>2.1813611111111109E-3</v>
      </c>
      <c r="R14" s="62">
        <v>1.9621597222222223E-3</v>
      </c>
      <c r="S14" s="62">
        <f>JRP_konfig[[#This Row],[PZ1 - 50m Retten]]</f>
        <v>5.5107638888888882E-4</v>
      </c>
      <c r="T14" s="62">
        <f>JRP_konfig[[#This Row],[PZ1 - 50m Retten]]</f>
        <v>5.5107638888888882E-4</v>
      </c>
      <c r="U14" s="62">
        <f>JRP_konfig[[#This Row],[PZ1 - 50m Retten]]</f>
        <v>5.5107638888888882E-4</v>
      </c>
      <c r="V14" s="62">
        <f>JRP_konfig[[#This Row],[PZ1 - 50m Retten]]</f>
        <v>5.5107638888888882E-4</v>
      </c>
      <c r="W14" s="62">
        <f>JRP_konfig[[#This Row],[PZ1 - 50m Retten]]</f>
        <v>5.5107638888888882E-4</v>
      </c>
      <c r="X14" s="62">
        <f>JRP_konfig[[#This Row],[PZ1 - 50m Retten]]</f>
        <v>5.5107638888888882E-4</v>
      </c>
    </row>
    <row r="15" spans="1:24" x14ac:dyDescent="0.45">
      <c r="A15" s="59" t="s">
        <v>276</v>
      </c>
      <c r="B15" s="59" t="s">
        <v>164</v>
      </c>
      <c r="C15" s="59">
        <v>14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5.6336805555555545E-4</v>
      </c>
      <c r="N15" s="62">
        <v>8.4539351851851843E-4</v>
      </c>
      <c r="O15" s="62">
        <v>1.1842337962962963E-3</v>
      </c>
      <c r="P15" s="62">
        <v>9.4126851851851858E-4</v>
      </c>
      <c r="Q15" s="62">
        <v>2.2291620370370369E-3</v>
      </c>
      <c r="R15" s="62">
        <v>1.9916597222222219E-3</v>
      </c>
      <c r="S15" s="62">
        <f>JRP_konfig[[#This Row],[PZ1 - 50m Retten]]</f>
        <v>5.6336805555555545E-4</v>
      </c>
      <c r="T15" s="62">
        <f>JRP_konfig[[#This Row],[PZ1 - 50m Retten]]</f>
        <v>5.6336805555555545E-4</v>
      </c>
      <c r="U15" s="62">
        <f>JRP_konfig[[#This Row],[PZ1 - 50m Retten]]</f>
        <v>5.6336805555555545E-4</v>
      </c>
      <c r="V15" s="62">
        <f>JRP_konfig[[#This Row],[PZ1 - 50m Retten]]</f>
        <v>5.6336805555555545E-4</v>
      </c>
      <c r="W15" s="62">
        <f>JRP_konfig[[#This Row],[PZ1 - 50m Retten]]</f>
        <v>5.6336805555555545E-4</v>
      </c>
      <c r="X15" s="62">
        <f>JRP_konfig[[#This Row],[PZ1 - 50m Retten]]</f>
        <v>5.6336805555555545E-4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235</v>
      </c>
      <c r="G1" t="s">
        <v>231</v>
      </c>
      <c r="H1" t="s">
        <v>230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232</v>
      </c>
      <c r="F2" s="72" t="s">
        <v>236</v>
      </c>
      <c r="G2" t="s">
        <v>233</v>
      </c>
      <c r="H2" t="s">
        <v>234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237</v>
      </c>
      <c r="F3" s="72" t="s">
        <v>254</v>
      </c>
      <c r="G3" t="s">
        <v>233</v>
      </c>
      <c r="H3" t="s">
        <v>238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232</v>
      </c>
      <c r="F4" s="72" t="s">
        <v>236</v>
      </c>
      <c r="G4" t="s">
        <v>233</v>
      </c>
      <c r="H4" t="s">
        <v>234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237</v>
      </c>
      <c r="F5" s="72" t="s">
        <v>239</v>
      </c>
      <c r="G5" t="s">
        <v>233</v>
      </c>
      <c r="H5" t="s">
        <v>238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237</v>
      </c>
      <c r="F6" s="72" t="s">
        <v>240</v>
      </c>
      <c r="G6" t="s">
        <v>241</v>
      </c>
      <c r="H6" t="s">
        <v>238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232</v>
      </c>
      <c r="F7" s="72" t="s">
        <v>242</v>
      </c>
      <c r="G7" t="s">
        <v>233</v>
      </c>
      <c r="H7" t="s">
        <v>234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243</v>
      </c>
      <c r="F8" s="72" t="s">
        <v>244</v>
      </c>
      <c r="G8" t="s">
        <v>245</v>
      </c>
      <c r="H8" t="s">
        <v>238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246</v>
      </c>
      <c r="F9" s="72" t="s">
        <v>247</v>
      </c>
      <c r="G9" t="s">
        <v>248</v>
      </c>
      <c r="H9" t="s">
        <v>249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250</v>
      </c>
      <c r="F10" s="72" t="s">
        <v>251</v>
      </c>
      <c r="G10" t="s">
        <v>252</v>
      </c>
      <c r="H10" t="s">
        <v>253</v>
      </c>
    </row>
  </sheetData>
  <conditionalFormatting sqref="A2:H10">
    <cfRule type="expression" dxfId="7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D22" sqref="D22"/>
    </sheetView>
  </sheetViews>
  <sheetFormatPr baseColWidth="10" defaultRowHeight="14.25" x14ac:dyDescent="0.45"/>
  <cols>
    <col min="1" max="1" width="5.332031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74" customFormat="1" ht="18" customHeight="1" x14ac:dyDescent="0.5">
      <c r="A1" s="140">
        <v>2025</v>
      </c>
      <c r="B1" s="79" t="str">
        <f ca="1">CONCATENATE("in: ",YEAR(TODAY())-1," für: ", YEAR(TODAY()))</f>
        <v>in: 2025 für: 2026</v>
      </c>
      <c r="C1" s="141" t="s">
        <v>257</v>
      </c>
      <c r="D1" s="141"/>
      <c r="E1" s="142"/>
      <c r="F1" s="143" t="s">
        <v>258</v>
      </c>
      <c r="G1" s="144"/>
      <c r="H1" s="144"/>
      <c r="I1" s="144"/>
      <c r="J1" s="145"/>
      <c r="K1" s="146" t="s">
        <v>262</v>
      </c>
      <c r="L1" s="147"/>
      <c r="M1" s="147"/>
      <c r="N1" s="148"/>
      <c r="O1" s="149" t="s">
        <v>259</v>
      </c>
      <c r="P1" s="149"/>
      <c r="Q1" s="150"/>
      <c r="R1" s="151" t="s">
        <v>260</v>
      </c>
      <c r="S1" s="152"/>
      <c r="T1" s="152"/>
      <c r="U1" s="152"/>
      <c r="V1" s="153"/>
      <c r="W1" s="154" t="s">
        <v>263</v>
      </c>
      <c r="X1" s="155"/>
      <c r="Y1" s="155"/>
      <c r="Z1" s="156"/>
      <c r="AA1"/>
      <c r="AB1" s="79" t="str">
        <f ca="1">CONCATENATE("in: ",YEAR(TODAY())-1," für: ", YEAR(TODAY()))</f>
        <v>in: 2025 für: 2026</v>
      </c>
      <c r="AC1" s="157" t="s">
        <v>264</v>
      </c>
      <c r="AD1" s="157"/>
      <c r="AE1" s="158"/>
      <c r="AF1" s="159" t="s">
        <v>265</v>
      </c>
      <c r="AG1" s="160"/>
      <c r="AH1" s="160"/>
      <c r="AI1" s="160"/>
      <c r="AJ1" s="161"/>
      <c r="AK1" s="162" t="s">
        <v>266</v>
      </c>
      <c r="AL1" s="163"/>
      <c r="AM1" s="163"/>
      <c r="AN1" s="164"/>
      <c r="AO1" s="165" t="s">
        <v>267</v>
      </c>
      <c r="AP1" s="166"/>
      <c r="AQ1" s="167"/>
      <c r="AR1" s="168" t="s">
        <v>268</v>
      </c>
      <c r="AS1" s="169"/>
      <c r="AT1" s="169"/>
      <c r="AU1" s="169"/>
      <c r="AV1" s="170"/>
      <c r="AW1" s="171" t="s">
        <v>269</v>
      </c>
      <c r="AX1" s="172"/>
      <c r="AY1" s="172"/>
      <c r="AZ1" s="173"/>
      <c r="BB1" s="79" t="str">
        <f ca="1">CONCATENATE("in: ",YEAR(TODAY())-1," für: ", YEAR(TODAY()))</f>
        <v>in: 2025 für: 2026</v>
      </c>
      <c r="BC1" s="141" t="s">
        <v>270</v>
      </c>
      <c r="BD1" s="141"/>
      <c r="BE1" s="142"/>
      <c r="BF1" s="143" t="s">
        <v>271</v>
      </c>
      <c r="BG1" s="144"/>
      <c r="BH1" s="144"/>
      <c r="BI1" s="144"/>
      <c r="BJ1" s="145"/>
      <c r="BK1" s="146" t="s">
        <v>272</v>
      </c>
      <c r="BL1" s="147"/>
      <c r="BM1" s="147"/>
      <c r="BN1" s="148"/>
      <c r="BO1" s="149" t="s">
        <v>259</v>
      </c>
      <c r="BP1" s="149"/>
      <c r="BQ1" s="150"/>
      <c r="BR1" s="151" t="s">
        <v>260</v>
      </c>
      <c r="BS1" s="152"/>
      <c r="BT1" s="152"/>
      <c r="BU1" s="152"/>
      <c r="BV1" s="153"/>
      <c r="BW1" s="154" t="s">
        <v>273</v>
      </c>
      <c r="BX1" s="155"/>
      <c r="BY1" s="155"/>
      <c r="BZ1" s="156"/>
    </row>
    <row r="2" spans="1:78" s="128" customFormat="1" ht="21.4" thickBot="1" x14ac:dyDescent="0.55000000000000004">
      <c r="A2" s="140"/>
      <c r="B2" s="80" t="s">
        <v>261</v>
      </c>
      <c r="C2" s="75" t="str">
        <f ca="1">CONCATENATE("≤",YEAR(TODAY())-15-1)</f>
        <v>≤2010</v>
      </c>
      <c r="D2" s="75">
        <f ca="1">YEAR(TODAY())-16-1</f>
        <v>2009</v>
      </c>
      <c r="E2" s="82">
        <f ca="1">YEAR(TODAY())-17-1</f>
        <v>2008</v>
      </c>
      <c r="F2" s="76">
        <f ca="1">YEAR(TODAY())-16-1</f>
        <v>2009</v>
      </c>
      <c r="G2" s="76">
        <f ca="1">YEAR(TODAY())-17-1</f>
        <v>2008</v>
      </c>
      <c r="H2" s="76">
        <f ca="1">YEAR(TODAY())-18-1</f>
        <v>2007</v>
      </c>
      <c r="I2" s="91" t="str">
        <f ca="1">CONCATENATE(YEAR(TODAY())-1-19,"-",YEAR(TODAY())-1-21)</f>
        <v>2006-2004</v>
      </c>
      <c r="J2" s="91" t="str">
        <f ca="1">CONCATENATE(YEAR(TODAY())-1-22,"-",YEAR(TODAY())-1-23)</f>
        <v>2003-2002</v>
      </c>
      <c r="K2" s="104" t="str">
        <f ca="1">CONCATENATE(YEAR(TODAY())-1-15,"-",YEAR(TODAY())-1-19)</f>
        <v>2010-2006</v>
      </c>
      <c r="L2" s="105">
        <f ca="1">YEAR(TODAY())-20-1</f>
        <v>2005</v>
      </c>
      <c r="M2" s="105" t="str">
        <f ca="1">CONCATENATE(YEAR(TODAY())-1-21,"-",YEAR(TODAY())-1-23)</f>
        <v>2004-2002</v>
      </c>
      <c r="N2" s="105" t="str">
        <f ca="1">CONCATENATE(YEAR(TODAY())-1-24,"-",YEAR(TODAY())-40-1)</f>
        <v>2001-1985</v>
      </c>
      <c r="O2" s="110" t="str">
        <f ca="1">CONCATENATE("≤",YEAR(TODAY())-15-1)</f>
        <v>≤2010</v>
      </c>
      <c r="P2" s="77">
        <f ca="1">YEAR(TODAY())-16-1</f>
        <v>2009</v>
      </c>
      <c r="Q2" s="83">
        <f ca="1">YEAR(TODAY())-17-1</f>
        <v>2008</v>
      </c>
      <c r="R2" s="78">
        <f ca="1">YEAR(TODAY())-16-1</f>
        <v>2009</v>
      </c>
      <c r="S2" s="78">
        <f ca="1">YEAR(TODAY())-17-1</f>
        <v>2008</v>
      </c>
      <c r="T2" s="78">
        <f ca="1">YEAR(TODAY())-18-1</f>
        <v>2007</v>
      </c>
      <c r="U2" s="98" t="str">
        <f ca="1">CONCATENATE(YEAR(TODAY())-1-19,"-",YEAR(TODAY())-1-21)</f>
        <v>2006-2004</v>
      </c>
      <c r="V2" s="99" t="str">
        <f ca="1">CONCATENATE(YEAR(TODAY())-1-22,"-",YEAR(TODAY())-1-23)</f>
        <v>2003-2002</v>
      </c>
      <c r="W2" s="108" t="str">
        <f ca="1">CONCATENATE(YEAR(TODAY())-1-15,"-",YEAR(TODAY())-1-19)</f>
        <v>2010-2006</v>
      </c>
      <c r="X2" s="106">
        <f ca="1">YEAR(TODAY())-20-1</f>
        <v>2005</v>
      </c>
      <c r="Y2" s="108" t="str">
        <f ca="1">CONCATENATE(YEAR(TODAY())-1-21,"-",YEAR(TODAY())-1-23)</f>
        <v>2004-2002</v>
      </c>
      <c r="Z2" s="109" t="str">
        <f ca="1">CONCATENATE(YEAR(TODAY())-1-24,"-",YEAR(TODAY())-40-1)</f>
        <v>2001-1985</v>
      </c>
      <c r="AA2"/>
      <c r="AB2" s="80" t="s">
        <v>261</v>
      </c>
      <c r="AC2" s="114" t="str">
        <f ca="1">CONCATENATE("≤",YEAR(TODAY())-15)</f>
        <v>≤2011</v>
      </c>
      <c r="AD2" s="114">
        <f ca="1">YEAR(TODAY())-16</f>
        <v>2010</v>
      </c>
      <c r="AE2" s="115">
        <f ca="1">YEAR(TODAY())-17</f>
        <v>2009</v>
      </c>
      <c r="AF2" s="116">
        <f ca="1">YEAR(TODAY())-16</f>
        <v>2010</v>
      </c>
      <c r="AG2" s="116">
        <f ca="1">YEAR(TODAY())-17</f>
        <v>2009</v>
      </c>
      <c r="AH2" s="116">
        <f ca="1">YEAR(TODAY())-18</f>
        <v>2008</v>
      </c>
      <c r="AI2" s="116" t="str">
        <f ca="1">CONCATENATE(YEAR(TODAY())-19,"-",YEAR(TODAY())-21)</f>
        <v>2007-2005</v>
      </c>
      <c r="AJ2" s="116" t="str">
        <f ca="1">CONCATENATE(YEAR(TODAY())-22,"-",YEAR(TODAY())-50)</f>
        <v>2004-1976</v>
      </c>
      <c r="AK2" s="117" t="str">
        <f ca="1">CONCATENATE(YEAR(TODAY())-15,"-",YEAR(TODAY())-19)</f>
        <v>2011-2007</v>
      </c>
      <c r="AL2" s="118">
        <f ca="1">YEAR(TODAY())-20</f>
        <v>2006</v>
      </c>
      <c r="AM2" s="118" t="str">
        <f ca="1">CONCATENATE(YEAR(TODAY())-21,"-",YEAR(TODAY())-23)</f>
        <v>2005-2003</v>
      </c>
      <c r="AN2" s="119" t="str">
        <f ca="1">CONCATENATE(YEAR(TODAY())-24,"-",YEAR(TODAY())-40)</f>
        <v>2002-1986</v>
      </c>
      <c r="AO2" s="120" t="str">
        <f ca="1">CONCATENATE("≤",YEAR(TODAY())-15)</f>
        <v>≤2011</v>
      </c>
      <c r="AP2" s="120">
        <f ca="1">YEAR(TODAY())-16</f>
        <v>2010</v>
      </c>
      <c r="AQ2" s="121">
        <f ca="1">YEAR(TODAY())-17</f>
        <v>2009</v>
      </c>
      <c r="AR2" s="111">
        <f ca="1">YEAR(TODAY())-16</f>
        <v>2010</v>
      </c>
      <c r="AS2" s="111">
        <f ca="1">YEAR(TODAY())-17</f>
        <v>2009</v>
      </c>
      <c r="AT2" s="111">
        <f ca="1">YEAR(TODAY())-18</f>
        <v>2008</v>
      </c>
      <c r="AU2" s="111" t="str">
        <f ca="1">CONCATENATE(YEAR(TODAY())-19,"-",YEAR(TODAY())-21)</f>
        <v>2007-2005</v>
      </c>
      <c r="AV2" s="112" t="str">
        <f ca="1">CONCATENATE(YEAR(TODAY())-22,"-",YEAR(TODAY())-50)</f>
        <v>2004-1976</v>
      </c>
      <c r="AW2" s="122" t="str">
        <f ca="1">CONCATENATE(YEAR(TODAY())-15,"-",YEAR(TODAY())-19)</f>
        <v>2011-2007</v>
      </c>
      <c r="AX2" s="122">
        <f ca="1">YEAR(TODAY())-20</f>
        <v>2006</v>
      </c>
      <c r="AY2" s="122" t="str">
        <f ca="1">CONCATENATE(YEAR(TODAY())-21,"-",YEAR(TODAY())-23)</f>
        <v>2005-2003</v>
      </c>
      <c r="AZ2" s="113" t="str">
        <f ca="1">CONCATENATE(YEAR(TODAY())-24,"-",YEAR(TODAY())-40)</f>
        <v>2002-1986</v>
      </c>
      <c r="BB2" s="80" t="s">
        <v>261</v>
      </c>
      <c r="BC2" s="92" t="str">
        <f ca="1">CONCATENATE("≤",YEAR(TODAY())-15-1)</f>
        <v>≤2010</v>
      </c>
      <c r="BD2" s="92">
        <f ca="1">YEAR(TODAY())-16-1</f>
        <v>2009</v>
      </c>
      <c r="BE2" s="93">
        <f ca="1">YEAR(TODAY())-17-1</f>
        <v>2008</v>
      </c>
      <c r="BF2" s="94">
        <f ca="1">YEAR(TODAY())-16-1</f>
        <v>2009</v>
      </c>
      <c r="BG2" s="94">
        <f ca="1">YEAR(TODAY())-17-1</f>
        <v>2008</v>
      </c>
      <c r="BH2" s="94">
        <f ca="1">YEAR(TODAY())-18-1</f>
        <v>2007</v>
      </c>
      <c r="BI2" s="123" t="str">
        <f ca="1">CONCATENATE(YEAR(TODAY())-1-19,"-",YEAR(TODAY())-1-21)</f>
        <v>2006-2004</v>
      </c>
      <c r="BJ2" s="123" t="str">
        <f ca="1">CONCATENATE(YEAR(TODAY())-1-22,"-",YEAR(TODAY())-1-50)</f>
        <v>2003-1975</v>
      </c>
      <c r="BK2" s="124" t="str">
        <f ca="1">CONCATENATE(YEAR(TODAY())-1-15,"-",YEAR(TODAY())-1-19)</f>
        <v>2010-2006</v>
      </c>
      <c r="BL2" s="125">
        <f ca="1">YEAR(TODAY())-20-1</f>
        <v>2005</v>
      </c>
      <c r="BM2" s="125" t="str">
        <f ca="1">CONCATENATE(YEAR(TODAY())-1-21,"-",YEAR(TODAY())-1-23)</f>
        <v>2004-2002</v>
      </c>
      <c r="BN2" s="125" t="str">
        <f ca="1">CONCATENATE(YEAR(TODAY())-1-24,"-",YEAR(TODAY())-40-1)</f>
        <v>2001-1985</v>
      </c>
      <c r="BO2" s="139" t="str">
        <f ca="1">CONCATENATE("≤",YEAR(TODAY())-15-1)</f>
        <v>≤2010</v>
      </c>
      <c r="BP2" s="95">
        <f ca="1">YEAR(TODAY())-16-1</f>
        <v>2009</v>
      </c>
      <c r="BQ2" s="96">
        <f ca="1">YEAR(TODAY())-17-1</f>
        <v>2008</v>
      </c>
      <c r="BR2" s="97">
        <f ca="1">YEAR(TODAY())-16-1</f>
        <v>2009</v>
      </c>
      <c r="BS2" s="97">
        <f ca="1">YEAR(TODAY())-17-1</f>
        <v>2008</v>
      </c>
      <c r="BT2" s="97">
        <f ca="1">YEAR(TODAY())-18-1</f>
        <v>2007</v>
      </c>
      <c r="BU2" s="98" t="str">
        <f ca="1">CONCATENATE(YEAR(TODAY())-1-19,"-",YEAR(TODAY())-1-21)</f>
        <v>2006-2004</v>
      </c>
      <c r="BV2" s="99" t="str">
        <f ca="1">CONCATENATE(YEAR(TODAY())-1-22,"-",YEAR(TODAY())-1-50)</f>
        <v>2003-1975</v>
      </c>
      <c r="BW2" s="107" t="str">
        <f ca="1">CONCATENATE(YEAR(TODAY())-1-15,"-",YEAR(TODAY())-1-19)</f>
        <v>2010-2006</v>
      </c>
      <c r="BX2" s="127">
        <f ca="1">YEAR(TODAY())-20-1</f>
        <v>2005</v>
      </c>
      <c r="BY2" s="107" t="str">
        <f ca="1">CONCATENATE(YEAR(TODAY())-1-21,"-",YEAR(TODAY())-1-23)</f>
        <v>2004-2002</v>
      </c>
      <c r="BZ2" s="109" t="str">
        <f ca="1">CONCATENATE(YEAR(TODAY())-1-24,"-",YEAR(TODAY())-40-1)</f>
        <v>2001-1985</v>
      </c>
    </row>
    <row r="3" spans="1:78" ht="14.65" thickTop="1" x14ac:dyDescent="0.45">
      <c r="A3" s="140"/>
      <c r="B3" s="81" t="s">
        <v>0</v>
      </c>
      <c r="C3" s="85">
        <v>3.7384259259259255E-4</v>
      </c>
      <c r="D3" s="86">
        <v>3.7025462962962961E-4</v>
      </c>
      <c r="E3" s="87">
        <v>3.6620370370370371E-4</v>
      </c>
      <c r="F3" s="86">
        <v>3.6863425925925925E-4</v>
      </c>
      <c r="G3" s="86">
        <v>3.6469907407407409E-4</v>
      </c>
      <c r="H3" s="86">
        <v>3.6111111111111109E-4</v>
      </c>
      <c r="I3" s="86">
        <v>3.5787037037037037E-4</v>
      </c>
      <c r="J3" s="87">
        <v>3.4803240740740742E-4</v>
      </c>
      <c r="K3" s="86">
        <v>3.5381944444444447E-4</v>
      </c>
      <c r="L3" s="86">
        <v>3.5092592592592592E-4</v>
      </c>
      <c r="M3" s="86">
        <v>3.4745370370370372E-4</v>
      </c>
      <c r="N3" s="87">
        <v>3.4629629629629632E-4</v>
      </c>
      <c r="O3" s="86">
        <v>4.708333333333333E-4</v>
      </c>
      <c r="P3" s="86">
        <v>4.621527777777778E-4</v>
      </c>
      <c r="Q3" s="87">
        <v>4.5300925925925928E-4</v>
      </c>
      <c r="R3" s="100">
        <v>4.586805555555556E-4</v>
      </c>
      <c r="S3" s="101">
        <v>4.4942129629629629E-4</v>
      </c>
      <c r="T3" s="86">
        <v>4.4097222222222226E-4</v>
      </c>
      <c r="U3" s="86">
        <v>4.3379629629629627E-4</v>
      </c>
      <c r="V3" s="103">
        <v>4.1157407407407408E-4</v>
      </c>
      <c r="W3" s="86">
        <v>4.2465277777777776E-4</v>
      </c>
      <c r="X3" s="86">
        <v>4.1805555555555552E-4</v>
      </c>
      <c r="Y3" s="86">
        <v>4.1030092592592594E-4</v>
      </c>
      <c r="Z3" s="87">
        <v>4.0763888888888886E-4</v>
      </c>
      <c r="AA3" s="69"/>
      <c r="AB3" s="81" t="s">
        <v>0</v>
      </c>
      <c r="AC3" s="138">
        <v>0.2</v>
      </c>
      <c r="AD3" s="129">
        <v>0.2</v>
      </c>
      <c r="AE3" s="130">
        <v>0.2</v>
      </c>
      <c r="AF3" s="129">
        <v>0</v>
      </c>
      <c r="AG3" s="129">
        <v>0</v>
      </c>
      <c r="AH3" s="129">
        <v>0.16</v>
      </c>
      <c r="AI3" s="129">
        <v>0.16</v>
      </c>
      <c r="AJ3" s="130">
        <v>0.16</v>
      </c>
      <c r="AK3" s="131">
        <v>0</v>
      </c>
      <c r="AL3" s="131">
        <v>0</v>
      </c>
      <c r="AM3" s="131">
        <v>0</v>
      </c>
      <c r="AN3" s="130">
        <v>0</v>
      </c>
      <c r="AO3" s="129">
        <v>0.18</v>
      </c>
      <c r="AP3" s="129">
        <v>0.18</v>
      </c>
      <c r="AQ3" s="130">
        <v>0.18</v>
      </c>
      <c r="AR3" s="129">
        <v>0</v>
      </c>
      <c r="AS3" s="132">
        <v>0</v>
      </c>
      <c r="AT3" s="129">
        <v>0.17</v>
      </c>
      <c r="AU3" s="129">
        <v>0.17</v>
      </c>
      <c r="AV3" s="133">
        <v>0.17</v>
      </c>
      <c r="AW3" s="129">
        <v>0</v>
      </c>
      <c r="AX3" s="129">
        <v>0</v>
      </c>
      <c r="AY3" s="129">
        <v>0</v>
      </c>
      <c r="AZ3" s="130">
        <v>0</v>
      </c>
      <c r="BB3" s="81" t="s">
        <v>0</v>
      </c>
      <c r="BC3" s="85">
        <f>IF(AC3=0,"",C3+C3*AC3)</f>
        <v>4.4861111111111105E-4</v>
      </c>
      <c r="BD3" s="86">
        <f t="shared" ref="BD3:BD8" si="0">IF(AD3=0,"",D3+D3*AD3)</f>
        <v>4.4430555555555553E-4</v>
      </c>
      <c r="BE3" s="87">
        <f t="shared" ref="BE3:BE8" si="1">IF(AE3=0,"",E3+E3*AE3)</f>
        <v>4.3944444444444445E-4</v>
      </c>
      <c r="BF3" s="86" t="str">
        <f t="shared" ref="BF3:BF8" si="2">IF(AF3=0,"",F3+F3*AF3)</f>
        <v/>
      </c>
      <c r="BG3" s="86" t="str">
        <f t="shared" ref="BG3:BG8" si="3">IF(AG3=0,"",G3+G3*AG3)</f>
        <v/>
      </c>
      <c r="BH3" s="86">
        <f t="shared" ref="BH3:BH8" si="4">IF(AH3=0,"",H3+H3*AH3)</f>
        <v>4.1888888888888889E-4</v>
      </c>
      <c r="BI3" s="86">
        <f t="shared" ref="BI3:BI8" si="5">IF(AI3=0,"",I3+I3*AI3)</f>
        <v>4.1512962962962966E-4</v>
      </c>
      <c r="BJ3" s="87">
        <f t="shared" ref="BJ3:BJ8" si="6">IF(AJ3=0,"",J3+J3*AJ3)</f>
        <v>4.0371759259259262E-4</v>
      </c>
      <c r="BK3" s="86" t="str">
        <f t="shared" ref="BK3:BK8" si="7">IF(AK3=0,"",K3+K3*AK3)</f>
        <v/>
      </c>
      <c r="BL3" s="86" t="str">
        <f t="shared" ref="BL3:BL8" si="8">IF(AL3=0,"",L3+L3*AL3)</f>
        <v/>
      </c>
      <c r="BM3" s="86" t="str">
        <f t="shared" ref="BM3:BM8" si="9">IF(AM3=0,"",M3+M3*AM3)</f>
        <v/>
      </c>
      <c r="BN3" s="87" t="str">
        <f t="shared" ref="BN3:BN8" si="10">IF(AN3=0,"",N3+N3*AN3)</f>
        <v/>
      </c>
      <c r="BO3" s="86">
        <f t="shared" ref="BO3:BO8" si="11">IF(AO3=0,"",O3+O3*AO3)</f>
        <v>5.5558333333333328E-4</v>
      </c>
      <c r="BP3" s="86">
        <f t="shared" ref="BP3:BP8" si="12">IF(AP3=0,"",P3+P3*AP3)</f>
        <v>5.4534027777777784E-4</v>
      </c>
      <c r="BQ3" s="87">
        <f t="shared" ref="BQ3:BQ8" si="13">IF(AQ3=0,"",Q3+Q3*AQ3)</f>
        <v>5.3455092592592595E-4</v>
      </c>
      <c r="BR3" s="100" t="str">
        <f t="shared" ref="BR3:BR8" si="14">IF(AR3=0,"",R3+R3*AR3)</f>
        <v/>
      </c>
      <c r="BS3" s="101" t="str">
        <f t="shared" ref="BS3:BS8" si="15">IF(AS3=0,"",S3+S3*AS3)</f>
        <v/>
      </c>
      <c r="BT3" s="86">
        <f t="shared" ref="BT3:BT8" si="16">IF(AT3=0,"",T3+T3*AT3)</f>
        <v>5.1593750000000001E-4</v>
      </c>
      <c r="BU3" s="86">
        <f t="shared" ref="BU3:BU8" si="17">IF(AU3=0,"",U3+U3*AU3)</f>
        <v>5.0754166666666667E-4</v>
      </c>
      <c r="BV3" s="103">
        <f t="shared" ref="BV3:BV8" si="18">IF(AV3=0,"",V3+V3*AV3)</f>
        <v>4.8154166666666668E-4</v>
      </c>
      <c r="BW3" s="86" t="str">
        <f t="shared" ref="BW3:BW8" si="19">IF(AW3=0,"",W3+W3*AW3)</f>
        <v/>
      </c>
      <c r="BX3" s="86" t="str">
        <f t="shared" ref="BX3:BX8" si="20">IF(AX3=0,"",X3+X3*AX3)</f>
        <v/>
      </c>
      <c r="BY3" s="86" t="str">
        <f t="shared" ref="BY3:BY8" si="21">IF(AY3=0,"",Y3+Y3*AY3)</f>
        <v/>
      </c>
      <c r="BZ3" s="87" t="str">
        <f t="shared" ref="BZ3:BZ8" si="22">IF(AZ3=0,"",Z3+Z3*AZ3)</f>
        <v/>
      </c>
    </row>
    <row r="4" spans="1:78" x14ac:dyDescent="0.45">
      <c r="A4" s="140"/>
      <c r="B4" s="81" t="s">
        <v>219</v>
      </c>
      <c r="C4" s="86">
        <v>8.0902777777777787E-4</v>
      </c>
      <c r="D4" s="86">
        <v>7.9837962962962968E-4</v>
      </c>
      <c r="E4" s="87">
        <v>7.869212962962962E-4</v>
      </c>
      <c r="F4" s="86">
        <v>7.9398148148148145E-4</v>
      </c>
      <c r="G4" s="86">
        <v>7.8252314814814818E-4</v>
      </c>
      <c r="H4" s="86">
        <v>7.7187499999999999E-4</v>
      </c>
      <c r="I4" s="86">
        <v>7.6273148148148153E-4</v>
      </c>
      <c r="J4" s="87">
        <v>7.3425925925925926E-4</v>
      </c>
      <c r="K4" s="86">
        <v>7.5104166666666668E-4</v>
      </c>
      <c r="L4" s="86">
        <v>7.4259259259259254E-4</v>
      </c>
      <c r="M4" s="86">
        <v>7.326388888888889E-4</v>
      </c>
      <c r="N4" s="87">
        <v>7.2928240740740733E-4</v>
      </c>
      <c r="O4" s="86">
        <v>9.5381944444444442E-4</v>
      </c>
      <c r="P4" s="86">
        <v>9.3854166666666673E-4</v>
      </c>
      <c r="Q4" s="87">
        <v>9.2199074074074069E-4</v>
      </c>
      <c r="R4" s="102">
        <v>9.3217592592592582E-4</v>
      </c>
      <c r="S4" s="86">
        <v>9.1562499999999999E-4</v>
      </c>
      <c r="T4" s="86">
        <v>9.0034722222222209E-4</v>
      </c>
      <c r="U4" s="86">
        <v>8.8726851851851846E-4</v>
      </c>
      <c r="V4" s="87">
        <v>8.4699074074074082E-4</v>
      </c>
      <c r="W4" s="86">
        <v>8.7071759259259264E-4</v>
      </c>
      <c r="X4" s="86">
        <v>8.587962962962963E-4</v>
      </c>
      <c r="Y4" s="86">
        <v>8.4456018518518517E-4</v>
      </c>
      <c r="Z4" s="87">
        <v>8.3981481481481483E-4</v>
      </c>
      <c r="AB4" s="81" t="s">
        <v>219</v>
      </c>
      <c r="AC4" s="129">
        <v>0.2</v>
      </c>
      <c r="AD4" s="129">
        <v>0.2</v>
      </c>
      <c r="AE4" s="130">
        <v>0.2</v>
      </c>
      <c r="AF4" s="129">
        <v>0</v>
      </c>
      <c r="AG4" s="129">
        <v>0</v>
      </c>
      <c r="AH4" s="129">
        <v>0.16</v>
      </c>
      <c r="AI4" s="129">
        <v>0.16</v>
      </c>
      <c r="AJ4" s="130">
        <v>0.16</v>
      </c>
      <c r="AK4" s="131">
        <v>0</v>
      </c>
      <c r="AL4" s="131">
        <v>0</v>
      </c>
      <c r="AM4" s="131">
        <v>0</v>
      </c>
      <c r="AN4" s="130">
        <v>0</v>
      </c>
      <c r="AO4" s="129">
        <v>0.18</v>
      </c>
      <c r="AP4" s="129">
        <v>0.18</v>
      </c>
      <c r="AQ4" s="130">
        <v>0.18</v>
      </c>
      <c r="AR4" s="134">
        <v>0</v>
      </c>
      <c r="AS4" s="131">
        <v>0</v>
      </c>
      <c r="AT4" s="129">
        <v>0.17</v>
      </c>
      <c r="AU4" s="129">
        <v>0.17</v>
      </c>
      <c r="AV4" s="130">
        <v>0.17</v>
      </c>
      <c r="AW4" s="129">
        <v>0</v>
      </c>
      <c r="AX4" s="129">
        <v>0</v>
      </c>
      <c r="AY4" s="129">
        <v>0</v>
      </c>
      <c r="AZ4" s="130">
        <v>0</v>
      </c>
      <c r="BB4" s="81" t="s">
        <v>219</v>
      </c>
      <c r="BC4" s="86">
        <f t="shared" ref="BC4:BC8" si="23">IF(AC4=0,"",C4+C4*AC4)</f>
        <v>9.7083333333333342E-4</v>
      </c>
      <c r="BD4" s="86">
        <f t="shared" si="0"/>
        <v>9.5805555555555564E-4</v>
      </c>
      <c r="BE4" s="87">
        <f t="shared" si="1"/>
        <v>9.4430555555555544E-4</v>
      </c>
      <c r="BF4" s="86" t="str">
        <f t="shared" si="2"/>
        <v/>
      </c>
      <c r="BG4" s="86" t="str">
        <f t="shared" si="3"/>
        <v/>
      </c>
      <c r="BH4" s="86">
        <f t="shared" si="4"/>
        <v>8.9537500000000001E-4</v>
      </c>
      <c r="BI4" s="86">
        <f t="shared" si="5"/>
        <v>8.8476851851851856E-4</v>
      </c>
      <c r="BJ4" s="87">
        <f t="shared" si="6"/>
        <v>8.517407407407408E-4</v>
      </c>
      <c r="BK4" s="86" t="str">
        <f t="shared" si="7"/>
        <v/>
      </c>
      <c r="BL4" s="86" t="str">
        <f t="shared" si="8"/>
        <v/>
      </c>
      <c r="BM4" s="86" t="str">
        <f t="shared" si="9"/>
        <v/>
      </c>
      <c r="BN4" s="87" t="str">
        <f t="shared" si="10"/>
        <v/>
      </c>
      <c r="BO4" s="86">
        <f t="shared" si="11"/>
        <v>1.1255069444444444E-3</v>
      </c>
      <c r="BP4" s="86">
        <f t="shared" si="12"/>
        <v>1.1074791666666668E-3</v>
      </c>
      <c r="BQ4" s="87">
        <f t="shared" si="13"/>
        <v>1.0879490740740741E-3</v>
      </c>
      <c r="BR4" s="102" t="str">
        <f t="shared" si="14"/>
        <v/>
      </c>
      <c r="BS4" s="86" t="str">
        <f t="shared" si="15"/>
        <v/>
      </c>
      <c r="BT4" s="86">
        <f t="shared" si="16"/>
        <v>1.0534062499999999E-3</v>
      </c>
      <c r="BU4" s="86">
        <f t="shared" si="17"/>
        <v>1.0381041666666666E-3</v>
      </c>
      <c r="BV4" s="87">
        <f t="shared" si="18"/>
        <v>9.909791666666667E-4</v>
      </c>
      <c r="BW4" s="86" t="str">
        <f t="shared" si="19"/>
        <v/>
      </c>
      <c r="BX4" s="86" t="str">
        <f t="shared" si="20"/>
        <v/>
      </c>
      <c r="BY4" s="86" t="str">
        <f t="shared" si="21"/>
        <v/>
      </c>
      <c r="BZ4" s="87" t="str">
        <f t="shared" si="22"/>
        <v/>
      </c>
    </row>
    <row r="5" spans="1:78" x14ac:dyDescent="0.45">
      <c r="A5" s="140"/>
      <c r="B5" s="81" t="s">
        <v>220</v>
      </c>
      <c r="C5" s="86">
        <v>5.9027777777777778E-4</v>
      </c>
      <c r="D5" s="86">
        <v>5.8495370370370374E-4</v>
      </c>
      <c r="E5" s="87">
        <v>5.7928240740740737E-4</v>
      </c>
      <c r="F5" s="86">
        <v>5.8275462962962968E-4</v>
      </c>
      <c r="G5" s="86">
        <v>5.7708333333333331E-4</v>
      </c>
      <c r="H5" s="86">
        <v>5.7175925925925927E-4</v>
      </c>
      <c r="I5" s="86">
        <v>5.6712962962962967E-4</v>
      </c>
      <c r="J5" s="87">
        <v>5.5266203703703705E-4</v>
      </c>
      <c r="K5" s="86">
        <v>5.6111111111111108E-4</v>
      </c>
      <c r="L5" s="86">
        <v>5.5694444444444444E-4</v>
      </c>
      <c r="M5" s="86">
        <v>5.5185185185185187E-4</v>
      </c>
      <c r="N5" s="87">
        <v>5.5011574074074077E-4</v>
      </c>
      <c r="O5" s="86">
        <v>6.9664351851851853E-4</v>
      </c>
      <c r="P5" s="86">
        <v>6.8946759259259265E-4</v>
      </c>
      <c r="Q5" s="87">
        <v>6.8171296296296296E-4</v>
      </c>
      <c r="R5" s="102">
        <v>6.8657407407407404E-4</v>
      </c>
      <c r="S5" s="86">
        <v>6.7881944444444446E-4</v>
      </c>
      <c r="T5" s="86">
        <v>6.7164351851851857E-4</v>
      </c>
      <c r="U5" s="86">
        <v>6.653935185185185E-4</v>
      </c>
      <c r="V5" s="87">
        <v>6.4606481481481481E-4</v>
      </c>
      <c r="W5" s="86">
        <v>6.5740740740740733E-4</v>
      </c>
      <c r="X5" s="86">
        <v>6.5173611111111118E-4</v>
      </c>
      <c r="Y5" s="86">
        <v>6.4490740740740741E-4</v>
      </c>
      <c r="Z5" s="87">
        <v>6.4259259259259261E-4</v>
      </c>
      <c r="AB5" s="81" t="s">
        <v>220</v>
      </c>
      <c r="AC5" s="129">
        <v>0.2</v>
      </c>
      <c r="AD5" s="129">
        <v>0.2</v>
      </c>
      <c r="AE5" s="130">
        <v>0.2</v>
      </c>
      <c r="AF5" s="129">
        <v>0</v>
      </c>
      <c r="AG5" s="129">
        <v>0</v>
      </c>
      <c r="AH5" s="129">
        <v>0.16</v>
      </c>
      <c r="AI5" s="129">
        <v>0.16</v>
      </c>
      <c r="AJ5" s="130">
        <v>0.16</v>
      </c>
      <c r="AK5" s="131">
        <v>0</v>
      </c>
      <c r="AL5" s="131">
        <v>0</v>
      </c>
      <c r="AM5" s="131">
        <v>0</v>
      </c>
      <c r="AN5" s="130">
        <v>0</v>
      </c>
      <c r="AO5" s="129">
        <v>0.18</v>
      </c>
      <c r="AP5" s="129">
        <v>0.18</v>
      </c>
      <c r="AQ5" s="130">
        <v>0.18</v>
      </c>
      <c r="AR5" s="134">
        <v>0</v>
      </c>
      <c r="AS5" s="131">
        <v>0</v>
      </c>
      <c r="AT5" s="129">
        <v>0.17</v>
      </c>
      <c r="AU5" s="129">
        <v>0.17</v>
      </c>
      <c r="AV5" s="130">
        <v>0.17</v>
      </c>
      <c r="AW5" s="129">
        <v>0</v>
      </c>
      <c r="AX5" s="129">
        <v>0</v>
      </c>
      <c r="AY5" s="129">
        <v>0</v>
      </c>
      <c r="AZ5" s="130">
        <v>0</v>
      </c>
      <c r="BB5" s="81" t="s">
        <v>220</v>
      </c>
      <c r="BC5" s="86">
        <f t="shared" si="23"/>
        <v>7.0833333333333338E-4</v>
      </c>
      <c r="BD5" s="86">
        <f t="shared" si="0"/>
        <v>7.0194444444444449E-4</v>
      </c>
      <c r="BE5" s="87">
        <f t="shared" si="1"/>
        <v>6.951388888888888E-4</v>
      </c>
      <c r="BF5" s="86" t="str">
        <f t="shared" si="2"/>
        <v/>
      </c>
      <c r="BG5" s="86" t="str">
        <f t="shared" si="3"/>
        <v/>
      </c>
      <c r="BH5" s="86">
        <f t="shared" si="4"/>
        <v>6.6324074074074072E-4</v>
      </c>
      <c r="BI5" s="86">
        <f t="shared" si="5"/>
        <v>6.578703703703704E-4</v>
      </c>
      <c r="BJ5" s="87">
        <f t="shared" si="6"/>
        <v>6.4108796296296299E-4</v>
      </c>
      <c r="BK5" s="86" t="str">
        <f t="shared" si="7"/>
        <v/>
      </c>
      <c r="BL5" s="86" t="str">
        <f t="shared" si="8"/>
        <v/>
      </c>
      <c r="BM5" s="86" t="str">
        <f t="shared" si="9"/>
        <v/>
      </c>
      <c r="BN5" s="87" t="str">
        <f t="shared" si="10"/>
        <v/>
      </c>
      <c r="BO5" s="86">
        <f t="shared" si="11"/>
        <v>8.220393518518519E-4</v>
      </c>
      <c r="BP5" s="86">
        <f t="shared" si="12"/>
        <v>8.1357175925925933E-4</v>
      </c>
      <c r="BQ5" s="87">
        <f t="shared" si="13"/>
        <v>8.0442129629629635E-4</v>
      </c>
      <c r="BR5" s="102" t="str">
        <f t="shared" si="14"/>
        <v/>
      </c>
      <c r="BS5" s="86" t="str">
        <f t="shared" si="15"/>
        <v/>
      </c>
      <c r="BT5" s="86">
        <f t="shared" si="16"/>
        <v>7.8582291666666677E-4</v>
      </c>
      <c r="BU5" s="86">
        <f t="shared" si="17"/>
        <v>7.7851041666666672E-4</v>
      </c>
      <c r="BV5" s="87">
        <f t="shared" si="18"/>
        <v>7.5589583333333335E-4</v>
      </c>
      <c r="BW5" s="86" t="str">
        <f t="shared" si="19"/>
        <v/>
      </c>
      <c r="BX5" s="86" t="str">
        <f t="shared" si="20"/>
        <v/>
      </c>
      <c r="BY5" s="86" t="str">
        <f t="shared" si="21"/>
        <v/>
      </c>
      <c r="BZ5" s="87" t="str">
        <f t="shared" si="22"/>
        <v/>
      </c>
    </row>
    <row r="6" spans="1:78" x14ac:dyDescent="0.45">
      <c r="A6" s="140"/>
      <c r="B6" s="81" t="s">
        <v>221</v>
      </c>
      <c r="C6" s="86">
        <v>6.8726851851851859E-4</v>
      </c>
      <c r="D6" s="86">
        <v>6.7418981481481486E-4</v>
      </c>
      <c r="E6" s="87">
        <v>6.5995370370370372E-4</v>
      </c>
      <c r="F6" s="86">
        <v>6.6874999999999997E-4</v>
      </c>
      <c r="G6" s="86">
        <v>6.5451388888888883E-4</v>
      </c>
      <c r="H6" s="86">
        <v>6.4131944444444436E-4</v>
      </c>
      <c r="I6" s="86">
        <v>6.3020833333333331E-4</v>
      </c>
      <c r="J6" s="87">
        <v>5.9594907407407405E-4</v>
      </c>
      <c r="K6" s="86">
        <v>6.1608796296296292E-4</v>
      </c>
      <c r="L6" s="86">
        <v>6.0601851851851854E-4</v>
      </c>
      <c r="M6" s="86">
        <v>5.9398148148148147E-4</v>
      </c>
      <c r="N6" s="87">
        <v>5.8993055555555556E-4</v>
      </c>
      <c r="O6" s="86">
        <v>7.7847222222222228E-4</v>
      </c>
      <c r="P6" s="86">
        <v>7.6828703703703694E-4</v>
      </c>
      <c r="Q6" s="87">
        <v>7.571759259259259E-4</v>
      </c>
      <c r="R6" s="102">
        <v>7.6400462962962967E-4</v>
      </c>
      <c r="S6" s="86">
        <v>7.5289351851851852E-4</v>
      </c>
      <c r="T6" s="86">
        <v>7.4259259259259254E-4</v>
      </c>
      <c r="U6" s="86">
        <v>7.3368055555555556E-4</v>
      </c>
      <c r="V6" s="87">
        <v>7.0625000000000006E-4</v>
      </c>
      <c r="W6" s="86">
        <v>7.2233796296296293E-4</v>
      </c>
      <c r="X6" s="86">
        <v>7.1435185185185187E-4</v>
      </c>
      <c r="Y6" s="86">
        <v>7.046296296296297E-4</v>
      </c>
      <c r="Z6" s="87">
        <v>7.0138888888888887E-4</v>
      </c>
      <c r="AB6" s="81" t="s">
        <v>221</v>
      </c>
      <c r="AC6" s="129">
        <v>0.2</v>
      </c>
      <c r="AD6" s="129">
        <v>0.2</v>
      </c>
      <c r="AE6" s="130">
        <v>0.2</v>
      </c>
      <c r="AF6" s="129">
        <v>0</v>
      </c>
      <c r="AG6" s="129">
        <v>0</v>
      </c>
      <c r="AH6" s="129">
        <v>0.16</v>
      </c>
      <c r="AI6" s="129">
        <v>0.16</v>
      </c>
      <c r="AJ6" s="130">
        <v>0.16</v>
      </c>
      <c r="AK6" s="131">
        <v>0</v>
      </c>
      <c r="AL6" s="131">
        <v>0</v>
      </c>
      <c r="AM6" s="131">
        <v>0</v>
      </c>
      <c r="AN6" s="130">
        <v>0</v>
      </c>
      <c r="AO6" s="129">
        <v>0.18</v>
      </c>
      <c r="AP6" s="129">
        <v>0.18</v>
      </c>
      <c r="AQ6" s="130">
        <v>0.18</v>
      </c>
      <c r="AR6" s="134">
        <v>0</v>
      </c>
      <c r="AS6" s="131">
        <v>0</v>
      </c>
      <c r="AT6" s="129">
        <v>0.17</v>
      </c>
      <c r="AU6" s="129">
        <v>0.17</v>
      </c>
      <c r="AV6" s="130">
        <v>0.17</v>
      </c>
      <c r="AW6" s="129">
        <v>0</v>
      </c>
      <c r="AX6" s="129">
        <v>0</v>
      </c>
      <c r="AY6" s="129">
        <v>0</v>
      </c>
      <c r="AZ6" s="130">
        <v>0</v>
      </c>
      <c r="BB6" s="81" t="s">
        <v>221</v>
      </c>
      <c r="BC6" s="86">
        <f t="shared" si="23"/>
        <v>8.2472222222222235E-4</v>
      </c>
      <c r="BD6" s="86">
        <f t="shared" si="0"/>
        <v>8.0902777777777787E-4</v>
      </c>
      <c r="BE6" s="87">
        <f t="shared" si="1"/>
        <v>7.9194444444444451E-4</v>
      </c>
      <c r="BF6" s="86" t="str">
        <f t="shared" si="2"/>
        <v/>
      </c>
      <c r="BG6" s="86" t="str">
        <f t="shared" si="3"/>
        <v/>
      </c>
      <c r="BH6" s="86">
        <f t="shared" si="4"/>
        <v>7.439305555555554E-4</v>
      </c>
      <c r="BI6" s="86">
        <f t="shared" si="5"/>
        <v>7.3104166666666662E-4</v>
      </c>
      <c r="BJ6" s="87">
        <f t="shared" si="6"/>
        <v>6.9130092592592594E-4</v>
      </c>
      <c r="BK6" s="86" t="str">
        <f t="shared" si="7"/>
        <v/>
      </c>
      <c r="BL6" s="86" t="str">
        <f t="shared" si="8"/>
        <v/>
      </c>
      <c r="BM6" s="86" t="str">
        <f t="shared" si="9"/>
        <v/>
      </c>
      <c r="BN6" s="87" t="str">
        <f t="shared" si="10"/>
        <v/>
      </c>
      <c r="BO6" s="86">
        <f t="shared" si="11"/>
        <v>9.1859722222222234E-4</v>
      </c>
      <c r="BP6" s="86">
        <f t="shared" si="12"/>
        <v>9.065787037037036E-4</v>
      </c>
      <c r="BQ6" s="87">
        <f t="shared" si="13"/>
        <v>8.9346759259259262E-4</v>
      </c>
      <c r="BR6" s="102" t="str">
        <f t="shared" si="14"/>
        <v/>
      </c>
      <c r="BS6" s="86" t="str">
        <f t="shared" si="15"/>
        <v/>
      </c>
      <c r="BT6" s="86">
        <f t="shared" si="16"/>
        <v>8.6883333333333322E-4</v>
      </c>
      <c r="BU6" s="86">
        <f t="shared" si="17"/>
        <v>8.5840625000000001E-4</v>
      </c>
      <c r="BV6" s="87">
        <f t="shared" si="18"/>
        <v>8.2631250000000012E-4</v>
      </c>
      <c r="BW6" s="86" t="str">
        <f t="shared" si="19"/>
        <v/>
      </c>
      <c r="BX6" s="86" t="str">
        <f t="shared" si="20"/>
        <v/>
      </c>
      <c r="BY6" s="86" t="str">
        <f t="shared" si="21"/>
        <v/>
      </c>
      <c r="BZ6" s="87" t="str">
        <f t="shared" si="22"/>
        <v/>
      </c>
    </row>
    <row r="7" spans="1:78" x14ac:dyDescent="0.45">
      <c r="A7" s="140"/>
      <c r="B7" s="81" t="s">
        <v>222</v>
      </c>
      <c r="C7" s="86">
        <v>1.5266203703703705E-3</v>
      </c>
      <c r="D7" s="86">
        <v>1.5104166666666666E-3</v>
      </c>
      <c r="E7" s="87">
        <v>1.4928240740740739E-3</v>
      </c>
      <c r="F7" s="86">
        <v>1.5037037037037035E-3</v>
      </c>
      <c r="G7" s="86">
        <v>1.4859953703703702E-3</v>
      </c>
      <c r="H7" s="86">
        <v>1.4697916666666666E-3</v>
      </c>
      <c r="I7" s="86">
        <v>1.4555555555555556E-3</v>
      </c>
      <c r="J7" s="87">
        <v>1.411574074074074E-3</v>
      </c>
      <c r="K7" s="86">
        <v>1.4375E-3</v>
      </c>
      <c r="L7" s="86">
        <v>1.4245370370370371E-3</v>
      </c>
      <c r="M7" s="86">
        <v>1.4090277777777777E-3</v>
      </c>
      <c r="N7" s="87">
        <v>1.4038194444444445E-3</v>
      </c>
      <c r="O7" s="86">
        <v>1.6328703703703702E-3</v>
      </c>
      <c r="P7" s="86">
        <v>1.6271990740740741E-3</v>
      </c>
      <c r="Q7" s="87">
        <v>1.6210648148148148E-3</v>
      </c>
      <c r="R7" s="102">
        <v>1.6247685185185184E-3</v>
      </c>
      <c r="S7" s="86">
        <v>1.6186342592592591E-3</v>
      </c>
      <c r="T7" s="86">
        <v>1.6129629629629632E-3</v>
      </c>
      <c r="U7" s="86">
        <v>1.6078703703703706E-3</v>
      </c>
      <c r="V7" s="87">
        <v>1.5918981481481481E-3</v>
      </c>
      <c r="W7" s="86">
        <v>1.6012731481481481E-3</v>
      </c>
      <c r="X7" s="86">
        <v>1.5966435185185183E-3</v>
      </c>
      <c r="Y7" s="86">
        <v>1.5909722222222224E-3</v>
      </c>
      <c r="Z7" s="87">
        <v>1.5891203703703705E-3</v>
      </c>
      <c r="AB7" s="81" t="s">
        <v>222</v>
      </c>
      <c r="AC7" s="129">
        <v>0.2</v>
      </c>
      <c r="AD7" s="129">
        <v>0.2</v>
      </c>
      <c r="AE7" s="130">
        <v>0.2</v>
      </c>
      <c r="AF7" s="129">
        <v>0</v>
      </c>
      <c r="AG7" s="129">
        <v>0</v>
      </c>
      <c r="AH7" s="129">
        <v>0.16</v>
      </c>
      <c r="AI7" s="129">
        <v>0.16</v>
      </c>
      <c r="AJ7" s="130">
        <v>0.16</v>
      </c>
      <c r="AK7" s="131">
        <v>0</v>
      </c>
      <c r="AL7" s="131">
        <v>0</v>
      </c>
      <c r="AM7" s="131">
        <v>0</v>
      </c>
      <c r="AN7" s="130">
        <v>0</v>
      </c>
      <c r="AO7" s="129">
        <v>0.18</v>
      </c>
      <c r="AP7" s="129">
        <v>0.18</v>
      </c>
      <c r="AQ7" s="130">
        <v>0.18</v>
      </c>
      <c r="AR7" s="134">
        <v>0</v>
      </c>
      <c r="AS7" s="131">
        <v>0</v>
      </c>
      <c r="AT7" s="129">
        <v>0.17</v>
      </c>
      <c r="AU7" s="129">
        <v>0.17</v>
      </c>
      <c r="AV7" s="130">
        <v>0.17</v>
      </c>
      <c r="AW7" s="129">
        <v>0</v>
      </c>
      <c r="AX7" s="129">
        <v>0</v>
      </c>
      <c r="AY7" s="129">
        <v>0</v>
      </c>
      <c r="AZ7" s="130">
        <v>0</v>
      </c>
      <c r="BB7" s="81" t="s">
        <v>222</v>
      </c>
      <c r="BC7" s="86">
        <f t="shared" si="23"/>
        <v>1.8319444444444446E-3</v>
      </c>
      <c r="BD7" s="86">
        <f t="shared" si="0"/>
        <v>1.8124999999999999E-3</v>
      </c>
      <c r="BE7" s="87">
        <f t="shared" si="1"/>
        <v>1.7913888888888888E-3</v>
      </c>
      <c r="BF7" s="86" t="str">
        <f t="shared" si="2"/>
        <v/>
      </c>
      <c r="BG7" s="86" t="str">
        <f t="shared" si="3"/>
        <v/>
      </c>
      <c r="BH7" s="86">
        <f t="shared" si="4"/>
        <v>1.7049583333333333E-3</v>
      </c>
      <c r="BI7" s="86">
        <f t="shared" si="5"/>
        <v>1.6884444444444445E-3</v>
      </c>
      <c r="BJ7" s="87">
        <f t="shared" si="6"/>
        <v>1.6374259259259259E-3</v>
      </c>
      <c r="BK7" s="86" t="str">
        <f t="shared" si="7"/>
        <v/>
      </c>
      <c r="BL7" s="86" t="str">
        <f t="shared" si="8"/>
        <v/>
      </c>
      <c r="BM7" s="86" t="str">
        <f t="shared" si="9"/>
        <v/>
      </c>
      <c r="BN7" s="87" t="str">
        <f t="shared" si="10"/>
        <v/>
      </c>
      <c r="BO7" s="86">
        <f t="shared" si="11"/>
        <v>1.9267870370370367E-3</v>
      </c>
      <c r="BP7" s="86">
        <f t="shared" si="12"/>
        <v>1.9200949074074075E-3</v>
      </c>
      <c r="BQ7" s="87">
        <f t="shared" si="13"/>
        <v>1.9128564814814815E-3</v>
      </c>
      <c r="BR7" s="102" t="str">
        <f t="shared" si="14"/>
        <v/>
      </c>
      <c r="BS7" s="86" t="str">
        <f t="shared" si="15"/>
        <v/>
      </c>
      <c r="BT7" s="86">
        <f t="shared" si="16"/>
        <v>1.887166666666667E-3</v>
      </c>
      <c r="BU7" s="86">
        <f t="shared" si="17"/>
        <v>1.8812083333333337E-3</v>
      </c>
      <c r="BV7" s="87">
        <f t="shared" si="18"/>
        <v>1.8625208333333332E-3</v>
      </c>
      <c r="BW7" s="86" t="str">
        <f t="shared" si="19"/>
        <v/>
      </c>
      <c r="BX7" s="86" t="str">
        <f t="shared" si="20"/>
        <v/>
      </c>
      <c r="BY7" s="86" t="str">
        <f t="shared" si="21"/>
        <v/>
      </c>
      <c r="BZ7" s="87" t="str">
        <f t="shared" si="22"/>
        <v/>
      </c>
    </row>
    <row r="8" spans="1:78" ht="14.65" thickBot="1" x14ac:dyDescent="0.5">
      <c r="A8" s="140"/>
      <c r="B8" s="84" t="s">
        <v>4</v>
      </c>
      <c r="C8" s="88">
        <v>1.6688657407407407E-3</v>
      </c>
      <c r="D8" s="88">
        <v>1.6509259259259257E-3</v>
      </c>
      <c r="E8" s="89">
        <v>1.6315972222222222E-3</v>
      </c>
      <c r="F8" s="90">
        <v>1.6435185185185185E-3</v>
      </c>
      <c r="G8" s="88">
        <v>1.6241898148148146E-3</v>
      </c>
      <c r="H8" s="88">
        <v>1.60625E-3</v>
      </c>
      <c r="I8" s="88">
        <v>1.590625E-3</v>
      </c>
      <c r="J8" s="89">
        <v>1.5422453703703705E-3</v>
      </c>
      <c r="K8" s="88">
        <v>1.5707175925925927E-3</v>
      </c>
      <c r="L8" s="88">
        <v>1.5564814814814814E-3</v>
      </c>
      <c r="M8" s="88">
        <v>1.5393518518518519E-3</v>
      </c>
      <c r="N8" s="88">
        <v>1.5336805555555555E-3</v>
      </c>
      <c r="O8" s="90">
        <v>1.8101851851851853E-3</v>
      </c>
      <c r="P8" s="88">
        <v>1.7979166666666666E-3</v>
      </c>
      <c r="Q8" s="89">
        <v>1.784722222222222E-3</v>
      </c>
      <c r="R8" s="88">
        <v>1.7928240740740741E-3</v>
      </c>
      <c r="S8" s="88">
        <v>1.7796296296296295E-3</v>
      </c>
      <c r="T8" s="88">
        <v>1.767361111111111E-3</v>
      </c>
      <c r="U8" s="88">
        <v>1.7564814814814815E-3</v>
      </c>
      <c r="V8" s="89">
        <v>1.7228009259259258E-3</v>
      </c>
      <c r="W8" s="90">
        <v>1.7425925925925927E-3</v>
      </c>
      <c r="X8" s="88">
        <v>1.7327546296296297E-3</v>
      </c>
      <c r="Y8" s="88">
        <v>1.7208333333333333E-3</v>
      </c>
      <c r="Z8" s="89">
        <v>1.7168981481481482E-3</v>
      </c>
      <c r="AB8" s="84" t="s">
        <v>4</v>
      </c>
      <c r="AC8" s="135">
        <v>0.2</v>
      </c>
      <c r="AD8" s="135">
        <v>0.2</v>
      </c>
      <c r="AE8" s="136">
        <v>0.2</v>
      </c>
      <c r="AF8" s="137">
        <v>0</v>
      </c>
      <c r="AG8" s="135">
        <v>0</v>
      </c>
      <c r="AH8" s="135">
        <v>0.16</v>
      </c>
      <c r="AI8" s="135">
        <v>0.16</v>
      </c>
      <c r="AJ8" s="136">
        <v>0.16</v>
      </c>
      <c r="AK8" s="135">
        <v>0</v>
      </c>
      <c r="AL8" s="135">
        <v>0</v>
      </c>
      <c r="AM8" s="135">
        <v>0</v>
      </c>
      <c r="AN8" s="135">
        <v>0</v>
      </c>
      <c r="AO8" s="137">
        <v>0.18</v>
      </c>
      <c r="AP8" s="135">
        <v>0.18</v>
      </c>
      <c r="AQ8" s="136">
        <v>0.18</v>
      </c>
      <c r="AR8" s="135">
        <v>0</v>
      </c>
      <c r="AS8" s="135">
        <v>0</v>
      </c>
      <c r="AT8" s="135">
        <v>0.17</v>
      </c>
      <c r="AU8" s="135">
        <v>0.17</v>
      </c>
      <c r="AV8" s="136">
        <v>0.17</v>
      </c>
      <c r="AW8" s="137">
        <v>0</v>
      </c>
      <c r="AX8" s="135">
        <v>0</v>
      </c>
      <c r="AY8" s="135">
        <v>0</v>
      </c>
      <c r="AZ8" s="136">
        <v>0</v>
      </c>
      <c r="BB8" s="84" t="s">
        <v>4</v>
      </c>
      <c r="BC8" s="88">
        <f t="shared" si="23"/>
        <v>2.0026388888888889E-3</v>
      </c>
      <c r="BD8" s="88">
        <f t="shared" si="0"/>
        <v>1.981111111111111E-3</v>
      </c>
      <c r="BE8" s="89">
        <f t="shared" si="1"/>
        <v>1.9579166666666668E-3</v>
      </c>
      <c r="BF8" s="90" t="str">
        <f t="shared" si="2"/>
        <v/>
      </c>
      <c r="BG8" s="88" t="str">
        <f t="shared" si="3"/>
        <v/>
      </c>
      <c r="BH8" s="88">
        <f t="shared" si="4"/>
        <v>1.8632500000000001E-3</v>
      </c>
      <c r="BI8" s="88">
        <f t="shared" si="5"/>
        <v>1.845125E-3</v>
      </c>
      <c r="BJ8" s="89">
        <f t="shared" si="6"/>
        <v>1.7890046296296298E-3</v>
      </c>
      <c r="BK8" s="88" t="str">
        <f t="shared" si="7"/>
        <v/>
      </c>
      <c r="BL8" s="88" t="str">
        <f t="shared" si="8"/>
        <v/>
      </c>
      <c r="BM8" s="88" t="str">
        <f t="shared" si="9"/>
        <v/>
      </c>
      <c r="BN8" s="88" t="str">
        <f t="shared" si="10"/>
        <v/>
      </c>
      <c r="BO8" s="90">
        <f t="shared" si="11"/>
        <v>2.1360185185185189E-3</v>
      </c>
      <c r="BP8" s="88">
        <f t="shared" si="12"/>
        <v>2.1215416666666665E-3</v>
      </c>
      <c r="BQ8" s="89">
        <f t="shared" si="13"/>
        <v>2.1059722222222222E-3</v>
      </c>
      <c r="BR8" s="88" t="str">
        <f t="shared" si="14"/>
        <v/>
      </c>
      <c r="BS8" s="88" t="str">
        <f t="shared" si="15"/>
        <v/>
      </c>
      <c r="BT8" s="88">
        <f t="shared" si="16"/>
        <v>2.0678124999999998E-3</v>
      </c>
      <c r="BU8" s="88">
        <f t="shared" si="17"/>
        <v>2.0550833333333332E-3</v>
      </c>
      <c r="BV8" s="89">
        <f t="shared" si="18"/>
        <v>2.0156770833333333E-3</v>
      </c>
      <c r="BW8" s="90" t="str">
        <f t="shared" si="19"/>
        <v/>
      </c>
      <c r="BX8" s="88" t="str">
        <f t="shared" si="20"/>
        <v/>
      </c>
      <c r="BY8" s="88" t="str">
        <f t="shared" si="21"/>
        <v/>
      </c>
      <c r="BZ8" s="89" t="str">
        <f t="shared" si="22"/>
        <v/>
      </c>
    </row>
    <row r="9" spans="1:78" ht="14.65" thickTop="1" x14ac:dyDescent="0.45"/>
    <row r="10" spans="1:78" ht="18" x14ac:dyDescent="0.45">
      <c r="A10" s="140">
        <v>2026</v>
      </c>
      <c r="B10" s="79" t="str">
        <f ca="1">CONCATENATE("in: ",YEAR(TODAY())," für: ", YEAR(TODAY())+1)</f>
        <v>in: 2026 für: 2027</v>
      </c>
      <c r="C10" s="141" t="s">
        <v>257</v>
      </c>
      <c r="D10" s="141"/>
      <c r="E10" s="142"/>
      <c r="F10" s="143" t="s">
        <v>258</v>
      </c>
      <c r="G10" s="144"/>
      <c r="H10" s="144"/>
      <c r="I10" s="144"/>
      <c r="J10" s="145"/>
      <c r="K10" s="146" t="s">
        <v>262</v>
      </c>
      <c r="L10" s="147"/>
      <c r="M10" s="147"/>
      <c r="N10" s="148"/>
      <c r="O10" s="149" t="s">
        <v>259</v>
      </c>
      <c r="P10" s="149"/>
      <c r="Q10" s="150"/>
      <c r="R10" s="151" t="s">
        <v>260</v>
      </c>
      <c r="S10" s="152"/>
      <c r="T10" s="152"/>
      <c r="U10" s="152"/>
      <c r="V10" s="153"/>
      <c r="W10" s="154" t="s">
        <v>263</v>
      </c>
      <c r="X10" s="155"/>
      <c r="Y10" s="155"/>
      <c r="Z10" s="156"/>
      <c r="AB10" s="79" t="str">
        <f ca="1">CONCATENATE("in: ",YEAR(TODAY())," für: ", YEAR(TODAY())+1)</f>
        <v>in: 2026 für: 2027</v>
      </c>
      <c r="AC10" s="157" t="s">
        <v>264</v>
      </c>
      <c r="AD10" s="157"/>
      <c r="AE10" s="158"/>
      <c r="AF10" s="159" t="s">
        <v>265</v>
      </c>
      <c r="AG10" s="160"/>
      <c r="AH10" s="160"/>
      <c r="AI10" s="160"/>
      <c r="AJ10" s="161"/>
      <c r="AK10" s="162" t="s">
        <v>266</v>
      </c>
      <c r="AL10" s="163"/>
      <c r="AM10" s="163"/>
      <c r="AN10" s="164"/>
      <c r="AO10" s="165" t="s">
        <v>267</v>
      </c>
      <c r="AP10" s="166"/>
      <c r="AQ10" s="167"/>
      <c r="AR10" s="168" t="s">
        <v>268</v>
      </c>
      <c r="AS10" s="169"/>
      <c r="AT10" s="169"/>
      <c r="AU10" s="169"/>
      <c r="AV10" s="170"/>
      <c r="AW10" s="171" t="s">
        <v>269</v>
      </c>
      <c r="AX10" s="172"/>
      <c r="AY10" s="172"/>
      <c r="AZ10" s="173"/>
      <c r="BB10" s="79" t="str">
        <f ca="1">CONCATENATE("in: ",YEAR(TODAY())," für: ", YEAR(TODAY())+1)</f>
        <v>in: 2026 für: 2027</v>
      </c>
      <c r="BC10" s="141" t="s">
        <v>270</v>
      </c>
      <c r="BD10" s="141"/>
      <c r="BE10" s="142"/>
      <c r="BF10" s="143" t="s">
        <v>271</v>
      </c>
      <c r="BG10" s="144"/>
      <c r="BH10" s="144"/>
      <c r="BI10" s="144"/>
      <c r="BJ10" s="145"/>
      <c r="BK10" s="146" t="s">
        <v>272</v>
      </c>
      <c r="BL10" s="147"/>
      <c r="BM10" s="147"/>
      <c r="BN10" s="148"/>
      <c r="BO10" s="149" t="s">
        <v>259</v>
      </c>
      <c r="BP10" s="149"/>
      <c r="BQ10" s="150"/>
      <c r="BR10" s="151" t="s">
        <v>260</v>
      </c>
      <c r="BS10" s="152"/>
      <c r="BT10" s="152"/>
      <c r="BU10" s="152"/>
      <c r="BV10" s="153"/>
      <c r="BW10" s="154" t="s">
        <v>273</v>
      </c>
      <c r="BX10" s="155"/>
      <c r="BY10" s="155"/>
      <c r="BZ10" s="156"/>
    </row>
    <row r="11" spans="1:78" ht="21.4" thickBot="1" x14ac:dyDescent="0.5">
      <c r="A11" s="140"/>
      <c r="B11" s="80" t="s">
        <v>261</v>
      </c>
      <c r="C11" s="92" t="str">
        <f ca="1">CONCATENATE("≤",YEAR(TODAY())-15)</f>
        <v>≤2011</v>
      </c>
      <c r="D11" s="92">
        <f ca="1">YEAR(TODAY())-16</f>
        <v>2010</v>
      </c>
      <c r="E11" s="93">
        <f ca="1">YEAR(TODAY())-17</f>
        <v>2009</v>
      </c>
      <c r="F11" s="94">
        <f ca="1">YEAR(TODAY())-16</f>
        <v>2010</v>
      </c>
      <c r="G11" s="94">
        <f ca="1">YEAR(TODAY())-17</f>
        <v>2009</v>
      </c>
      <c r="H11" s="94">
        <f ca="1">YEAR(TODAY())-18</f>
        <v>2008</v>
      </c>
      <c r="I11" s="123" t="str">
        <f ca="1">CONCATENATE(YEAR(TODAY())-19,"-",YEAR(TODAY())-21)</f>
        <v>2007-2005</v>
      </c>
      <c r="J11" s="123" t="str">
        <f ca="1">CONCATENATE(YEAR(TODAY())-22,"-",YEAR(TODAY())-23)</f>
        <v>2004-2003</v>
      </c>
      <c r="K11" s="124" t="str">
        <f ca="1">CONCATENATE(YEAR(TODAY())-15,"-",YEAR(TODAY())-19)</f>
        <v>2011-2007</v>
      </c>
      <c r="L11" s="125">
        <f ca="1">YEAR(TODAY())-20</f>
        <v>2006</v>
      </c>
      <c r="M11" s="125" t="str">
        <f ca="1">CONCATENATE(YEAR(TODAY())-21,"-",YEAR(TODAY())-23)</f>
        <v>2005-2003</v>
      </c>
      <c r="N11" s="126" t="str">
        <f ca="1">CONCATENATE(YEAR(TODAY())-24,"-",YEAR(TODAY())-40)</f>
        <v>2002-1986</v>
      </c>
      <c r="O11" s="95" t="str">
        <f ca="1">CONCATENATE("≤",YEAR(TODAY())-15)</f>
        <v>≤2011</v>
      </c>
      <c r="P11" s="95">
        <f ca="1">YEAR(TODAY())-16</f>
        <v>2010</v>
      </c>
      <c r="Q11" s="96">
        <f ca="1">YEAR(TODAY())-17</f>
        <v>2009</v>
      </c>
      <c r="R11" s="97">
        <f ca="1">YEAR(TODAY())-16</f>
        <v>2010</v>
      </c>
      <c r="S11" s="97">
        <f ca="1">YEAR(TODAY())-17</f>
        <v>2009</v>
      </c>
      <c r="T11" s="97">
        <f ca="1">YEAR(TODAY())-18</f>
        <v>2008</v>
      </c>
      <c r="U11" s="98" t="str">
        <f ca="1">CONCATENATE(YEAR(TODAY())-19,"-",YEAR(TODAY())-21)</f>
        <v>2007-2005</v>
      </c>
      <c r="V11" s="99" t="str">
        <f ca="1">CONCATENATE(YEAR(TODAY())-22,"-",YEAR(TODAY())-23)</f>
        <v>2004-2003</v>
      </c>
      <c r="W11" s="107" t="str">
        <f ca="1">CONCATENATE(YEAR(TODAY())-15,"-",YEAR(TODAY())-19)</f>
        <v>2011-2007</v>
      </c>
      <c r="X11" s="127">
        <f ca="1">YEAR(TODAY())-20</f>
        <v>2006</v>
      </c>
      <c r="Y11" s="107" t="str">
        <f ca="1">CONCATENATE(YEAR(TODAY())-21,"-",YEAR(TODAY())-23)</f>
        <v>2005-2003</v>
      </c>
      <c r="Z11" s="109" t="str">
        <f ca="1">CONCATENATE(YEAR(TODAY())-24,"-",YEAR(TODAY())-40)</f>
        <v>2002-1986</v>
      </c>
      <c r="AA11" s="73"/>
      <c r="AB11" s="80" t="s">
        <v>261</v>
      </c>
      <c r="AC11" s="114" t="str">
        <f ca="1">CONCATENATE("≤",YEAR(TODAY())-15)</f>
        <v>≤2011</v>
      </c>
      <c r="AD11" s="114">
        <f ca="1">YEAR(TODAY())-16</f>
        <v>2010</v>
      </c>
      <c r="AE11" s="115">
        <f ca="1">YEAR(TODAY())-17</f>
        <v>2009</v>
      </c>
      <c r="AF11" s="116">
        <f ca="1">YEAR(TODAY())-16</f>
        <v>2010</v>
      </c>
      <c r="AG11" s="116">
        <f ca="1">YEAR(TODAY())-17</f>
        <v>2009</v>
      </c>
      <c r="AH11" s="116">
        <f ca="1">YEAR(TODAY())-18</f>
        <v>2008</v>
      </c>
      <c r="AI11" s="116" t="str">
        <f ca="1">CONCATENATE(YEAR(TODAY())-19,"-",YEAR(TODAY())-21)</f>
        <v>2007-2005</v>
      </c>
      <c r="AJ11" s="116" t="str">
        <f ca="1">CONCATENATE(YEAR(TODAY())-22,"-",YEAR(TODAY())-50)</f>
        <v>2004-1976</v>
      </c>
      <c r="AK11" s="117" t="str">
        <f ca="1">CONCATENATE(YEAR(TODAY())-15,"-",YEAR(TODAY())-19)</f>
        <v>2011-2007</v>
      </c>
      <c r="AL11" s="118">
        <f ca="1">YEAR(TODAY())-20</f>
        <v>2006</v>
      </c>
      <c r="AM11" s="118" t="str">
        <f ca="1">CONCATENATE(YEAR(TODAY())-21,"-",YEAR(TODAY())-23)</f>
        <v>2005-2003</v>
      </c>
      <c r="AN11" s="119" t="str">
        <f ca="1">CONCATENATE(YEAR(TODAY())-24,"-",YEAR(TODAY())-40)</f>
        <v>2002-1986</v>
      </c>
      <c r="AO11" s="120" t="str">
        <f ca="1">CONCATENATE("≤",YEAR(TODAY())-15)</f>
        <v>≤2011</v>
      </c>
      <c r="AP11" s="120">
        <f ca="1">YEAR(TODAY())-16</f>
        <v>2010</v>
      </c>
      <c r="AQ11" s="121">
        <f ca="1">YEAR(TODAY())-17</f>
        <v>2009</v>
      </c>
      <c r="AR11" s="111">
        <f ca="1">YEAR(TODAY())-16</f>
        <v>2010</v>
      </c>
      <c r="AS11" s="111">
        <f ca="1">YEAR(TODAY())-17</f>
        <v>2009</v>
      </c>
      <c r="AT11" s="111">
        <f ca="1">YEAR(TODAY())-18</f>
        <v>2008</v>
      </c>
      <c r="AU11" s="111" t="str">
        <f ca="1">CONCATENATE(YEAR(TODAY())-19,"-",YEAR(TODAY())-21)</f>
        <v>2007-2005</v>
      </c>
      <c r="AV11" s="112" t="str">
        <f ca="1">CONCATENATE(YEAR(TODAY())-22,"-",YEAR(TODAY())-50)</f>
        <v>2004-1976</v>
      </c>
      <c r="AW11" s="122" t="str">
        <f ca="1">CONCATENATE(YEAR(TODAY())-15,"-",YEAR(TODAY())-19)</f>
        <v>2011-2007</v>
      </c>
      <c r="AX11" s="122">
        <f ca="1">YEAR(TODAY())-20</f>
        <v>2006</v>
      </c>
      <c r="AY11" s="122" t="str">
        <f ca="1">CONCATENATE(YEAR(TODAY())-21,"-",YEAR(TODAY())-23)</f>
        <v>2005-2003</v>
      </c>
      <c r="AZ11" s="113" t="str">
        <f ca="1">CONCATENATE(YEAR(TODAY())-24,"-",YEAR(TODAY())-40)</f>
        <v>2002-1986</v>
      </c>
      <c r="BB11" s="80" t="s">
        <v>261</v>
      </c>
      <c r="BC11" s="92" t="str">
        <f ca="1">CONCATENATE("≤",YEAR(TODAY())-15-1)</f>
        <v>≤2010</v>
      </c>
      <c r="BD11" s="92">
        <f ca="1">YEAR(TODAY())-16-1</f>
        <v>2009</v>
      </c>
      <c r="BE11" s="93">
        <f ca="1">YEAR(TODAY())-17-1</f>
        <v>2008</v>
      </c>
      <c r="BF11" s="94">
        <f ca="1">YEAR(TODAY())-16-1</f>
        <v>2009</v>
      </c>
      <c r="BG11" s="94">
        <f ca="1">YEAR(TODAY())-17-1</f>
        <v>2008</v>
      </c>
      <c r="BH11" s="94">
        <f ca="1">YEAR(TODAY())-18-1</f>
        <v>2007</v>
      </c>
      <c r="BI11" s="123" t="str">
        <f ca="1">CONCATENATE(YEAR(TODAY())-1-19,"-",YEAR(TODAY())-1-21)</f>
        <v>2006-2004</v>
      </c>
      <c r="BJ11" s="123" t="str">
        <f ca="1">CONCATENATE(YEAR(TODAY())-1-22,"-",YEAR(TODAY())-1-50)</f>
        <v>2003-1975</v>
      </c>
      <c r="BK11" s="124" t="str">
        <f ca="1">CONCATENATE(YEAR(TODAY())-1-15,"-",YEAR(TODAY())-1-19)</f>
        <v>2010-2006</v>
      </c>
      <c r="BL11" s="125">
        <f ca="1">YEAR(TODAY())-20-1</f>
        <v>2005</v>
      </c>
      <c r="BM11" s="125" t="str">
        <f ca="1">CONCATENATE(YEAR(TODAY())-1-21,"-",YEAR(TODAY())-1-23)</f>
        <v>2004-2002</v>
      </c>
      <c r="BN11" s="125" t="str">
        <f ca="1">CONCATENATE(YEAR(TODAY())-1-24,"-",YEAR(TODAY())-40-1)</f>
        <v>2001-1985</v>
      </c>
      <c r="BO11" s="139" t="str">
        <f ca="1">CONCATENATE("≤",YEAR(TODAY())-15-1)</f>
        <v>≤2010</v>
      </c>
      <c r="BP11" s="95">
        <f ca="1">YEAR(TODAY())-16-1</f>
        <v>2009</v>
      </c>
      <c r="BQ11" s="96">
        <f ca="1">YEAR(TODAY())-17-1</f>
        <v>2008</v>
      </c>
      <c r="BR11" s="97">
        <f ca="1">YEAR(TODAY())-16-1</f>
        <v>2009</v>
      </c>
      <c r="BS11" s="97">
        <f ca="1">YEAR(TODAY())-17-1</f>
        <v>2008</v>
      </c>
      <c r="BT11" s="97">
        <f ca="1">YEAR(TODAY())-18-1</f>
        <v>2007</v>
      </c>
      <c r="BU11" s="98" t="str">
        <f ca="1">CONCATENATE(YEAR(TODAY())-1-19,"-",YEAR(TODAY())-1-21)</f>
        <v>2006-2004</v>
      </c>
      <c r="BV11" s="99" t="str">
        <f ca="1">CONCATENATE(YEAR(TODAY())-1-22,"-",YEAR(TODAY())-1-50)</f>
        <v>2003-1975</v>
      </c>
      <c r="BW11" s="107" t="str">
        <f ca="1">CONCATENATE(YEAR(TODAY())-1-15,"-",YEAR(TODAY())-1-19)</f>
        <v>2010-2006</v>
      </c>
      <c r="BX11" s="127">
        <f ca="1">YEAR(TODAY())-20-1</f>
        <v>2005</v>
      </c>
      <c r="BY11" s="107" t="str">
        <f ca="1">CONCATENATE(YEAR(TODAY())-1-21,"-",YEAR(TODAY())-1-23)</f>
        <v>2004-2002</v>
      </c>
      <c r="BZ11" s="109" t="str">
        <f ca="1">CONCATENATE(YEAR(TODAY())-1-24,"-",YEAR(TODAY())-40-1)</f>
        <v>2001-1985</v>
      </c>
    </row>
    <row r="12" spans="1:78" ht="14.65" thickTop="1" x14ac:dyDescent="0.45">
      <c r="A12" s="140"/>
      <c r="B12" s="81" t="s">
        <v>0</v>
      </c>
      <c r="C12" s="85">
        <v>3.9282407407407403E-4</v>
      </c>
      <c r="D12" s="86">
        <v>3.8495370370370371E-4</v>
      </c>
      <c r="E12" s="87">
        <v>3.7326388888888891E-4</v>
      </c>
      <c r="F12" s="86">
        <v>3.7430555555555562E-4</v>
      </c>
      <c r="G12" s="86">
        <v>3.6747685185185185E-4</v>
      </c>
      <c r="H12" s="86">
        <v>3.6111111111111109E-4</v>
      </c>
      <c r="I12" s="86">
        <v>3.5081018518518518E-4</v>
      </c>
      <c r="J12" s="87">
        <v>3.3900462962962964E-4</v>
      </c>
      <c r="K12" s="86">
        <v>3.488425925925926E-4</v>
      </c>
      <c r="L12" s="86">
        <v>3.4386574074074077E-4</v>
      </c>
      <c r="M12" s="86">
        <v>3.3796296296296298E-4</v>
      </c>
      <c r="N12" s="87">
        <v>3.359953703703704E-4</v>
      </c>
      <c r="O12" s="86">
        <v>4.7743055555555554E-4</v>
      </c>
      <c r="P12" s="86">
        <v>4.6701388888888888E-4</v>
      </c>
      <c r="Q12" s="87">
        <v>4.5578703703703704E-4</v>
      </c>
      <c r="R12" s="100">
        <v>4.586805555555556E-4</v>
      </c>
      <c r="S12" s="101">
        <v>4.5138888888888887E-4</v>
      </c>
      <c r="T12" s="86">
        <v>4.4097222222222226E-4</v>
      </c>
      <c r="U12" s="86">
        <v>4.2048611111111111E-4</v>
      </c>
      <c r="V12" s="103">
        <v>4.054398148148148E-4</v>
      </c>
      <c r="W12" s="86">
        <v>4.2118055555555555E-4</v>
      </c>
      <c r="X12" s="86">
        <v>4.1331018518518518E-4</v>
      </c>
      <c r="Y12" s="86">
        <v>4.0381944444444444E-4</v>
      </c>
      <c r="Z12" s="87">
        <v>4.0069444444444441E-4</v>
      </c>
      <c r="AB12" s="81" t="s">
        <v>0</v>
      </c>
      <c r="AC12" s="138">
        <v>0.2</v>
      </c>
      <c r="AD12" s="129">
        <v>0.2</v>
      </c>
      <c r="AE12" s="130">
        <v>0.2</v>
      </c>
      <c r="AF12" s="129">
        <v>0</v>
      </c>
      <c r="AG12" s="129">
        <v>0</v>
      </c>
      <c r="AH12" s="129">
        <v>0.16</v>
      </c>
      <c r="AI12" s="129">
        <v>0.16</v>
      </c>
      <c r="AJ12" s="130">
        <v>0.16</v>
      </c>
      <c r="AK12" s="131">
        <v>0</v>
      </c>
      <c r="AL12" s="131">
        <v>0</v>
      </c>
      <c r="AM12" s="131">
        <v>0</v>
      </c>
      <c r="AN12" s="130">
        <v>0</v>
      </c>
      <c r="AO12" s="129">
        <v>0.18</v>
      </c>
      <c r="AP12" s="129">
        <v>0.18</v>
      </c>
      <c r="AQ12" s="130">
        <v>0.18</v>
      </c>
      <c r="AR12" s="129">
        <v>0</v>
      </c>
      <c r="AS12" s="132">
        <v>0</v>
      </c>
      <c r="AT12" s="129">
        <v>0.17</v>
      </c>
      <c r="AU12" s="129">
        <v>0.17</v>
      </c>
      <c r="AV12" s="133">
        <v>0.17</v>
      </c>
      <c r="AW12" s="129">
        <v>0</v>
      </c>
      <c r="AX12" s="129">
        <v>0</v>
      </c>
      <c r="AY12" s="129">
        <v>0</v>
      </c>
      <c r="AZ12" s="130">
        <v>0</v>
      </c>
      <c r="BB12" s="81" t="s">
        <v>0</v>
      </c>
      <c r="BC12" s="85">
        <f>IF(AC12=0,"",C12+C12*AC12)</f>
        <v>4.7138888888888881E-4</v>
      </c>
      <c r="BD12" s="86">
        <f t="shared" ref="BD12:BD17" si="24">IF(AD12=0,"",D12+D12*AD12)</f>
        <v>4.6194444444444446E-4</v>
      </c>
      <c r="BE12" s="87">
        <f t="shared" ref="BE12:BE17" si="25">IF(AE12=0,"",E12+E12*AE12)</f>
        <v>4.4791666666666667E-4</v>
      </c>
      <c r="BF12" s="86" t="str">
        <f t="shared" ref="BF12:BF17" si="26">IF(AF12=0,"",F12+F12*AF12)</f>
        <v/>
      </c>
      <c r="BG12" s="86" t="str">
        <f t="shared" ref="BG12:BG17" si="27">IF(AG12=0,"",G12+G12*AG12)</f>
        <v/>
      </c>
      <c r="BH12" s="86">
        <f t="shared" ref="BH12:BH17" si="28">IF(AH12=0,"",H12+H12*AH12)</f>
        <v>4.1888888888888889E-4</v>
      </c>
      <c r="BI12" s="86">
        <f t="shared" ref="BI12:BI17" si="29">IF(AI12=0,"",I12+I12*AI12)</f>
        <v>4.0693981481481478E-4</v>
      </c>
      <c r="BJ12" s="87">
        <f t="shared" ref="BJ12:BJ17" si="30">IF(AJ12=0,"",J12+J12*AJ12)</f>
        <v>3.9324537037037041E-4</v>
      </c>
      <c r="BK12" s="86" t="str">
        <f t="shared" ref="BK12:BK17" si="31">IF(AK12=0,"",K12+K12*AK12)</f>
        <v/>
      </c>
      <c r="BL12" s="86" t="str">
        <f t="shared" ref="BL12:BL17" si="32">IF(AL12=0,"",L12+L12*AL12)</f>
        <v/>
      </c>
      <c r="BM12" s="86" t="str">
        <f t="shared" ref="BM12:BM17" si="33">IF(AM12=0,"",M12+M12*AM12)</f>
        <v/>
      </c>
      <c r="BN12" s="87" t="str">
        <f t="shared" ref="BN12:BN17" si="34">IF(AN12=0,"",N12+N12*AN12)</f>
        <v/>
      </c>
      <c r="BO12" s="86">
        <f t="shared" ref="BO12:BO17" si="35">IF(AO12=0,"",O12+O12*AO12)</f>
        <v>5.6336805555555556E-4</v>
      </c>
      <c r="BP12" s="86">
        <f t="shared" ref="BP12:BP17" si="36">IF(AP12=0,"",P12+P12*AP12)</f>
        <v>5.5107638888888893E-4</v>
      </c>
      <c r="BQ12" s="87">
        <f t="shared" ref="BQ12:BQ17" si="37">IF(AQ12=0,"",Q12+Q12*AQ12)</f>
        <v>5.3782870370370367E-4</v>
      </c>
      <c r="BR12" s="100" t="str">
        <f t="shared" ref="BR12:BR17" si="38">IF(AR12=0,"",R12+R12*AR12)</f>
        <v/>
      </c>
      <c r="BS12" s="101" t="str">
        <f t="shared" ref="BS12:BS17" si="39">IF(AS12=0,"",S12+S12*AS12)</f>
        <v/>
      </c>
      <c r="BT12" s="86">
        <f t="shared" ref="BT12:BT17" si="40">IF(AT12=0,"",T12+T12*AT12)</f>
        <v>5.1593750000000001E-4</v>
      </c>
      <c r="BU12" s="86">
        <f t="shared" ref="BU12:BU17" si="41">IF(AU12=0,"",U12+U12*AU12)</f>
        <v>4.9196875E-4</v>
      </c>
      <c r="BV12" s="103">
        <f t="shared" ref="BV12:BV17" si="42">IF(AV12=0,"",V12+V12*AV12)</f>
        <v>4.7436458333333331E-4</v>
      </c>
      <c r="BW12" s="86" t="str">
        <f t="shared" ref="BW12:BW17" si="43">IF(AW12=0,"",W12+W12*AW12)</f>
        <v/>
      </c>
      <c r="BX12" s="86" t="str">
        <f t="shared" ref="BX12:BX17" si="44">IF(AX12=0,"",X12+X12*AX12)</f>
        <v/>
      </c>
      <c r="BY12" s="86" t="str">
        <f t="shared" ref="BY12:BY17" si="45">IF(AY12=0,"",Y12+Y12*AY12)</f>
        <v/>
      </c>
      <c r="BZ12" s="87" t="str">
        <f t="shared" ref="BZ12:BZ17" si="46">IF(AZ12=0,"",Z12+Z12*AZ12)</f>
        <v/>
      </c>
    </row>
    <row r="13" spans="1:78" x14ac:dyDescent="0.45">
      <c r="A13" s="140"/>
      <c r="B13" s="81" t="s">
        <v>219</v>
      </c>
      <c r="C13" s="86">
        <v>8.4803240740740737E-4</v>
      </c>
      <c r="D13" s="86">
        <v>8.3333333333333339E-4</v>
      </c>
      <c r="E13" s="87">
        <v>8.0104166666666681E-4</v>
      </c>
      <c r="F13" s="86">
        <v>8.0358796296296309E-4</v>
      </c>
      <c r="G13" s="86">
        <v>7.8715277777777779E-4</v>
      </c>
      <c r="H13" s="86">
        <v>7.7187499999999999E-4</v>
      </c>
      <c r="I13" s="86">
        <v>7.4733796296296289E-4</v>
      </c>
      <c r="J13" s="87">
        <v>7.1921296296296295E-4</v>
      </c>
      <c r="K13" s="86">
        <v>7.4259259259259254E-4</v>
      </c>
      <c r="L13" s="86">
        <v>7.309027777777778E-4</v>
      </c>
      <c r="M13" s="86">
        <v>7.1678240740740741E-4</v>
      </c>
      <c r="N13" s="87">
        <v>7.1215277777777781E-4</v>
      </c>
      <c r="O13" s="86">
        <v>1.0035879629629631E-3</v>
      </c>
      <c r="P13" s="86">
        <v>9.6921296296296295E-4</v>
      </c>
      <c r="Q13" s="87">
        <v>9.3472222222222231E-4</v>
      </c>
      <c r="R13" s="102">
        <v>9.4340277777777782E-4</v>
      </c>
      <c r="S13" s="86">
        <v>9.2094907407407403E-4</v>
      </c>
      <c r="T13" s="86">
        <v>9.0034722222222209E-4</v>
      </c>
      <c r="U13" s="86">
        <v>8.5960648148148148E-4</v>
      </c>
      <c r="V13" s="87">
        <v>8.2974537037037034E-4</v>
      </c>
      <c r="W13" s="86">
        <v>8.6111111111111121E-4</v>
      </c>
      <c r="X13" s="86">
        <v>8.4548611111111109E-4</v>
      </c>
      <c r="Y13" s="86">
        <v>8.2662037037037036E-4</v>
      </c>
      <c r="Z13" s="87">
        <v>8.2037037037037029E-4</v>
      </c>
      <c r="AB13" s="81" t="s">
        <v>219</v>
      </c>
      <c r="AC13" s="129">
        <v>0.2</v>
      </c>
      <c r="AD13" s="129">
        <v>0.2</v>
      </c>
      <c r="AE13" s="130">
        <v>0.2</v>
      </c>
      <c r="AF13" s="129">
        <v>0</v>
      </c>
      <c r="AG13" s="129">
        <v>0</v>
      </c>
      <c r="AH13" s="129">
        <v>0.16</v>
      </c>
      <c r="AI13" s="129">
        <v>0.16</v>
      </c>
      <c r="AJ13" s="130">
        <v>0.16</v>
      </c>
      <c r="AK13" s="131">
        <v>0</v>
      </c>
      <c r="AL13" s="131">
        <v>0</v>
      </c>
      <c r="AM13" s="131">
        <v>0</v>
      </c>
      <c r="AN13" s="130">
        <v>0</v>
      </c>
      <c r="AO13" s="129">
        <v>0.18</v>
      </c>
      <c r="AP13" s="129">
        <v>0.18</v>
      </c>
      <c r="AQ13" s="130">
        <v>0.18</v>
      </c>
      <c r="AR13" s="134">
        <v>0</v>
      </c>
      <c r="AS13" s="131">
        <v>0</v>
      </c>
      <c r="AT13" s="129">
        <v>0.17</v>
      </c>
      <c r="AU13" s="129">
        <v>0.17</v>
      </c>
      <c r="AV13" s="130">
        <v>0.17</v>
      </c>
      <c r="AW13" s="129">
        <v>0</v>
      </c>
      <c r="AX13" s="129">
        <v>0</v>
      </c>
      <c r="AY13" s="129">
        <v>0</v>
      </c>
      <c r="AZ13" s="130">
        <v>0</v>
      </c>
      <c r="BB13" s="81" t="s">
        <v>219</v>
      </c>
      <c r="BC13" s="86">
        <f t="shared" ref="BC13:BC17" si="47">IF(AC13=0,"",C13+C13*AC13)</f>
        <v>1.0176388888888889E-3</v>
      </c>
      <c r="BD13" s="86">
        <f t="shared" si="24"/>
        <v>1E-3</v>
      </c>
      <c r="BE13" s="87">
        <f t="shared" si="25"/>
        <v>9.6125000000000019E-4</v>
      </c>
      <c r="BF13" s="86" t="str">
        <f t="shared" si="26"/>
        <v/>
      </c>
      <c r="BG13" s="86" t="str">
        <f t="shared" si="27"/>
        <v/>
      </c>
      <c r="BH13" s="86">
        <f t="shared" si="28"/>
        <v>8.9537500000000001E-4</v>
      </c>
      <c r="BI13" s="86">
        <f t="shared" si="29"/>
        <v>8.6691203703703691E-4</v>
      </c>
      <c r="BJ13" s="87">
        <f t="shared" si="30"/>
        <v>8.3428703703703703E-4</v>
      </c>
      <c r="BK13" s="86" t="str">
        <f t="shared" si="31"/>
        <v/>
      </c>
      <c r="BL13" s="86" t="str">
        <f t="shared" si="32"/>
        <v/>
      </c>
      <c r="BM13" s="86" t="str">
        <f t="shared" si="33"/>
        <v/>
      </c>
      <c r="BN13" s="87" t="str">
        <f t="shared" si="34"/>
        <v/>
      </c>
      <c r="BO13" s="86">
        <f t="shared" si="35"/>
        <v>1.1842337962962965E-3</v>
      </c>
      <c r="BP13" s="86">
        <f t="shared" si="36"/>
        <v>1.1436712962962963E-3</v>
      </c>
      <c r="BQ13" s="87">
        <f t="shared" si="37"/>
        <v>1.1029722222222222E-3</v>
      </c>
      <c r="BR13" s="102" t="str">
        <f t="shared" si="38"/>
        <v/>
      </c>
      <c r="BS13" s="86" t="str">
        <f t="shared" si="39"/>
        <v/>
      </c>
      <c r="BT13" s="86">
        <f t="shared" si="40"/>
        <v>1.0534062499999999E-3</v>
      </c>
      <c r="BU13" s="86">
        <f t="shared" si="41"/>
        <v>1.0057395833333333E-3</v>
      </c>
      <c r="BV13" s="87">
        <f t="shared" si="42"/>
        <v>9.7080208333333328E-4</v>
      </c>
      <c r="BW13" s="86" t="str">
        <f t="shared" si="43"/>
        <v/>
      </c>
      <c r="BX13" s="86" t="str">
        <f t="shared" si="44"/>
        <v/>
      </c>
      <c r="BY13" s="86" t="str">
        <f t="shared" si="45"/>
        <v/>
      </c>
      <c r="BZ13" s="87" t="str">
        <f t="shared" si="46"/>
        <v/>
      </c>
    </row>
    <row r="14" spans="1:78" x14ac:dyDescent="0.45">
      <c r="A14" s="140"/>
      <c r="B14" s="81" t="s">
        <v>220</v>
      </c>
      <c r="C14" s="86">
        <v>6.1793981481481487E-4</v>
      </c>
      <c r="D14" s="86">
        <v>6.0636574074074076E-4</v>
      </c>
      <c r="E14" s="87">
        <v>5.894675925925926E-4</v>
      </c>
      <c r="F14" s="86">
        <v>5.9097222222222222E-4</v>
      </c>
      <c r="G14" s="86">
        <v>5.8101851851851858E-4</v>
      </c>
      <c r="H14" s="86">
        <v>5.7175925925925927E-4</v>
      </c>
      <c r="I14" s="86">
        <v>5.5659722222222222E-4</v>
      </c>
      <c r="J14" s="87">
        <v>5.3935185185185184E-4</v>
      </c>
      <c r="K14" s="86">
        <v>5.5381944444444445E-4</v>
      </c>
      <c r="L14" s="86">
        <v>5.4652777777777772E-4</v>
      </c>
      <c r="M14" s="86">
        <v>5.3796296296296296E-4</v>
      </c>
      <c r="N14" s="87">
        <v>5.3506944444444446E-4</v>
      </c>
      <c r="O14" s="86">
        <v>7.1643518518518519E-4</v>
      </c>
      <c r="P14" s="86">
        <v>7.0370370370370367E-4</v>
      </c>
      <c r="Q14" s="87">
        <v>6.8981481481481487E-4</v>
      </c>
      <c r="R14" s="102">
        <v>6.9837962962962963E-4</v>
      </c>
      <c r="S14" s="86">
        <v>6.8449074074074072E-4</v>
      </c>
      <c r="T14" s="86">
        <v>6.7164351851851857E-4</v>
      </c>
      <c r="U14" s="86">
        <v>6.4594907407407407E-4</v>
      </c>
      <c r="V14" s="87">
        <v>6.2719907407407407E-4</v>
      </c>
      <c r="W14" s="86">
        <v>6.4699074074074073E-4</v>
      </c>
      <c r="X14" s="86">
        <v>6.3703703703703698E-4</v>
      </c>
      <c r="Y14" s="86">
        <v>6.2523148148148149E-4</v>
      </c>
      <c r="Z14" s="87">
        <v>6.2129629629629633E-4</v>
      </c>
      <c r="AB14" s="81" t="s">
        <v>220</v>
      </c>
      <c r="AC14" s="129">
        <v>0.2</v>
      </c>
      <c r="AD14" s="129">
        <v>0.2</v>
      </c>
      <c r="AE14" s="130">
        <v>0.2</v>
      </c>
      <c r="AF14" s="129">
        <v>0</v>
      </c>
      <c r="AG14" s="129">
        <v>0</v>
      </c>
      <c r="AH14" s="129">
        <v>0.16</v>
      </c>
      <c r="AI14" s="129">
        <v>0.16</v>
      </c>
      <c r="AJ14" s="130">
        <v>0.16</v>
      </c>
      <c r="AK14" s="131">
        <v>0</v>
      </c>
      <c r="AL14" s="131">
        <v>0</v>
      </c>
      <c r="AM14" s="131">
        <v>0</v>
      </c>
      <c r="AN14" s="130">
        <v>0</v>
      </c>
      <c r="AO14" s="129">
        <v>0.18</v>
      </c>
      <c r="AP14" s="129">
        <v>0.18</v>
      </c>
      <c r="AQ14" s="130">
        <v>0.18</v>
      </c>
      <c r="AR14" s="134">
        <v>0</v>
      </c>
      <c r="AS14" s="131">
        <v>0</v>
      </c>
      <c r="AT14" s="129">
        <v>0.17</v>
      </c>
      <c r="AU14" s="129">
        <v>0.17</v>
      </c>
      <c r="AV14" s="130">
        <v>0.17</v>
      </c>
      <c r="AW14" s="129">
        <v>0</v>
      </c>
      <c r="AX14" s="129">
        <v>0</v>
      </c>
      <c r="AY14" s="129">
        <v>0</v>
      </c>
      <c r="AZ14" s="130">
        <v>0</v>
      </c>
      <c r="BB14" s="81" t="s">
        <v>220</v>
      </c>
      <c r="BC14" s="86">
        <f t="shared" si="47"/>
        <v>7.415277777777778E-4</v>
      </c>
      <c r="BD14" s="86">
        <f t="shared" si="24"/>
        <v>7.2763888888888889E-4</v>
      </c>
      <c r="BE14" s="87">
        <f t="shared" si="25"/>
        <v>7.0736111111111108E-4</v>
      </c>
      <c r="BF14" s="86" t="str">
        <f t="shared" si="26"/>
        <v/>
      </c>
      <c r="BG14" s="86" t="str">
        <f t="shared" si="27"/>
        <v/>
      </c>
      <c r="BH14" s="86">
        <f t="shared" si="28"/>
        <v>6.6324074074074072E-4</v>
      </c>
      <c r="BI14" s="86">
        <f t="shared" si="29"/>
        <v>6.4565277777777776E-4</v>
      </c>
      <c r="BJ14" s="87">
        <f t="shared" si="30"/>
        <v>6.2564814814814818E-4</v>
      </c>
      <c r="BK14" s="86" t="str">
        <f t="shared" si="31"/>
        <v/>
      </c>
      <c r="BL14" s="86" t="str">
        <f t="shared" si="32"/>
        <v/>
      </c>
      <c r="BM14" s="86" t="str">
        <f t="shared" si="33"/>
        <v/>
      </c>
      <c r="BN14" s="87" t="str">
        <f t="shared" si="34"/>
        <v/>
      </c>
      <c r="BO14" s="86">
        <f t="shared" si="35"/>
        <v>8.4539351851851854E-4</v>
      </c>
      <c r="BP14" s="86">
        <f t="shared" si="36"/>
        <v>8.3037037037037031E-4</v>
      </c>
      <c r="BQ14" s="87">
        <f t="shared" si="37"/>
        <v>8.139814814814815E-4</v>
      </c>
      <c r="BR14" s="102" t="str">
        <f t="shared" si="38"/>
        <v/>
      </c>
      <c r="BS14" s="86" t="str">
        <f t="shared" si="39"/>
        <v/>
      </c>
      <c r="BT14" s="86">
        <f t="shared" si="40"/>
        <v>7.8582291666666677E-4</v>
      </c>
      <c r="BU14" s="86">
        <f t="shared" si="41"/>
        <v>7.5576041666666662E-4</v>
      </c>
      <c r="BV14" s="87">
        <f t="shared" si="42"/>
        <v>7.3382291666666669E-4</v>
      </c>
      <c r="BW14" s="86" t="str">
        <f t="shared" si="43"/>
        <v/>
      </c>
      <c r="BX14" s="86" t="str">
        <f t="shared" si="44"/>
        <v/>
      </c>
      <c r="BY14" s="86" t="str">
        <f t="shared" si="45"/>
        <v/>
      </c>
      <c r="BZ14" s="87" t="str">
        <f t="shared" si="46"/>
        <v/>
      </c>
    </row>
    <row r="15" spans="1:78" x14ac:dyDescent="0.45">
      <c r="A15" s="140"/>
      <c r="B15" s="81" t="s">
        <v>221</v>
      </c>
      <c r="C15" s="86">
        <v>7.1145833333333337E-4</v>
      </c>
      <c r="D15" s="86">
        <v>6.9386574074074077E-4</v>
      </c>
      <c r="E15" s="87">
        <v>6.6817129629629626E-4</v>
      </c>
      <c r="F15" s="86">
        <v>6.7048611111111107E-4</v>
      </c>
      <c r="G15" s="86">
        <v>6.5532407407407401E-4</v>
      </c>
      <c r="H15" s="86">
        <v>6.4131944444444436E-4</v>
      </c>
      <c r="I15" s="86">
        <v>6.1886574074074068E-4</v>
      </c>
      <c r="J15" s="87">
        <v>5.9317129629629629E-4</v>
      </c>
      <c r="K15" s="86">
        <v>6.145833333333333E-4</v>
      </c>
      <c r="L15" s="86">
        <v>6.0393518518518522E-4</v>
      </c>
      <c r="M15" s="86">
        <v>5.9108796296296296E-4</v>
      </c>
      <c r="N15" s="87">
        <v>5.8680555555555558E-4</v>
      </c>
      <c r="O15" s="86">
        <v>7.9768518518518524E-4</v>
      </c>
      <c r="P15" s="86">
        <v>7.8194444444444448E-4</v>
      </c>
      <c r="Q15" s="87">
        <v>7.6493055555555559E-4</v>
      </c>
      <c r="R15" s="102">
        <v>7.7534722222222219E-4</v>
      </c>
      <c r="S15" s="86">
        <v>7.583333333333333E-4</v>
      </c>
      <c r="T15" s="86">
        <v>7.4259259259259254E-4</v>
      </c>
      <c r="U15" s="86">
        <v>7.1134259259259263E-4</v>
      </c>
      <c r="V15" s="87">
        <v>6.8842592592592588E-4</v>
      </c>
      <c r="W15" s="86">
        <v>7.1250000000000003E-4</v>
      </c>
      <c r="X15" s="86">
        <v>7.0046296296296295E-4</v>
      </c>
      <c r="Y15" s="86">
        <v>6.8611111111111108E-4</v>
      </c>
      <c r="Z15" s="87">
        <v>6.8125E-4</v>
      </c>
      <c r="AB15" s="81" t="s">
        <v>221</v>
      </c>
      <c r="AC15" s="129">
        <v>0.2</v>
      </c>
      <c r="AD15" s="129">
        <v>0.2</v>
      </c>
      <c r="AE15" s="130">
        <v>0.2</v>
      </c>
      <c r="AF15" s="129">
        <v>0</v>
      </c>
      <c r="AG15" s="129">
        <v>0</v>
      </c>
      <c r="AH15" s="129">
        <v>0.16</v>
      </c>
      <c r="AI15" s="129">
        <v>0.16</v>
      </c>
      <c r="AJ15" s="130">
        <v>0.16</v>
      </c>
      <c r="AK15" s="131">
        <v>0</v>
      </c>
      <c r="AL15" s="131">
        <v>0</v>
      </c>
      <c r="AM15" s="131">
        <v>0</v>
      </c>
      <c r="AN15" s="130">
        <v>0</v>
      </c>
      <c r="AO15" s="129">
        <v>0.18</v>
      </c>
      <c r="AP15" s="129">
        <v>0.18</v>
      </c>
      <c r="AQ15" s="130">
        <v>0.18</v>
      </c>
      <c r="AR15" s="134">
        <v>0</v>
      </c>
      <c r="AS15" s="131">
        <v>0</v>
      </c>
      <c r="AT15" s="129">
        <v>0.17</v>
      </c>
      <c r="AU15" s="129">
        <v>0.17</v>
      </c>
      <c r="AV15" s="130">
        <v>0.17</v>
      </c>
      <c r="AW15" s="129">
        <v>0</v>
      </c>
      <c r="AX15" s="129">
        <v>0</v>
      </c>
      <c r="AY15" s="129">
        <v>0</v>
      </c>
      <c r="AZ15" s="130">
        <v>0</v>
      </c>
      <c r="BB15" s="81" t="s">
        <v>221</v>
      </c>
      <c r="BC15" s="86">
        <f t="shared" si="47"/>
        <v>8.5375000000000002E-4</v>
      </c>
      <c r="BD15" s="86">
        <f t="shared" si="24"/>
        <v>8.3263888888888895E-4</v>
      </c>
      <c r="BE15" s="87">
        <f t="shared" si="25"/>
        <v>8.018055555555555E-4</v>
      </c>
      <c r="BF15" s="86" t="str">
        <f t="shared" si="26"/>
        <v/>
      </c>
      <c r="BG15" s="86" t="str">
        <f t="shared" si="27"/>
        <v/>
      </c>
      <c r="BH15" s="86">
        <f t="shared" si="28"/>
        <v>7.439305555555554E-4</v>
      </c>
      <c r="BI15" s="86">
        <f t="shared" si="29"/>
        <v>7.1788425925925915E-4</v>
      </c>
      <c r="BJ15" s="87">
        <f t="shared" si="30"/>
        <v>6.8807870370370366E-4</v>
      </c>
      <c r="BK15" s="86" t="str">
        <f t="shared" si="31"/>
        <v/>
      </c>
      <c r="BL15" s="86" t="str">
        <f t="shared" si="32"/>
        <v/>
      </c>
      <c r="BM15" s="86" t="str">
        <f t="shared" si="33"/>
        <v/>
      </c>
      <c r="BN15" s="87" t="str">
        <f t="shared" si="34"/>
        <v/>
      </c>
      <c r="BO15" s="86">
        <f t="shared" si="35"/>
        <v>9.4126851851851858E-4</v>
      </c>
      <c r="BP15" s="86">
        <f t="shared" si="36"/>
        <v>9.2269444444444452E-4</v>
      </c>
      <c r="BQ15" s="87">
        <f t="shared" si="37"/>
        <v>9.026180555555556E-4</v>
      </c>
      <c r="BR15" s="102" t="str">
        <f t="shared" si="38"/>
        <v/>
      </c>
      <c r="BS15" s="86" t="str">
        <f t="shared" si="39"/>
        <v/>
      </c>
      <c r="BT15" s="86">
        <f t="shared" si="40"/>
        <v>8.6883333333333322E-4</v>
      </c>
      <c r="BU15" s="86">
        <f t="shared" si="41"/>
        <v>8.3227083333333341E-4</v>
      </c>
      <c r="BV15" s="87">
        <f t="shared" si="42"/>
        <v>8.0545833333333326E-4</v>
      </c>
      <c r="BW15" s="86" t="str">
        <f t="shared" si="43"/>
        <v/>
      </c>
      <c r="BX15" s="86" t="str">
        <f t="shared" si="44"/>
        <v/>
      </c>
      <c r="BY15" s="86" t="str">
        <f t="shared" si="45"/>
        <v/>
      </c>
      <c r="BZ15" s="87" t="str">
        <f t="shared" si="46"/>
        <v/>
      </c>
    </row>
    <row r="16" spans="1:78" ht="15" customHeight="1" x14ac:dyDescent="0.45">
      <c r="A16" s="140"/>
      <c r="B16" s="81" t="s">
        <v>222</v>
      </c>
      <c r="C16" s="86">
        <v>1.5960648148148149E-3</v>
      </c>
      <c r="D16" s="86">
        <v>1.5644675925925923E-3</v>
      </c>
      <c r="E16" s="87">
        <v>1.5181712962962961E-3</v>
      </c>
      <c r="F16" s="86">
        <v>1.522337962962963E-3</v>
      </c>
      <c r="G16" s="86">
        <v>1.4950231481481481E-3</v>
      </c>
      <c r="H16" s="86">
        <v>1.4697916666666666E-3</v>
      </c>
      <c r="I16" s="86">
        <v>1.4285879629629631E-3</v>
      </c>
      <c r="J16" s="87">
        <v>1.3815972222222222E-3</v>
      </c>
      <c r="K16" s="86">
        <v>1.4207175925925926E-3</v>
      </c>
      <c r="L16" s="86">
        <v>1.4011574074074074E-3</v>
      </c>
      <c r="M16" s="86">
        <v>1.377662037037037E-3</v>
      </c>
      <c r="N16" s="87">
        <v>1.3697916666666665E-3</v>
      </c>
      <c r="O16" s="86">
        <v>1.6878472222222221E-3</v>
      </c>
      <c r="P16" s="86">
        <v>1.6628472222222225E-3</v>
      </c>
      <c r="Q16" s="87">
        <v>1.637962962962963E-3</v>
      </c>
      <c r="R16" s="102">
        <v>1.644212962962963E-3</v>
      </c>
      <c r="S16" s="86">
        <v>1.6278935185185185E-3</v>
      </c>
      <c r="T16" s="86">
        <v>1.6129629629629632E-3</v>
      </c>
      <c r="U16" s="86">
        <v>1.5817129629629629E-3</v>
      </c>
      <c r="V16" s="87">
        <v>1.558912037037037E-3</v>
      </c>
      <c r="W16" s="86">
        <v>1.5829861111111112E-3</v>
      </c>
      <c r="X16" s="86">
        <v>1.570949074074074E-3</v>
      </c>
      <c r="Y16" s="86">
        <v>1.5564814814814814E-3</v>
      </c>
      <c r="Z16" s="87">
        <v>1.5517361111111109E-3</v>
      </c>
      <c r="AB16" s="81" t="s">
        <v>222</v>
      </c>
      <c r="AC16" s="129">
        <v>0.2</v>
      </c>
      <c r="AD16" s="129">
        <v>0.2</v>
      </c>
      <c r="AE16" s="130">
        <v>0.2</v>
      </c>
      <c r="AF16" s="129">
        <v>0</v>
      </c>
      <c r="AG16" s="129">
        <v>0</v>
      </c>
      <c r="AH16" s="129">
        <v>0.16</v>
      </c>
      <c r="AI16" s="129">
        <v>0.16</v>
      </c>
      <c r="AJ16" s="130">
        <v>0.16</v>
      </c>
      <c r="AK16" s="131">
        <v>0</v>
      </c>
      <c r="AL16" s="131">
        <v>0</v>
      </c>
      <c r="AM16" s="131">
        <v>0</v>
      </c>
      <c r="AN16" s="130">
        <v>0</v>
      </c>
      <c r="AO16" s="129">
        <v>0.18</v>
      </c>
      <c r="AP16" s="129">
        <v>0.18</v>
      </c>
      <c r="AQ16" s="130">
        <v>0.18</v>
      </c>
      <c r="AR16" s="134">
        <v>0</v>
      </c>
      <c r="AS16" s="131">
        <v>0</v>
      </c>
      <c r="AT16" s="129">
        <v>0.17</v>
      </c>
      <c r="AU16" s="129">
        <v>0.17</v>
      </c>
      <c r="AV16" s="130">
        <v>0.17</v>
      </c>
      <c r="AW16" s="129">
        <v>0</v>
      </c>
      <c r="AX16" s="129">
        <v>0</v>
      </c>
      <c r="AY16" s="129">
        <v>0</v>
      </c>
      <c r="AZ16" s="130">
        <v>0</v>
      </c>
      <c r="BB16" s="81" t="s">
        <v>222</v>
      </c>
      <c r="BC16" s="86">
        <f t="shared" si="47"/>
        <v>1.9152777777777779E-3</v>
      </c>
      <c r="BD16" s="86">
        <f t="shared" si="24"/>
        <v>1.8773611111111109E-3</v>
      </c>
      <c r="BE16" s="87">
        <f t="shared" si="25"/>
        <v>1.8218055555555552E-3</v>
      </c>
      <c r="BF16" s="86" t="str">
        <f t="shared" si="26"/>
        <v/>
      </c>
      <c r="BG16" s="86" t="str">
        <f t="shared" si="27"/>
        <v/>
      </c>
      <c r="BH16" s="86">
        <f t="shared" si="28"/>
        <v>1.7049583333333333E-3</v>
      </c>
      <c r="BI16" s="86">
        <f t="shared" si="29"/>
        <v>1.6571620370370373E-3</v>
      </c>
      <c r="BJ16" s="87">
        <f t="shared" si="30"/>
        <v>1.6026527777777777E-3</v>
      </c>
      <c r="BK16" s="86" t="str">
        <f t="shared" si="31"/>
        <v/>
      </c>
      <c r="BL16" s="86" t="str">
        <f t="shared" si="32"/>
        <v/>
      </c>
      <c r="BM16" s="86" t="str">
        <f t="shared" si="33"/>
        <v/>
      </c>
      <c r="BN16" s="87" t="str">
        <f t="shared" si="34"/>
        <v/>
      </c>
      <c r="BO16" s="86">
        <f t="shared" si="35"/>
        <v>1.9916597222222219E-3</v>
      </c>
      <c r="BP16" s="86">
        <f t="shared" si="36"/>
        <v>1.9621597222222223E-3</v>
      </c>
      <c r="BQ16" s="87">
        <f t="shared" si="37"/>
        <v>1.9327962962962964E-3</v>
      </c>
      <c r="BR16" s="102" t="str">
        <f t="shared" si="38"/>
        <v/>
      </c>
      <c r="BS16" s="86" t="str">
        <f t="shared" si="39"/>
        <v/>
      </c>
      <c r="BT16" s="86">
        <f t="shared" si="40"/>
        <v>1.887166666666667E-3</v>
      </c>
      <c r="BU16" s="86">
        <f t="shared" si="41"/>
        <v>1.8506041666666666E-3</v>
      </c>
      <c r="BV16" s="87">
        <f t="shared" si="42"/>
        <v>1.8239270833333334E-3</v>
      </c>
      <c r="BW16" s="86" t="str">
        <f t="shared" si="43"/>
        <v/>
      </c>
      <c r="BX16" s="86" t="str">
        <f t="shared" si="44"/>
        <v/>
      </c>
      <c r="BY16" s="86" t="str">
        <f t="shared" si="45"/>
        <v/>
      </c>
      <c r="BZ16" s="87" t="str">
        <f t="shared" si="46"/>
        <v/>
      </c>
    </row>
    <row r="17" spans="1:78" ht="14.65" thickBot="1" x14ac:dyDescent="0.5">
      <c r="A17" s="140"/>
      <c r="B17" s="84" t="s">
        <v>4</v>
      </c>
      <c r="C17" s="88">
        <v>1.7520833333333334E-3</v>
      </c>
      <c r="D17" s="88">
        <v>1.7156249999999999E-3</v>
      </c>
      <c r="E17" s="89">
        <v>1.662152777777778E-3</v>
      </c>
      <c r="F17" s="90">
        <v>1.6435185185185185E-3</v>
      </c>
      <c r="G17" s="88">
        <v>1.6241898148148146E-3</v>
      </c>
      <c r="H17" s="88">
        <v>1.60625E-3</v>
      </c>
      <c r="I17" s="88">
        <v>1.590625E-3</v>
      </c>
      <c r="J17" s="89">
        <v>1.5422453703703705E-3</v>
      </c>
      <c r="K17" s="88">
        <v>1.5498842592592593E-3</v>
      </c>
      <c r="L17" s="88">
        <v>1.5273148148148149E-3</v>
      </c>
      <c r="M17" s="88">
        <v>1.5002314814814815E-3</v>
      </c>
      <c r="N17" s="88">
        <v>1.4912037037037038E-3</v>
      </c>
      <c r="O17" s="90">
        <v>1.8891203703703704E-3</v>
      </c>
      <c r="P17" s="88">
        <v>1.8486111111111112E-3</v>
      </c>
      <c r="Q17" s="89">
        <v>1.8079861111111111E-3</v>
      </c>
      <c r="R17" s="88">
        <v>1.8180555555555554E-3</v>
      </c>
      <c r="S17" s="88">
        <v>1.7916666666666669E-3</v>
      </c>
      <c r="T17" s="88">
        <v>1.767361111111111E-3</v>
      </c>
      <c r="U17" s="88">
        <v>1.7174768518518518E-3</v>
      </c>
      <c r="V17" s="89">
        <v>1.6810185185185185E-3</v>
      </c>
      <c r="W17" s="90">
        <v>1.7194444444444444E-3</v>
      </c>
      <c r="X17" s="88">
        <v>1.7002314814814816E-3</v>
      </c>
      <c r="Y17" s="88">
        <v>1.677199074074074E-3</v>
      </c>
      <c r="Z17" s="89">
        <v>1.6695601851851852E-3</v>
      </c>
      <c r="AB17" s="84" t="s">
        <v>4</v>
      </c>
      <c r="AC17" s="135">
        <v>0.2</v>
      </c>
      <c r="AD17" s="135">
        <v>0.2</v>
      </c>
      <c r="AE17" s="136">
        <v>0.2</v>
      </c>
      <c r="AF17" s="137">
        <v>0</v>
      </c>
      <c r="AG17" s="135">
        <v>0</v>
      </c>
      <c r="AH17" s="135">
        <v>0.16</v>
      </c>
      <c r="AI17" s="135">
        <v>0.16</v>
      </c>
      <c r="AJ17" s="136">
        <v>0.16</v>
      </c>
      <c r="AK17" s="135">
        <v>0</v>
      </c>
      <c r="AL17" s="135">
        <v>0</v>
      </c>
      <c r="AM17" s="135">
        <v>0</v>
      </c>
      <c r="AN17" s="135">
        <v>0</v>
      </c>
      <c r="AO17" s="137">
        <v>0.18</v>
      </c>
      <c r="AP17" s="135">
        <v>0.18</v>
      </c>
      <c r="AQ17" s="136">
        <v>0.18</v>
      </c>
      <c r="AR17" s="135">
        <v>0</v>
      </c>
      <c r="AS17" s="135">
        <v>0</v>
      </c>
      <c r="AT17" s="135">
        <v>0.17</v>
      </c>
      <c r="AU17" s="135">
        <v>0.17</v>
      </c>
      <c r="AV17" s="136">
        <v>0.17</v>
      </c>
      <c r="AW17" s="137">
        <v>0</v>
      </c>
      <c r="AX17" s="135">
        <v>0</v>
      </c>
      <c r="AY17" s="135">
        <v>0</v>
      </c>
      <c r="AZ17" s="136">
        <v>0</v>
      </c>
      <c r="BB17" s="84" t="s">
        <v>4</v>
      </c>
      <c r="BC17" s="88">
        <f t="shared" si="47"/>
        <v>2.1025000000000002E-3</v>
      </c>
      <c r="BD17" s="88">
        <f t="shared" si="24"/>
        <v>2.0587499999999998E-3</v>
      </c>
      <c r="BE17" s="89">
        <f t="shared" si="25"/>
        <v>1.9945833333333335E-3</v>
      </c>
      <c r="BF17" s="90" t="str">
        <f t="shared" si="26"/>
        <v/>
      </c>
      <c r="BG17" s="88" t="str">
        <f t="shared" si="27"/>
        <v/>
      </c>
      <c r="BH17" s="88">
        <f t="shared" si="28"/>
        <v>1.8632500000000001E-3</v>
      </c>
      <c r="BI17" s="88">
        <f t="shared" si="29"/>
        <v>1.845125E-3</v>
      </c>
      <c r="BJ17" s="89">
        <f t="shared" si="30"/>
        <v>1.7890046296296298E-3</v>
      </c>
      <c r="BK17" s="88" t="str">
        <f t="shared" si="31"/>
        <v/>
      </c>
      <c r="BL17" s="88" t="str">
        <f t="shared" si="32"/>
        <v/>
      </c>
      <c r="BM17" s="88" t="str">
        <f t="shared" si="33"/>
        <v/>
      </c>
      <c r="BN17" s="88" t="str">
        <f t="shared" si="34"/>
        <v/>
      </c>
      <c r="BO17" s="90">
        <f t="shared" si="35"/>
        <v>2.2291620370370373E-3</v>
      </c>
      <c r="BP17" s="88">
        <f t="shared" si="36"/>
        <v>2.1813611111111113E-3</v>
      </c>
      <c r="BQ17" s="89">
        <f t="shared" si="37"/>
        <v>2.1334236111111111E-3</v>
      </c>
      <c r="BR17" s="88" t="str">
        <f t="shared" si="38"/>
        <v/>
      </c>
      <c r="BS17" s="88" t="str">
        <f t="shared" si="39"/>
        <v/>
      </c>
      <c r="BT17" s="88">
        <f t="shared" si="40"/>
        <v>2.0678124999999998E-3</v>
      </c>
      <c r="BU17" s="88">
        <f t="shared" si="41"/>
        <v>2.0094479166666668E-3</v>
      </c>
      <c r="BV17" s="89">
        <f t="shared" si="42"/>
        <v>1.9667916666666666E-3</v>
      </c>
      <c r="BW17" s="90" t="str">
        <f t="shared" si="43"/>
        <v/>
      </c>
      <c r="BX17" s="88" t="str">
        <f t="shared" si="44"/>
        <v/>
      </c>
      <c r="BY17" s="88" t="str">
        <f t="shared" si="45"/>
        <v/>
      </c>
      <c r="BZ17" s="89" t="str">
        <f t="shared" si="46"/>
        <v/>
      </c>
    </row>
    <row r="18" spans="1:78" ht="14.65" thickTop="1" x14ac:dyDescent="0.45">
      <c r="C18" s="64"/>
      <c r="O18" s="64"/>
      <c r="T18" s="67"/>
      <c r="U18" s="67"/>
      <c r="W18" s="68"/>
      <c r="X18" s="64"/>
      <c r="AD18" s="64"/>
    </row>
    <row r="21" spans="1:78" x14ac:dyDescent="0.45">
      <c r="C21" s="63"/>
      <c r="D21" s="66"/>
      <c r="E21" s="66"/>
      <c r="F21" s="66"/>
      <c r="G21" s="66"/>
      <c r="H21" s="66"/>
      <c r="O21" s="63"/>
      <c r="P21" s="66"/>
      <c r="Q21" s="66"/>
      <c r="R21" s="66"/>
      <c r="X21" s="63"/>
      <c r="Y21" s="69"/>
      <c r="Z21" s="69"/>
      <c r="AA21" s="69"/>
      <c r="AD21" s="63"/>
      <c r="AE21" s="69"/>
      <c r="AF21" s="69"/>
      <c r="AG21" s="69"/>
    </row>
    <row r="22" spans="1:78" x14ac:dyDescent="0.45">
      <c r="C22" s="64"/>
      <c r="D22" s="65"/>
      <c r="E22" s="65"/>
      <c r="F22" s="65"/>
      <c r="G22" s="65"/>
      <c r="H22" s="65"/>
      <c r="O22" s="64"/>
      <c r="P22" s="65"/>
      <c r="Q22" s="65"/>
      <c r="R22" s="65"/>
      <c r="X22" s="64"/>
      <c r="Y22" s="65"/>
      <c r="Z22" s="65"/>
      <c r="AA22" s="65"/>
      <c r="AD22" s="64"/>
      <c r="AE22" s="65"/>
      <c r="AF22" s="65"/>
      <c r="AG22" s="65"/>
    </row>
    <row r="23" spans="1:78" x14ac:dyDescent="0.45">
      <c r="C23" s="64"/>
      <c r="D23" s="65"/>
      <c r="E23" s="65"/>
      <c r="F23" s="65"/>
      <c r="G23" s="65"/>
      <c r="H23" s="65"/>
      <c r="O23" s="64"/>
      <c r="P23" s="65"/>
      <c r="Q23" s="65"/>
      <c r="R23" s="65"/>
      <c r="X23" s="64"/>
      <c r="Y23" s="65"/>
      <c r="Z23" s="65"/>
      <c r="AA23" s="65"/>
      <c r="AD23" s="64"/>
      <c r="AE23" s="65"/>
      <c r="AF23" s="65"/>
      <c r="AG23" s="65"/>
    </row>
    <row r="24" spans="1:78" x14ac:dyDescent="0.45">
      <c r="C24" s="64"/>
      <c r="D24" s="65"/>
      <c r="E24" s="65"/>
      <c r="F24" s="65"/>
      <c r="G24" s="65"/>
      <c r="H24" s="65"/>
      <c r="O24" s="64"/>
      <c r="P24" s="65"/>
      <c r="Q24" s="65"/>
      <c r="R24" s="65"/>
      <c r="X24" s="64"/>
      <c r="Y24" s="65"/>
      <c r="Z24" s="65"/>
      <c r="AA24" s="65"/>
      <c r="AD24" s="64"/>
      <c r="AE24" s="65"/>
      <c r="AF24" s="65"/>
      <c r="AG24" s="65"/>
    </row>
    <row r="25" spans="1:78" ht="14.25" customHeight="1" x14ac:dyDescent="0.45">
      <c r="C25" s="64"/>
      <c r="D25" s="65"/>
      <c r="E25" s="65"/>
      <c r="F25" s="65"/>
      <c r="G25" s="65"/>
      <c r="H25" s="65"/>
      <c r="O25" s="64"/>
      <c r="P25" s="65"/>
      <c r="Q25" s="65"/>
      <c r="R25" s="65"/>
      <c r="X25" s="64"/>
      <c r="Y25" s="65"/>
      <c r="Z25" s="65"/>
      <c r="AA25" s="65"/>
      <c r="AD25" s="64"/>
      <c r="AE25" s="65"/>
      <c r="AF25" s="65"/>
      <c r="AG25" s="65"/>
    </row>
    <row r="26" spans="1:78" x14ac:dyDescent="0.45">
      <c r="C26" s="64"/>
      <c r="D26" s="65"/>
      <c r="E26" s="65"/>
      <c r="F26" s="65"/>
      <c r="G26" s="65"/>
      <c r="H26" s="65"/>
      <c r="O26" s="64"/>
      <c r="P26" s="65"/>
      <c r="Q26" s="65"/>
      <c r="R26" s="65"/>
      <c r="X26" s="64"/>
      <c r="Y26" s="65"/>
      <c r="Z26" s="65"/>
      <c r="AA26" s="65"/>
      <c r="AD26" s="64"/>
      <c r="AE26" s="65"/>
      <c r="AF26" s="65"/>
      <c r="AG26" s="65"/>
    </row>
    <row r="27" spans="1:78" x14ac:dyDescent="0.45">
      <c r="C27" s="64"/>
      <c r="D27" s="65"/>
      <c r="E27" s="65"/>
      <c r="F27" s="65"/>
      <c r="G27" s="65"/>
      <c r="H27" s="65"/>
      <c r="O27" s="64"/>
      <c r="P27" s="65"/>
      <c r="Q27" s="65"/>
      <c r="R27" s="65"/>
      <c r="X27" s="64"/>
      <c r="Y27" s="65"/>
      <c r="Z27" s="65"/>
      <c r="AA27" s="65"/>
      <c r="AD27" s="64"/>
      <c r="AE27" s="65"/>
      <c r="AF27" s="65"/>
      <c r="AG27" s="65"/>
    </row>
    <row r="30" spans="1:78" x14ac:dyDescent="0.45">
      <c r="C30" s="63"/>
      <c r="D30" s="66"/>
      <c r="E30" s="66"/>
      <c r="F30" s="66"/>
      <c r="G30" s="66"/>
      <c r="H30" s="66"/>
      <c r="P30" s="67"/>
    </row>
    <row r="31" spans="1:78" x14ac:dyDescent="0.45">
      <c r="C31" s="64"/>
      <c r="D31" s="65"/>
      <c r="E31" s="65"/>
      <c r="F31" s="65"/>
      <c r="G31" s="65"/>
      <c r="H31" s="65"/>
    </row>
    <row r="40" spans="3:8" x14ac:dyDescent="0.45">
      <c r="C40" s="64"/>
      <c r="D40" s="65"/>
      <c r="E40" s="65"/>
      <c r="F40" s="65"/>
      <c r="G40" s="65"/>
      <c r="H40" s="65"/>
    </row>
    <row r="41" spans="3:8" x14ac:dyDescent="0.45">
      <c r="C41" s="64"/>
      <c r="D41" s="65"/>
      <c r="E41" s="65"/>
      <c r="F41" s="65"/>
      <c r="G41" s="65"/>
      <c r="H41" s="65"/>
    </row>
    <row r="42" spans="3:8" x14ac:dyDescent="0.45">
      <c r="C42" s="64"/>
      <c r="D42" s="65"/>
      <c r="E42" s="65"/>
      <c r="F42" s="65"/>
      <c r="G42" s="65"/>
      <c r="H42" s="65"/>
    </row>
    <row r="43" spans="3:8" x14ac:dyDescent="0.45">
      <c r="C43" s="64"/>
      <c r="D43" s="65"/>
      <c r="E43" s="65"/>
      <c r="F43" s="65"/>
      <c r="G43" s="65"/>
      <c r="H43" s="65"/>
    </row>
    <row r="44" spans="3:8" x14ac:dyDescent="0.45">
      <c r="C44" s="64"/>
      <c r="D44" s="65"/>
      <c r="E44" s="65"/>
      <c r="F44" s="65"/>
      <c r="G44" s="65"/>
      <c r="H44" s="65"/>
    </row>
    <row r="45" spans="3:8" x14ac:dyDescent="0.45">
      <c r="C45" s="64"/>
      <c r="D45" s="65"/>
      <c r="E45" s="65"/>
      <c r="F45" s="65"/>
      <c r="G45" s="65"/>
      <c r="H45" s="65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6" priority="1" operator="equal">
      <formula>0</formula>
    </cfRule>
  </conditionalFormatting>
  <conditionalFormatting sqref="AC12:AZ17">
    <cfRule type="cellIs" dxfId="5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174" t="s">
        <v>14</v>
      </c>
      <c r="B14" s="174"/>
      <c r="C14" s="174"/>
      <c r="D14" s="174"/>
      <c r="E14" s="174"/>
      <c r="F14" s="174"/>
      <c r="G14"/>
      <c r="H14" s="176" t="s">
        <v>35</v>
      </c>
      <c r="I14" s="176"/>
      <c r="J14" s="176"/>
      <c r="L14" s="176" t="s">
        <v>36</v>
      </c>
      <c r="M14"/>
      <c r="N14"/>
    </row>
    <row r="15" spans="1:14" ht="15" customHeight="1" x14ac:dyDescent="0.45">
      <c r="A15" s="174"/>
      <c r="B15" s="174"/>
      <c r="C15" s="174"/>
      <c r="D15" s="174"/>
      <c r="E15" s="174"/>
      <c r="F15" s="174"/>
      <c r="G15"/>
      <c r="H15" s="176"/>
      <c r="I15" s="176"/>
      <c r="J15" s="176"/>
      <c r="L15" s="176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NK-LK Transf.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2026-02-12T15:53:35Z</dcterms:modified>
</cp:coreProperties>
</file>