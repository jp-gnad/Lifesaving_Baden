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E122A259-02D1-44E5-8B5E-79FF76625838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<sst xmlns="http://schemas.openxmlformats.org/spreadsheetml/2006/main" count="774" uniqueCount="274">
  <si>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</si>
  <si>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</si>
  <si>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</si>
  <si>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</si>
  <si>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</si>
  <si>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</si>
  <si>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</si>
  <si>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</si>
  <si>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</si>
  <si>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</si>
  <si>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</si>
  <si>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</si>
  <si>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</si>
  <si>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</si>
  <si>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</si>
  <si>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</si>
  <si>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</si>
  <si>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</si>
  <si>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</si>
  <si>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</si>
  <si>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</si>
  <si>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</si>
  <si>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</si>
  <si>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</si>
  <si>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</si>
  <si>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</si>
  <si>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</si>
  <si>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</si>
  <si>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</si>
  <si>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</si>
  <si>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</si>
  <si>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</si>
  <si>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</si>
  <si>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</si>
  <si>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</si>
  <si>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</si>
  <si>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</si>
  <si>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</si>
  <si>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</si>
  <si>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</si>
  <si>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</si>
  <si>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</si>
  <si>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</si>
  <si>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</si>
  <si>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</si>
  <si>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</si>
  <si>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</si>
  <si>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</si>
  <si>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</si>
  <si>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</si>
  <si>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</si>
  <si>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</si>
  <si>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</si>
  <si>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</si>
  <si>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</si>
  <si>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</si>
  <si>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</si>
  <si>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</si>
  <si>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</si>
  <si>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</si>
  <si>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</si>
  <si>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</si>
  <si>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</si>
  <si>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</si>
  <si>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</si>
  <si>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</si>
  <si>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</si>
  <si>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</si>
  <si>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</si>
  <si>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</si>
  <si>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</si>
  <si>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</si>
  <si>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</si>
  <si>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</si>
  <si>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</si>
  <si>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</si>
  <si>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</si>
  <si>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</si>
  <si>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</si>
  <si>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</si>
  <si>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</si>
  <si>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</si>
  <si>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</si>
  <si>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</si>
  <si>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</si>
  <si>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</si>
  <si>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</si>
  <si>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</si>
  <si>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</si>
  <si>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</si>
  <si>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</si>
  <si>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</si>
  <si>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</si>
  <si>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</si>
  <si>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</si>
  <si>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</si>
  <si>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</si>
  <si>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</si>
  <si>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</si>
  <si>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</si>
  <si>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</si>
  <si>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</si>
  <si>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</si>
  <si>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</si>
  <si>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</si>
  <si>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</si>
  <si>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</si>
  <si>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</si>
  <si>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</si>
  <si>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</si>
  <si>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</si>
  <si>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</si>
  <si>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</si>
  <si>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</si>
  <si>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</si>
  <si>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</si>
  <si>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</si>
  <si>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</si>
  <si>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</si>
  <si>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</si>
  <si>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</si>
  <si>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</si>
  <si>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</si>
  <si>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</si>
  <si>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</si>
  <si>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</si>
  <si>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</si>
  <si>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</si>
  <si>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</si>
  <si>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</si>
  <si>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</si>
  <si>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</si>
  <si>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</si>
  <si>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</si>
  <si>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</si>
  <si>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</si>
  <si>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</si>
  <si>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</si>
  <si>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</si>
  <si>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</si>
  <si>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</si>
  <si>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</si>
  <si>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</si>
  <si>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</si>
  <si>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</si>
  <si>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</si>
  <si>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</si>
  <si>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</si>
  <si>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</si>
  <si>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</si>
  <si>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</si>
  <si>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</si>
  <si>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</si>
  <si>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</si>
  <si>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</si>
  <si>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</si>
  <si>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</si>
  <si>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</si>
  <si>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</si>
  <si>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</si>
  <si>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</si>
  <si>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</si>
  <si>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</si>
  <si>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</si>
  <si>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</si>
  <si>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</si>
  <si>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</si>
  <si>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</si>
  <si>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</si>
  <si>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</si>
  <si>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</si>
  <si>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</si>
  <si>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</si>
  <si>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</si>
  <si>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</si>
  <si>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</si>
  <si>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</si>
  <si>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</si>
  <si>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</si>
  <si>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</si>
  <si>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</si>
  <si>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</si>
  <si>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</si>
  <si>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</si>
  <si>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</si>
  <si>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</si>
  <si>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</si>
  <si>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</si>
  <si>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</si>
  <si>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</si>
  <si>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</si>
  <si>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</si>
  <si>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</si>
  <si>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</si>
  <si>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</si>
  <si>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</si>
  <si>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</si>
  <si>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</si>
  <si>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</si>
  <si>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</si>
  <si>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</si>
  <si>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</si>
  <si>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</si>
  <si>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</si>
  <si>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</si>
  <si>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</si>
  <si>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</si>
  <si>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</si>
  <si>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</si>
  <si>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</si>
  <si>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</si>
  <si>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</si>
  <si>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</si>
  <si>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</si>
  <si>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</si>
  <si>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</si>
  <si>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</si>
  <si>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</si>
  <si>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</si>
  <si>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</si>
  <si>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</si>
  <si>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</si>
  <si>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</si>
  <si>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</si>
  <si>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</si>
  <si>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</si>
  <si>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</si>
  <si>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</si>
  <si>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</si>
  <si>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</si>
  <si>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</si>
  <si>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</si>
  <si>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</si>
  <si>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</si>
  <si>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NK2 +20% Frauen</t>
  </si>
  <si>
    <t>JRP (TEST) Weiblich</t>
  </si>
  <si>
    <t>JRP (TEST) Männlich</t>
  </si>
  <si>
    <t>&gt;2008</t>
  </si>
  <si>
    <t>2005-2007</t>
  </si>
  <si>
    <t>&lt;2005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</si>
  <si>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</si>
  <si>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</si>
  <si>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</si>
  <si>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</si>
  <si>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</si>
  <si>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</si>
  <si>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</si>
  <si>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</si>
  <si>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</si>
  <si>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</si>
  <si>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</si>
  <si>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</si>
  <si>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</si>
  <si>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</si>
  <si>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</si>
  <si>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</si>
  <si>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</si>
  <si>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</si>
  <si>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</si>
  <si>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</si>
  <si>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</si>
  <si>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</si>
  <si>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</si>
  <si>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</si>
  <si>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</si>
  <si>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</si>
  <si>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</si>
  <si>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</si>
  <si>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</si>
  <si>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NK1 % W</t>
  </si>
  <si>
    <t>NK2 +18% Mäner</t>
  </si>
  <si>
    <t>NK1 +17% Mäner</t>
  </si>
  <si>
    <t>NK1 +19% Frauen</t>
  </si>
  <si>
    <t>Warm Up, 50m Bahn, Cool Down, Theorie Doping, Treffpunkt 12:10 im Foyer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</si>
</sst>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200"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9" headerRowBorderDxfId="198" tableBorderDxfId="197">
  <autoFilter ref="A4:AW31" xr:uid="{2C5E83EE-6B6F-478A-9C90-A846A1A76536}"/>
  <tableColumns count="49">
    <tableColumn id="1" xr3:uid="{7C0C4105-A61A-4B8D-9129-EDC4F18765AF}" name="WR-Open" dataDxfId="196">
      <calculatedColumnFormula>A4+1</calculatedColumnFormula>
    </tableColumn>
    <tableColumn id="2" xr3:uid="{516F5612-F85F-413F-9012-E235F415E34B}" name="50m Retten - offen - W" dataDxfId="195"/>
    <tableColumn id="3" xr3:uid="{BC9ACAC9-0D45-42FD-B596-D19FBE3A4D83}" name="100m Retten - offen - W" dataDxfId="194"/>
    <tableColumn id="4" xr3:uid="{CB6DBE59-EB65-43F0-93E7-0BDC3F82832B}" name="100m Kombi - offen - W" dataDxfId="193"/>
    <tableColumn id="5" xr3:uid="{AA603C60-6831-4C14-A8CD-0AA050DA7551}" name="100m Lifesaver - offen - W" dataDxfId="192"/>
    <tableColumn id="6" xr3:uid="{7920F147-7717-4582-940A-2610F7D310CA}" name="200m Superlifesaver - offen - W" dataDxfId="191"/>
    <tableColumn id="7" xr3:uid="{04E21F1D-AC8D-4A1B-9B43-59B8F7901673}" name="200m Hindernis - offen - W" dataDxfId="190"/>
    <tableColumn id="8" xr3:uid="{40E8A083-653A-48A8-9B37-0A2D850B7829}" name="50m Retten - offen - M" dataDxfId="189"/>
    <tableColumn id="9" xr3:uid="{863824A9-134F-4189-BB14-225AE224FC44}" name="100m Retten - offen - M" dataDxfId="188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7"/>
    <tableColumn id="14" xr3:uid="{FA907992-7FCE-4CAD-8CF2-F5BEBC9B3756}" name="50m Retten - 17/18 - W" dataDxfId="186"/>
    <tableColumn id="15" xr3:uid="{76B63DC0-CB67-48F4-9B5A-D22902F59334}" name="100m Retten - 17/18 - W" dataDxfId="185"/>
    <tableColumn id="16" xr3:uid="{614A2419-51B1-44C0-8469-ADBFB078B81A}" name="100m Kombi -17/18 - W" dataDxfId="184"/>
    <tableColumn id="17" xr3:uid="{2EC953EE-367D-4524-A25E-8DE3B8168E34}" name="100m Lifesaver - 17/18 - W" dataDxfId="183"/>
    <tableColumn id="18" xr3:uid="{25711867-9BD7-4197-9094-A21392411249}" name="200m Superlifesaver - 17/18 - W" dataDxfId="182"/>
    <tableColumn id="19" xr3:uid="{262DB142-CFB1-45C3-9332-7273CACD1B62}" name="200m Hindernis - 17/18 - W" dataDxfId="181"/>
    <tableColumn id="20" xr3:uid="{938BA45A-8244-4637-8A14-DF49CD91A945}" name="50m Retten - 17/18 - M" dataDxfId="180"/>
    <tableColumn id="21" xr3:uid="{737E28D8-900F-4A98-95FE-EE7B0AFDEE90}" name="100m Retten - 17/18 - M" dataDxfId="179"/>
    <tableColumn id="22" xr3:uid="{330BD3A8-061C-45E2-ADDB-40C2F346772F}" name="100m Kombi - 17/18 - M" dataDxfId="178"/>
    <tableColumn id="23" xr3:uid="{0CADDE90-A167-4E1D-8D33-8624E5E1A4E2}" name="100m Lifesaver - 17/18 - M" dataDxfId="177"/>
    <tableColumn id="24" xr3:uid="{FCF9F42C-1291-4985-9D37-B9DE2DAA5DCB}" name="200m Superlifesaver - 17/18 - M" dataDxfId="176"/>
    <tableColumn id="25" xr3:uid="{4E5397B2-F924-4F48-AE69-AF6D650AF88D}" name="200m Hindernis - 17/18 - M" dataDxfId="175"/>
    <tableColumn id="26" xr3:uid="{0A78315A-BFDC-43EE-A66F-48B301F66508}" name="50m Retten - 15/16 - W" dataDxfId="174"/>
    <tableColumn id="27" xr3:uid="{D3FCF8BD-6C76-450D-80C0-CC0519A79731}" name="100m Retten - 15/16 - W" dataDxfId="173"/>
    <tableColumn id="28" xr3:uid="{6BE7937E-D62D-47CD-95DE-1730304B0DF3}" name="100m Kombi - 15/16 - W" dataDxfId="172"/>
    <tableColumn id="29" xr3:uid="{098BA5BE-5AF6-4187-89B6-534498F24C51}" name="100m Lifesaver -  15/16 - W" dataDxfId="171"/>
    <tableColumn id="30" xr3:uid="{2A6822CF-143C-4BF7-A440-5777527BE512}" name="200m Superlifesaver -  15/16 - W" dataDxfId="170"/>
    <tableColumn id="31" xr3:uid="{541C7145-CDEA-4E4E-9E7A-A4F05BA6C3E5}" name="200m Hindernis -  15/16 - W" dataDxfId="169"/>
    <tableColumn id="32" xr3:uid="{342C4488-8C61-42E6-87A9-C75BD8EB7452}" name="50m Retten - 15/16 - M" dataDxfId="168"/>
    <tableColumn id="33" xr3:uid="{857B1D46-7D20-47F7-AB9B-732D50346E32}" name="100m Retten - 15/16 - M" dataDxfId="167"/>
    <tableColumn id="34" xr3:uid="{4C8A2EB4-804B-45F1-A768-9A6958957F8B}" name="100m Kombi -15/16 - M" dataDxfId="166"/>
    <tableColumn id="35" xr3:uid="{26C75B4F-21EC-4EB0-A9A9-54BC80140672}" name="100m Lifesaver - 15/16 - M" dataDxfId="165"/>
    <tableColumn id="36" xr3:uid="{DBBB2A23-1A06-429A-A5D1-A547EF5EC16F}" name="200m Superlifesaver - 15/16 - M" dataDxfId="164"/>
    <tableColumn id="37" xr3:uid="{84061231-CAE5-427A-87F5-6DDBA99F77D2}" name="200m Hindernis - 15/16 - M" dataDxfId="163"/>
    <tableColumn id="38" xr3:uid="{878CCA80-A742-4B3C-90C9-E93BB814201B}" name="50m Retten - 13/14 - W" dataDxfId="162"/>
    <tableColumn id="39" xr3:uid="{A1F57102-61CF-4784-8DE2-0B8F32D5D699}" name="50m Retten mit Flossen - 13/14 - W" dataDxfId="161"/>
    <tableColumn id="40" xr3:uid="{0F6BAF78-3D79-42A9-9FED-E6D0E335A920}" name="100m Hindernis - 13/14 - W" dataDxfId="160"/>
    <tableColumn id="41" xr3:uid="{EB748A68-E10D-4D76-B315-8FDB3AC33C8D}" name="50m Retten - 13/14 - M" dataDxfId="159"/>
    <tableColumn id="42" xr3:uid="{C7B04167-6430-40F0-9A0F-D0D0BE2F9C77}" name="50m Retten mit Flossen - 13/14 - M" dataDxfId="158"/>
    <tableColumn id="43" xr3:uid="{48704BB7-A853-445A-8CDC-8D8F86C2B66A}" name="100m Hindernis - 13/14 - M" dataDxfId="157"/>
    <tableColumn id="44" xr3:uid="{9605FE9A-F41C-4A5F-A59C-B7A9D45C460F}" name="50m Flossen - 12 - W" dataDxfId="156"/>
    <tableColumn id="45" xr3:uid="{4C9DBF61-35B1-4BC2-8272-526E0AFAAFFB}" name="50m komb. Schwimmen - 12 - W" dataDxfId="155"/>
    <tableColumn id="46" xr3:uid="{CF433C95-C272-48F9-98CD-7E3C8DBB6F2C}" name="50m Hindernis - 12 - W" dataDxfId="154"/>
    <tableColumn id="47" xr3:uid="{FADB7411-DB43-4B14-B9E8-D74CA1BA18B8}" name="50m Flossen - 12 - M" dataDxfId="153"/>
    <tableColumn id="48" xr3:uid="{02936F84-1D82-48AC-8D7C-6D2954D68A06}" name="50m komb. Schwimmen - 12 - M" dataDxfId="152"/>
    <tableColumn id="49" xr3:uid="{7FD9BD11-0597-4E07-8DA5-DB53384197F5}" name="50m Hindernis - 12 - M" dataDxfId="1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0" dataDxfId="148" headerRowBorderDxfId="149" tableBorderDxfId="147">
  <autoFilter ref="A4:M32" xr:uid="{4234D44E-A2BE-4790-B589-1A8CC19B714E}"/>
  <tableColumns count="13">
    <tableColumn id="1" xr3:uid="{848E691A-41B0-42DD-B122-FB6DF43CB3EF}" name="WR-Youth" dataDxfId="146"/>
    <tableColumn id="2" xr3:uid="{2FE43F18-485B-46A9-8946-FBC5FDAE5A8E}" name="50m Retten" dataDxfId="145"/>
    <tableColumn id="3" xr3:uid="{CA5C3ABF-02E6-442B-868B-95B293B231D3}" name="100m Retten" dataDxfId="144"/>
    <tableColumn id="4" xr3:uid="{7A6BBA52-2145-464D-8C04-B2CCFC1A90DC}" name="100m Kombi" dataDxfId="143"/>
    <tableColumn id="5" xr3:uid="{21F420C9-E788-49EE-88F6-E37963ED31CF}" name="100m Lifesaver" dataDxfId="142"/>
    <tableColumn id="6" xr3:uid="{CB87B7CD-8A9C-4775-A4D7-4D267F43FD1A}" name="200m Superlifesaver" dataDxfId="141"/>
    <tableColumn id="7" xr3:uid="{2DC7F290-B564-4851-85AE-D211DA701B32}" name="200m Hindernis" dataDxfId="140"/>
    <tableColumn id="8" xr3:uid="{8112783D-8796-4D6A-8414-AC675D745697}" name="50m Retten2" dataDxfId="139"/>
    <tableColumn id="9" xr3:uid="{4E818CD4-8725-495D-9D1D-1AFCED9181F5}" name="100m Retten2" dataDxfId="138"/>
    <tableColumn id="10" xr3:uid="{28C05A91-E302-40A9-B50A-ECF997F129FC}" name="100m Kombi2" dataDxfId="137"/>
    <tableColumn id="11" xr3:uid="{D56FB9F2-45BF-4EC9-A84C-8A5FB59F2F05}" name="100m Lifesaver2" dataDxfId="136"/>
    <tableColumn id="12" xr3:uid="{540169C0-2A40-4794-A872-F7DF8A887BF2}" name="200m Superlifesaver2" dataDxfId="135"/>
    <tableColumn id="13" xr3:uid="{D104CB67-B55A-4C81-87E5-0AC758DD22A4}" name="200m Hindernis2" dataDxfId="1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3" headerRowBorderDxfId="132" tableBorderDxfId="131">
  <autoFilter ref="A4:M32" xr:uid="{E2D2F97B-7645-4066-8AB3-F35CF6E035EB}"/>
  <tableColumns count="13">
    <tableColumn id="1" xr3:uid="{AE73402B-B27E-4B29-8DCF-30B7FC1855EF}" name="WR-Open" dataDxfId="130">
      <calculatedColumnFormula>A4+1</calculatedColumnFormula>
    </tableColumn>
    <tableColumn id="2" xr3:uid="{EA3EAC1F-184E-4A28-B3E3-08DE12F138EF}" name="50m Retten" dataDxfId="129"/>
    <tableColumn id="3" xr3:uid="{E0305A3F-6087-4F8C-8B64-153E1ACAA32E}" name="100m Retten" dataDxfId="128"/>
    <tableColumn id="4" xr3:uid="{F0B7AC37-315E-49AA-855C-7955D2B43A76}" name="100m Kombi" dataDxfId="127"/>
    <tableColumn id="5" xr3:uid="{B5E690AB-DB7D-4864-8916-89D2A68C4128}" name="100m Lifesaver" dataDxfId="126"/>
    <tableColumn id="6" xr3:uid="{D89BAF4D-36AE-4C73-9320-9C5736F02F8A}" name="200m Superlifesaver" dataDxfId="125"/>
    <tableColumn id="7" xr3:uid="{58AE7517-1A90-459F-A7D2-B95265D217E7}" name="200m Hindernis" dataDxfId="124"/>
    <tableColumn id="8" xr3:uid="{13A189FB-E897-4A1F-A001-525F61E9CFFF}" name="50m Retten2" dataDxfId="123"/>
    <tableColumn id="9" xr3:uid="{36418AC5-46B8-400F-BD2E-D329CF4F92CD}" name="100m Retten2" dataDxfId="122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1" dataDxfId="120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9"/>
    <tableColumn id="2" xr3:uid="{2F302F6C-F8AF-4FDE-AB08-6F30F9671015}" name="Geschlecht" dataDxfId="118"/>
    <tableColumn id="3" xr3:uid="{4D91FBF9-386D-43DD-90D0-B49823FDB629}" name="Mindest alter" dataDxfId="117"/>
    <tableColumn id="4" xr3:uid="{4126AAC6-AF2F-446C-B4EA-D86ACFD9FAC2}" name="Maximales Alter" dataDxfId="116"/>
    <tableColumn id="5" xr3:uid="{8A10890A-A299-4B09-AC72-0E9AE9238AF3}" name="Qualizeitraum anfang" dataDxfId="115"/>
    <tableColumn id="6" xr3:uid="{FBCD1C13-FC82-429B-8DE1-0C5A455FDAB8}" name="Qualizeitraum Ende" dataDxfId="114"/>
    <tableColumn id="7" xr3:uid="{1DCCAC9B-BC46-468E-A3CE-57576C2FF11D}" name="Letzter Wettkampf am" dataDxfId="113"/>
    <tableColumn id="8" xr3:uid="{9A6E47EE-ABD8-4A1E-87D3-9D286E4C124F}" name="Wertung" dataDxfId="112"/>
    <tableColumn id="9" xr3:uid="{09E848D2-ED17-49C7-9775-CBF17D20DFC0}" name="Landesverband" dataDxfId="111"/>
    <tableColumn id="10" xr3:uid="{70ABB713-23F6-4FCF-920E-3CB0CD451446}" name="OMS" dataDxfId="110"/>
    <tableColumn id="11" xr3:uid="{9C108A1C-E6AB-4C13-9C1D-0FA8944A39A3}" name="Pool-Länge" dataDxfId="109"/>
    <tableColumn id="12" xr3:uid="{087948DD-430D-48F1-906D-4F4EF4B46053}" name="Regelwerk" dataDxfId="108"/>
    <tableColumn id="13" xr3:uid="{BF42D9C0-F77D-4971-A67E-32B0246C72C3}" name="Referenz" dataDxfId="107"/>
    <tableColumn id="19" xr3:uid="{AFFB84E8-B398-4E99-805B-9A247071A040}" name="Referenz Jahr" dataDxfId="106"/>
    <tableColumn id="20" xr3:uid="{0A59A474-DFBB-4437-8EFF-70284AFD9934}" name="Mindest Punktzahl" dataDxfId="105"/>
    <tableColumn id="21" xr3:uid="{198BD231-EEF3-43C9-AD9B-39B4B7E9B337}" name="Mindest Disziplinen" dataDxfId="104"/>
    <tableColumn id="14" xr3:uid="{443CD4F6-A2B2-480B-BB35-DCEEBC531727}" name="3-Kampf Regel" dataDxfId="103"/>
    <tableColumn id="15" xr3:uid="{70116160-7666-42B1-92AC-FAC2620E6A60}" name="Anzahl Nominierte" dataDxfId="102"/>
    <tableColumn id="16" xr3:uid="{0EFD0A46-D12B-4AB0-907C-08E5D9F282E0}" name="Anzahl Nachrücker" dataDxfId="101"/>
    <tableColumn id="17" xr3:uid="{AA5430A0-8ED8-40E8-B7F8-DA25E4E8790F}" name="Seiten Anzahl" dataDxfId="100"/>
    <tableColumn id="18" xr3:uid="{16F699D9-2741-43F3-AD5F-826A568EFEAC}" name="Absagen" dataDxfId="9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8" dataDxfId="97">
  <autoFilter ref="A1:U7" xr:uid="{CDBF6724-48A1-41AB-94B5-CC35C54BB15C}"/>
  <tableColumns count="21">
    <tableColumn id="1" xr3:uid="{E1FB3D0C-B874-4874-BACC-6872CF171957}" name="Tabellen Name" dataDxfId="96"/>
    <tableColumn id="2" xr3:uid="{FFDD2777-2097-450C-B020-F133CF643855}" name="Geschlecht" dataDxfId="95"/>
    <tableColumn id="3" xr3:uid="{8CF52BE2-8020-48BD-A36D-63F13A1878DE}" name="Mindest alter" dataDxfId="94"/>
    <tableColumn id="4" xr3:uid="{FD3A030F-CD97-4B6F-8E8C-BC2E67D79F1D}" name="Maximales Alter" dataDxfId="93"/>
    <tableColumn id="5" xr3:uid="{3E22B645-D77C-4509-B031-9914FCB91599}" name="Qualizeitraum anfang" dataDxfId="92"/>
    <tableColumn id="6" xr3:uid="{AE299324-3C1C-4063-ADF9-54555A161734}" name="Qualizeitraum Ende" dataDxfId="91"/>
    <tableColumn id="7" xr3:uid="{DCC178B3-11FC-4C53-BBC6-C2FDA2C89857}" name="Letzter Wettkampf am" dataDxfId="90"/>
    <tableColumn id="8" xr3:uid="{2811DB01-60A5-4BE4-B6F9-A806398A602A}" name="Wertung" dataDxfId="89"/>
    <tableColumn id="9" xr3:uid="{0C16DAFE-847D-4E9E-9604-3A7D9FE924D0}" name="Landesverband" dataDxfId="88"/>
    <tableColumn id="10" xr3:uid="{7A8A4101-A553-4BD5-9116-9AA5876B9401}" name="OMS" dataDxfId="87"/>
    <tableColumn id="11" xr3:uid="{9807C9BD-6499-45F6-ACE0-4D13D64EF675}" name="Pool-Länge" dataDxfId="86"/>
    <tableColumn id="12" xr3:uid="{13D336DD-650F-4F2C-836F-361CA1528F6D}" name="Regelwerk" dataDxfId="85"/>
    <tableColumn id="13" xr3:uid="{66660E2D-ADF2-4FB5-8A13-004F826EE908}" name="Referenz" dataDxfId="84"/>
    <tableColumn id="19" xr3:uid="{D72EDF8B-ECC3-4FF7-ABE6-B60BCE4A5E26}" name="Referenz Jahr" dataDxfId="83"/>
    <tableColumn id="20" xr3:uid="{7B18E667-70F7-4BC1-AB1B-21C019F2AA89}" name="Mindest Punktzahl" dataDxfId="82"/>
    <tableColumn id="21" xr3:uid="{FC185946-681B-42A6-AB1A-FC1EABB668C5}" name="Mindest Disziplinen" dataDxfId="81"/>
    <tableColumn id="14" xr3:uid="{6A2676FD-2EC7-4C41-A35E-A1597A38F932}" name="3-Kampf Regel" dataDxfId="80"/>
    <tableColumn id="15" xr3:uid="{718E0917-4F83-4A2B-832F-EBB16D5E21BF}" name="Anzahl Nominierte" dataDxfId="79"/>
    <tableColumn id="16" xr3:uid="{5C66A461-D647-4E00-A81C-FD7AD44D7CC2}" name="Anzahl Nachrücker" dataDxfId="78"/>
    <tableColumn id="17" xr3:uid="{D434BDEC-293B-4B4E-A5E9-479438960A03}" name="Seiten Anzahl" dataDxfId="77"/>
    <tableColumn id="18" xr3:uid="{80908229-9247-473F-81C0-9C9D4C12FF06}" name="Absagen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5" dataDxfId="74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3"/>
    <tableColumn id="2" xr3:uid="{6346FF3B-B334-4CD8-8B23-F2347E29C536}" name="Geschlecht" dataDxfId="72"/>
    <tableColumn id="3" xr3:uid="{E793B48A-BC8A-439F-8AAF-6FD08104A619}" name="Mindest Alter" dataDxfId="71"/>
    <tableColumn id="4" xr3:uid="{01A62C29-2F75-4107-A431-F69230BCCD0C}" name="Maximales Alter" dataDxfId="70"/>
    <tableColumn id="5" xr3:uid="{B7E4DE90-7856-4A0C-9063-61414D7F227C}" name="Qualizeitraum anfang" dataDxfId="69"/>
    <tableColumn id="6" xr3:uid="{B00F7CD1-82CB-42B9-A396-89F79EF419CA}" name="Qualizeitraum Ende" dataDxfId="68"/>
    <tableColumn id="7" xr3:uid="{9E50DDE5-12E3-4BCB-801C-FBABCE309F0E}" name="Letzter Wettkampf am" dataDxfId="67"/>
    <tableColumn id="8" xr3:uid="{57E68247-0FF2-48D8-8ACD-AB057E576A21}" name="Landesverband" dataDxfId="66"/>
    <tableColumn id="9" xr3:uid="{EBAA439D-F69A-4C2A-8193-9AE08F1E57B8}" name="OMS" dataDxfId="65"/>
    <tableColumn id="10" xr3:uid="{BBD11E7F-3DDF-428A-B005-4A40E6FA78DC}" name="Pool-Länge" dataDxfId="64"/>
    <tableColumn id="11" xr3:uid="{6AE38DCA-A084-4F3D-A6A4-4E76E3E2CBC6}" name="Regelwerk" dataDxfId="63"/>
    <tableColumn id="12" xr3:uid="{7F7470AD-5502-4CEE-BB4C-44BA308E61D7}" name="Seiten Anzahl" dataDxfId="62"/>
    <tableColumn id="13" xr3:uid="{F416CBFA-4C9D-45CD-9BA7-E4BC57A08BC2}" name="PZ1 - 50m Retten" dataDxfId="61"/>
    <tableColumn id="14" xr3:uid="{7117DBCA-0DA7-462C-84FE-0DC7E33B124C}" name="PZ1 - 100m Retten" dataDxfId="60"/>
    <tableColumn id="15" xr3:uid="{E8630E91-DC30-4822-9E53-6D65487C3670}" name="PZ1 - 100m Kombi" dataDxfId="59"/>
    <tableColumn id="16" xr3:uid="{4B3AA225-E042-430F-8259-D176887B4528}" name="PZ1 - 100m Lifesaver" dataDxfId="58"/>
    <tableColumn id="17" xr3:uid="{798674BD-98CE-4531-BDFF-6AB06253AD7C}" name="PZ1 - 200m Super-Lifesaver" dataDxfId="57"/>
    <tableColumn id="18" xr3:uid="{8809BB71-D58B-4E8B-A442-D0EB9A65A25D}" name="PZ1 - 200m Hindernis" dataDxfId="56"/>
    <tableColumn id="19" xr3:uid="{93DCF463-806B-4117-B4E3-1FFAE976B37C}" name="PZ2 - 50m Retten" dataDxfId="55"/>
    <tableColumn id="20" xr3:uid="{A514C961-559E-462F-B143-BA30974C0129}" name="PZ2 - 100m Retten" dataDxfId="54"/>
    <tableColumn id="21" xr3:uid="{F1CF6143-45FE-498D-93D6-36F26D2F3C0B}" name="PZ2 - 100m Kombi" dataDxfId="53"/>
    <tableColumn id="22" xr3:uid="{E90962FC-C214-467F-841F-40DF60E41456}" name="PZ2 - 100m Lifesaver" dataDxfId="52"/>
    <tableColumn id="23" xr3:uid="{7FBC6334-C4C8-4B38-9F59-30ED95A44379}" name="PZ2 - 200m Super-Lifesaver" dataDxfId="51"/>
    <tableColumn id="24" xr3:uid="{231BFF86-8F3A-4BA1-B25E-28175D9EDFA9}" name="PZ2 - 200m Hindernis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49" dataDxfId="48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7"/>
    <tableColumn id="2" xr3:uid="{733C1722-A9C9-4830-A9E2-FE62E96BCD98}" name="Geschlecht" dataDxfId="46"/>
    <tableColumn id="3" xr3:uid="{80C0BF46-0E43-4947-BF86-B808C324772A}" name="Mindest Alter" dataDxfId="45"/>
    <tableColumn id="4" xr3:uid="{DBA2A923-EEB7-43F9-A1A3-E78624448FB9}" name="Maximales Alter" dataDxfId="44"/>
    <tableColumn id="5" xr3:uid="{3FDEE18A-328D-45AE-907D-69A916A93345}" name="Qualizeitraum anfang" dataDxfId="43"/>
    <tableColumn id="6" xr3:uid="{BE002D7F-575F-4B60-9251-C71D93F59045}" name="Qualizeitraum Ende" dataDxfId="42"/>
    <tableColumn id="7" xr3:uid="{208ABD57-DE4B-41D6-B9FC-93F2D8966E8D}" name="Letzter Wettkampf am" dataDxfId="41"/>
    <tableColumn id="8" xr3:uid="{30C9697C-6550-4996-ADDB-7FEE5325B794}" name="Landesverband" dataDxfId="40"/>
    <tableColumn id="9" xr3:uid="{ED2DAB77-EF46-4D8B-B8E4-90412E32E277}" name="OMS" dataDxfId="39"/>
    <tableColumn id="10" xr3:uid="{AD534940-A91B-4A6E-9606-E3F3E517D401}" name="Pool-Länge" dataDxfId="38"/>
    <tableColumn id="11" xr3:uid="{11F9D5D5-72FE-42CA-8624-01D513B4140F}" name="Regelwerk" dataDxfId="37"/>
    <tableColumn id="12" xr3:uid="{3907872B-5438-4FBF-A045-3EF9EAACFC47}" name="Seiten Anzahl" dataDxfId="36"/>
    <tableColumn id="13" xr3:uid="{FC821324-3638-40C0-BA1E-069B44E23C7A}" name="PZ1 - 50m Retten" dataDxfId="35"/>
    <tableColumn id="14" xr3:uid="{70529619-443E-40D3-88C1-3E0F00BB2A50}" name="PZ1 - 100m Retten" dataDxfId="34"/>
    <tableColumn id="15" xr3:uid="{EFA92FD2-C23F-42B3-83DC-5036513F19AF}" name="PZ1 - 100m Kombi" dataDxfId="33"/>
    <tableColumn id="16" xr3:uid="{03309E52-8CF3-4E90-9EE6-A818901C3B32}" name="PZ1 - 100m Lifesaver" dataDxfId="32"/>
    <tableColumn id="17" xr3:uid="{00B22013-AA11-4C17-9250-22060AE4B0A8}" name="PZ1 - 200m Super-Lifesaver" dataDxfId="31"/>
    <tableColumn id="18" xr3:uid="{7E3508A9-0422-4561-A23E-53E613259B24}" name="PZ1 - 200m Hindernis" dataDxfId="30"/>
    <tableColumn id="19" xr3:uid="{5CEA435F-F34B-4D8D-88D0-F5EBFF18B713}" name="PZ2 - 50m Retten" dataDxfId="29"/>
    <tableColumn id="20" xr3:uid="{8585BE62-F7C4-4D5D-B287-052B43B08610}" name="PZ2 - 100m Retten" dataDxfId="28"/>
    <tableColumn id="21" xr3:uid="{D981758B-ADAD-4E36-B787-0B0FDA808CA2}" name="PZ2 - 100m Kombi" dataDxfId="27"/>
    <tableColumn id="22" xr3:uid="{1D4970A8-D22F-4962-934C-AEA295ED687A}" name="PZ2 - 100m Lifesaver" dataDxfId="26"/>
    <tableColumn id="23" xr3:uid="{BE394430-C58F-4690-9615-44475E5AF9F8}" name="PZ2 - 200m Super-Lifesaver" dataDxfId="25"/>
    <tableColumn id="24" xr3:uid="{A7036B1A-99CE-4F7C-AAB8-12E8B2696202}" name="PZ2 - 200m Hindernis" dataDxf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4" priority="19">
      <formula>B6&lt;&gt;B4</formula>
    </cfRule>
  </conditionalFormatting>
  <conditionalFormatting sqref="B7:G32">
    <cfRule type="expression" dxfId="3" priority="2">
      <formula>B7&lt;&gt;B6</formula>
    </cfRule>
  </conditionalFormatting>
  <conditionalFormatting sqref="H6:M6">
    <cfRule type="expression" dxfId="2" priority="20">
      <formula>H6&lt;&gt;H4</formula>
    </cfRule>
  </conditionalFormatting>
  <conditionalFormatting sqref="H7:M32">
    <cfRule type="expression" dxfId="1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zoomScale="83" workbookViewId="0">
      <selection activeCell="A15" sqref="A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235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236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270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4.4045138888888888E-4</v>
      </c>
      <c r="N4" s="62">
        <f>NK!E16</f>
        <v>6.9557175925925928E-4</v>
      </c>
      <c r="O4" s="62">
        <f>NK!E15</f>
        <v>9.4522916666666681E-4</v>
      </c>
      <c r="P4" s="62">
        <f>NK!E17</f>
        <v>7.884421296296295E-4</v>
      </c>
      <c r="Q4" s="62">
        <f>NK!E19</f>
        <v>1.961340277777778E-3</v>
      </c>
      <c r="R4" s="62">
        <f>NK!E18</f>
        <v>1.7914421296296294E-3</v>
      </c>
      <c r="S4" s="62">
        <f>M4</f>
        <v>4.4045138888888888E-4</v>
      </c>
      <c r="T4" s="62">
        <f t="shared" ref="T4:T9" si="0">N4</f>
        <v>6.9557175925925928E-4</v>
      </c>
      <c r="U4" s="62">
        <f t="shared" ref="U4:U9" si="1">O4</f>
        <v>9.4522916666666681E-4</v>
      </c>
      <c r="V4" s="62">
        <f t="shared" ref="V4:V9" si="2">P4</f>
        <v>7.884421296296295E-4</v>
      </c>
      <c r="W4" s="62">
        <f t="shared" ref="W4:W9" si="3">Q4</f>
        <v>1.961340277777778E-3</v>
      </c>
      <c r="X4" s="62">
        <f t="shared" ref="X4:X9" si="4">R4</f>
        <v>1.7914421296296294E-3</v>
      </c>
    </row>
    <row r="5" spans="1:24" x14ac:dyDescent="0.45">
      <c r="A5" s="59" t="s">
        <v>270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4.5424537037037037E-4</v>
      </c>
      <c r="N5" s="62">
        <f>NK!D16</f>
        <v>7.1551157407407403E-4</v>
      </c>
      <c r="O5" s="62">
        <f>NK!D15</f>
        <v>9.8333333333333324E-4</v>
      </c>
      <c r="P5" s="62">
        <f>NK!D17</f>
        <v>8.1876157407407407E-4</v>
      </c>
      <c r="Q5" s="62">
        <f>NK!D19</f>
        <v>2.0244374999999998E-3</v>
      </c>
      <c r="R5" s="62">
        <f>NK!D18</f>
        <v>1.8460717592592589E-3</v>
      </c>
      <c r="S5" s="62">
        <f t="shared" ref="S5:S9" si="5">M5</f>
        <v>4.5424537037037037E-4</v>
      </c>
      <c r="T5" s="62">
        <f t="shared" si="0"/>
        <v>7.1551157407407403E-4</v>
      </c>
      <c r="U5" s="62">
        <f t="shared" si="1"/>
        <v>9.8333333333333324E-4</v>
      </c>
      <c r="V5" s="62">
        <f t="shared" si="2"/>
        <v>8.1876157407407407E-4</v>
      </c>
      <c r="W5" s="62">
        <f t="shared" si="3"/>
        <v>2.0244374999999998E-3</v>
      </c>
      <c r="X5" s="62">
        <f t="shared" si="4"/>
        <v>1.8460717592592589E-3</v>
      </c>
    </row>
    <row r="6" spans="1:24" x14ac:dyDescent="0.45">
      <c r="A6" s="59" t="s">
        <v>270</v>
      </c>
      <c r="B6" s="59" t="s">
        <v>182</v>
      </c>
      <c r="C6" s="59">
        <v>13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4.6353240740740735E-4</v>
      </c>
      <c r="N6" s="62">
        <f>NK!C16</f>
        <v>7.2916898148148146E-4</v>
      </c>
      <c r="O6" s="62">
        <f>NK!C15</f>
        <v>1.0006782407407406E-3</v>
      </c>
      <c r="P6" s="62">
        <f>NK!C17</f>
        <v>8.3952083333333329E-4</v>
      </c>
      <c r="Q6" s="62">
        <f>NK!C19</f>
        <v>2.067458333333333E-3</v>
      </c>
      <c r="R6" s="62">
        <f>NK!C18</f>
        <v>1.8833564814814815E-3</v>
      </c>
      <c r="S6" s="62">
        <f t="shared" si="5"/>
        <v>4.6353240740740735E-4</v>
      </c>
      <c r="T6" s="62">
        <f t="shared" si="0"/>
        <v>7.2916898148148146E-4</v>
      </c>
      <c r="U6" s="62">
        <f t="shared" si="1"/>
        <v>1.0006782407407406E-3</v>
      </c>
      <c r="V6" s="62">
        <f t="shared" si="2"/>
        <v>8.3952083333333329E-4</v>
      </c>
      <c r="W6" s="62">
        <f t="shared" si="3"/>
        <v>2.067458333333333E-3</v>
      </c>
      <c r="X6" s="62">
        <f t="shared" si="4"/>
        <v>1.8833564814814815E-3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5.4694444444444441E-4</v>
      </c>
      <c r="N7" s="62">
        <f>NK!K16</f>
        <v>8.2777777777777786E-4</v>
      </c>
      <c r="O7" s="62">
        <f>NK!K15</f>
        <v>1.1216666666666666E-3</v>
      </c>
      <c r="P7" s="62">
        <f>NK!K17</f>
        <v>9.1791666666666671E-4</v>
      </c>
      <c r="Q7" s="62">
        <f>NK!K19</f>
        <v>2.1695833333333333E-3</v>
      </c>
      <c r="R7" s="62">
        <f>NK!K18</f>
        <v>1.9655555555555555E-3</v>
      </c>
      <c r="S7" s="62">
        <f t="shared" si="5"/>
        <v>5.4694444444444441E-4</v>
      </c>
      <c r="T7" s="62">
        <f t="shared" si="0"/>
        <v>8.2777777777777786E-4</v>
      </c>
      <c r="U7" s="62">
        <f t="shared" si="1"/>
        <v>1.1216666666666666E-3</v>
      </c>
      <c r="V7" s="62">
        <f t="shared" si="2"/>
        <v>9.1791666666666671E-4</v>
      </c>
      <c r="W7" s="62">
        <f t="shared" si="3"/>
        <v>2.1695833333333333E-3</v>
      </c>
      <c r="X7" s="62">
        <f t="shared" si="4"/>
        <v>1.9655555555555555E-3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5.6041666666666664E-4</v>
      </c>
      <c r="N8" s="62">
        <f>NK!J16</f>
        <v>8.4444444444444443E-4</v>
      </c>
      <c r="O8" s="62">
        <f>NK!J15</f>
        <v>1.1630555555555554E-3</v>
      </c>
      <c r="P8" s="62">
        <f>NK!J17</f>
        <v>9.3833333333333334E-4</v>
      </c>
      <c r="Q8" s="62">
        <f>NK!J19</f>
        <v>2.2183333333333334E-3</v>
      </c>
      <c r="R8" s="62">
        <f>NK!J18</f>
        <v>1.995416666666667E-3</v>
      </c>
      <c r="S8" s="62">
        <f t="shared" si="5"/>
        <v>5.6041666666666664E-4</v>
      </c>
      <c r="T8" s="62">
        <f t="shared" si="0"/>
        <v>8.4444444444444443E-4</v>
      </c>
      <c r="U8" s="62">
        <f t="shared" si="1"/>
        <v>1.1630555555555554E-3</v>
      </c>
      <c r="V8" s="62">
        <f t="shared" si="2"/>
        <v>9.3833333333333334E-4</v>
      </c>
      <c r="W8" s="62">
        <f t="shared" si="3"/>
        <v>2.2183333333333334E-3</v>
      </c>
      <c r="X8" s="62">
        <f t="shared" si="4"/>
        <v>1.995416666666667E-3</v>
      </c>
    </row>
    <row r="9" spans="1:24" x14ac:dyDescent="0.45">
      <c r="A9" s="59" t="s">
        <v>234</v>
      </c>
      <c r="B9" s="59" t="s">
        <v>164</v>
      </c>
      <c r="C9" s="59">
        <v>13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5.7291666666666667E-4</v>
      </c>
      <c r="N9" s="62">
        <f>NK!I16</f>
        <v>8.5972222222222222E-4</v>
      </c>
      <c r="O9" s="62">
        <f>NK!I15</f>
        <v>1.2043055555555557E-3</v>
      </c>
      <c r="P9" s="62">
        <f>NK!I17</f>
        <v>9.5722222222222226E-4</v>
      </c>
      <c r="Q9" s="62">
        <f>NK!I19</f>
        <v>2.2669444444444443E-3</v>
      </c>
      <c r="R9" s="62">
        <f>NK!I18</f>
        <v>2.0254166666666663E-3</v>
      </c>
      <c r="S9" s="62">
        <f t="shared" si="5"/>
        <v>5.7291666666666667E-4</v>
      </c>
      <c r="T9" s="62">
        <f t="shared" si="0"/>
        <v>8.5972222222222222E-4</v>
      </c>
      <c r="U9" s="62">
        <f t="shared" si="1"/>
        <v>1.2043055555555557E-3</v>
      </c>
      <c r="V9" s="62">
        <f t="shared" si="2"/>
        <v>9.5722222222222226E-4</v>
      </c>
      <c r="W9" s="62">
        <f t="shared" si="3"/>
        <v>2.2669444444444443E-3</v>
      </c>
      <c r="X9" s="62">
        <f t="shared" si="4"/>
        <v>2.0254166666666663E-3</v>
      </c>
    </row>
    <row r="10" spans="1:24" x14ac:dyDescent="0.45">
      <c r="A10" s="59" t="s">
        <v>271</v>
      </c>
      <c r="B10" s="59" t="s">
        <v>182</v>
      </c>
      <c r="C10" s="59">
        <v>13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4.2249999999999997E-4</v>
      </c>
      <c r="N10" s="62">
        <f>NK!$R$16</f>
        <v>6.6895833333333325E-4</v>
      </c>
      <c r="O10" s="62">
        <f>NK!$R$15</f>
        <v>9.0309374999999993E-4</v>
      </c>
      <c r="P10" s="62">
        <f>NK!$R$17</f>
        <v>7.5034374999999982E-4</v>
      </c>
      <c r="Q10" s="62">
        <f>NK!$R$19</f>
        <v>1.8793124999999999E-3</v>
      </c>
      <c r="R10" s="62">
        <f>NK!$R$18</f>
        <v>1.7196562499999998E-3</v>
      </c>
      <c r="S10" s="62">
        <f>M10</f>
        <v>4.2249999999999997E-4</v>
      </c>
      <c r="T10" s="62">
        <f t="shared" ref="T10:T15" si="6">N10</f>
        <v>6.6895833333333325E-4</v>
      </c>
      <c r="U10" s="62">
        <f t="shared" ref="U10:U15" si="7">O10</f>
        <v>9.0309374999999993E-4</v>
      </c>
      <c r="V10" s="62">
        <f t="shared" ref="V10:V15" si="8">P10</f>
        <v>7.5034374999999982E-4</v>
      </c>
      <c r="W10" s="62">
        <f t="shared" ref="W10:W15" si="9">Q10</f>
        <v>1.8793124999999999E-3</v>
      </c>
      <c r="X10" s="62">
        <f t="shared" ref="X10:X15" si="10">R10</f>
        <v>1.7196562499999998E-3</v>
      </c>
    </row>
    <row r="11" spans="1:24" x14ac:dyDescent="0.45">
      <c r="A11" s="59" t="s">
        <v>271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4.1044791666666665E-4</v>
      </c>
      <c r="N11" s="62">
        <f>NK!$S$16</f>
        <v>6.5121875E-4</v>
      </c>
      <c r="O11" s="62">
        <f>NK!$S$15</f>
        <v>8.7438541666666654E-4</v>
      </c>
      <c r="P11" s="62">
        <f>NK!$S$17</f>
        <v>7.2407291666666659E-4</v>
      </c>
      <c r="Q11" s="62">
        <f>NK!$S$19</f>
        <v>1.8610312499999998E-3</v>
      </c>
      <c r="R11" s="62">
        <f>NK!$S$18</f>
        <v>1.6714479166666668E-3</v>
      </c>
      <c r="S11" s="62">
        <f t="shared" ref="S11:S15" si="11">M11</f>
        <v>4.1044791666666665E-4</v>
      </c>
      <c r="T11" s="62">
        <f t="shared" si="6"/>
        <v>6.5121875E-4</v>
      </c>
      <c r="U11" s="62">
        <f t="shared" si="7"/>
        <v>8.7438541666666654E-4</v>
      </c>
      <c r="V11" s="62">
        <f t="shared" si="8"/>
        <v>7.2407291666666659E-4</v>
      </c>
      <c r="W11" s="62">
        <f t="shared" si="9"/>
        <v>1.8610312499999998E-3</v>
      </c>
      <c r="X11" s="62">
        <f t="shared" si="10"/>
        <v>1.6714479166666668E-3</v>
      </c>
    </row>
    <row r="12" spans="1:24" x14ac:dyDescent="0.45">
      <c r="A12" s="59" t="s">
        <v>271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3.9663541666666666E-4</v>
      </c>
      <c r="N12" s="62">
        <f>NK!$T$16</f>
        <v>6.3104166666666658E-4</v>
      </c>
      <c r="O12" s="62">
        <f>NK!$T$15</f>
        <v>8.4147916666666659E-4</v>
      </c>
      <c r="P12" s="62">
        <f>NK!$T$17</f>
        <v>6.9401041666666656E-4</v>
      </c>
      <c r="Q12" s="62">
        <f>NK!$T$19</f>
        <v>1.8044270833333334E-3</v>
      </c>
      <c r="R12" s="62">
        <f>NK!$T$18</f>
        <v>1.6164687499999999E-3</v>
      </c>
      <c r="S12" s="62">
        <f t="shared" si="11"/>
        <v>3.9663541666666666E-4</v>
      </c>
      <c r="T12" s="62">
        <f t="shared" si="6"/>
        <v>6.3104166666666658E-4</v>
      </c>
      <c r="U12" s="62">
        <f t="shared" si="7"/>
        <v>8.4147916666666659E-4</v>
      </c>
      <c r="V12" s="62">
        <f t="shared" si="8"/>
        <v>6.9401041666666656E-4</v>
      </c>
      <c r="W12" s="62">
        <f t="shared" si="9"/>
        <v>1.8044270833333334E-3</v>
      </c>
      <c r="X12" s="62">
        <f t="shared" si="10"/>
        <v>1.6164687499999999E-3</v>
      </c>
    </row>
    <row r="13" spans="1:24" x14ac:dyDescent="0.45">
      <c r="A13" s="59" t="s">
        <v>272</v>
      </c>
      <c r="B13" s="59" t="s">
        <v>164</v>
      </c>
      <c r="C13" s="59">
        <v>13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5.2475694444444445E-4</v>
      </c>
      <c r="N13" s="62">
        <f>NK!$X$16</f>
        <v>7.9925578703703712E-4</v>
      </c>
      <c r="O13" s="62">
        <f>NK!$X$15</f>
        <v>1.0714131944444443E-3</v>
      </c>
      <c r="P13" s="62">
        <f>NK!$X$17</f>
        <v>8.8368518518518505E-4</v>
      </c>
      <c r="Q13" s="62">
        <f>NK!$X$19</f>
        <v>2.103159722222222E-3</v>
      </c>
      <c r="R13" s="62">
        <f>NK!$X$18</f>
        <v>1.9194259259259262E-3</v>
      </c>
      <c r="S13" s="62">
        <f t="shared" si="11"/>
        <v>5.2475694444444445E-4</v>
      </c>
      <c r="T13" s="62">
        <f t="shared" si="6"/>
        <v>7.9925578703703712E-4</v>
      </c>
      <c r="U13" s="62">
        <f t="shared" si="7"/>
        <v>1.0714131944444443E-3</v>
      </c>
      <c r="V13" s="62">
        <f t="shared" si="8"/>
        <v>8.8368518518518505E-4</v>
      </c>
      <c r="W13" s="62">
        <f t="shared" si="9"/>
        <v>2.103159722222222E-3</v>
      </c>
      <c r="X13" s="62">
        <f t="shared" si="10"/>
        <v>1.9194259259259262E-3</v>
      </c>
    </row>
    <row r="14" spans="1:24" x14ac:dyDescent="0.45">
      <c r="A14" s="59" t="s">
        <v>272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5.0037847222222215E-4</v>
      </c>
      <c r="N14" s="62">
        <f>NK!$Y$16</f>
        <v>7.6867939814814811E-4</v>
      </c>
      <c r="O14" s="62">
        <f>NK!$Y$15</f>
        <v>1.0229317129629629E-3</v>
      </c>
      <c r="P14" s="62">
        <f>NK!$Y$17</f>
        <v>8.4649768518518516E-4</v>
      </c>
      <c r="Q14" s="62">
        <f>NK!$Y$19</f>
        <v>2.0437974537037035E-3</v>
      </c>
      <c r="R14" s="62">
        <f>NK!$Y$18</f>
        <v>1.8822384259259259E-3</v>
      </c>
      <c r="S14" s="62">
        <f t="shared" si="11"/>
        <v>5.0037847222222215E-4</v>
      </c>
      <c r="T14" s="62">
        <f t="shared" si="6"/>
        <v>7.6867939814814811E-4</v>
      </c>
      <c r="U14" s="62">
        <f t="shared" si="7"/>
        <v>1.0229317129629629E-3</v>
      </c>
      <c r="V14" s="62">
        <f t="shared" si="8"/>
        <v>8.4649768518518516E-4</v>
      </c>
      <c r="W14" s="62">
        <f t="shared" si="9"/>
        <v>2.0437974537037035E-3</v>
      </c>
      <c r="X14" s="62">
        <f t="shared" si="10"/>
        <v>1.8822384259259259E-3</v>
      </c>
    </row>
    <row r="15" spans="1:24" x14ac:dyDescent="0.45">
      <c r="A15" s="59" t="s">
        <v>272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4.8247337962962957E-4</v>
      </c>
      <c r="N15" s="62">
        <f>NK!$Z$16</f>
        <v>7.4636689814814813E-4</v>
      </c>
      <c r="O15" s="62">
        <f>NK!$Z$15</f>
        <v>9.8739699074074073E-4</v>
      </c>
      <c r="P15" s="62">
        <f>NK!$Z$17</f>
        <v>8.192268518518518E-4</v>
      </c>
      <c r="Q15" s="62">
        <f>NK!$Z$19</f>
        <v>2.0004120370370371E-3</v>
      </c>
      <c r="R15" s="62">
        <f>NK!$Z$18</f>
        <v>1.8551053240740739E-3</v>
      </c>
      <c r="S15" s="62">
        <f t="shared" si="11"/>
        <v>4.8247337962962957E-4</v>
      </c>
      <c r="T15" s="62">
        <f t="shared" si="6"/>
        <v>7.4636689814814813E-4</v>
      </c>
      <c r="U15" s="62">
        <f t="shared" si="7"/>
        <v>9.8739699074074073E-4</v>
      </c>
      <c r="V15" s="62">
        <f t="shared" si="8"/>
        <v>8.192268518518518E-4</v>
      </c>
      <c r="W15" s="62">
        <f t="shared" si="9"/>
        <v>2.0004120370370371E-3</v>
      </c>
      <c r="X15" s="62">
        <f t="shared" si="10"/>
        <v>1.8551053240740739E-3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>
    <tabColor theme="3"/>
  </sheetPr>
  <dimension ref="A1:H10"/>
  <sheetViews>
    <sheetView tabSelected="1" workbookViewId="0">
      <selection activeCell="F4" sqref="F4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240</v>
      </c>
      <c r="B1" t="s">
        <v>241</v>
      </c>
      <c r="C1" t="s">
        <v>242</v>
      </c>
      <c r="D1" t="s">
        <v>243</v>
      </c>
      <c r="E1" t="s">
        <v>244</v>
      </c>
      <c r="F1" t="s">
        <v>250</v>
      </c>
      <c r="G1" t="s">
        <v>246</v>
      </c>
      <c r="H1" t="s">
        <v>245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247</v>
      </c>
      <c r="F2" s="72" t="s">
        <v>251</v>
      </c>
      <c r="G2" t="s">
        <v>248</v>
      </c>
      <c r="H2" t="s">
        <v>249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252</v>
      </c>
      <c r="F3" s="72" t="s">
        <v>273</v>
      </c>
      <c r="G3" t="s">
        <v>248</v>
      </c>
      <c r="H3" t="s">
        <v>253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247</v>
      </c>
      <c r="F4" s="72" t="s">
        <v>251</v>
      </c>
      <c r="G4" t="s">
        <v>248</v>
      </c>
      <c r="H4" t="s">
        <v>249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252</v>
      </c>
      <c r="F5" s="72" t="s">
        <v>254</v>
      </c>
      <c r="G5" t="s">
        <v>248</v>
      </c>
      <c r="H5" t="s">
        <v>253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252</v>
      </c>
      <c r="F6" s="72" t="s">
        <v>255</v>
      </c>
      <c r="G6" t="s">
        <v>256</v>
      </c>
      <c r="H6" t="s">
        <v>253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247</v>
      </c>
      <c r="F7" s="72" t="s">
        <v>257</v>
      </c>
      <c r="G7" t="s">
        <v>248</v>
      </c>
      <c r="H7" t="s">
        <v>249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258</v>
      </c>
      <c r="F8" s="72" t="s">
        <v>259</v>
      </c>
      <c r="G8" t="s">
        <v>260</v>
      </c>
      <c r="H8" t="s">
        <v>253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261</v>
      </c>
      <c r="F9" s="72" t="s">
        <v>262</v>
      </c>
      <c r="G9" t="s">
        <v>263</v>
      </c>
      <c r="H9" t="s">
        <v>264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265</v>
      </c>
      <c r="F10" s="72" t="s">
        <v>266</v>
      </c>
      <c r="G10" t="s">
        <v>267</v>
      </c>
      <c r="H10" t="s">
        <v>268</v>
      </c>
    </row>
  </sheetData>
  <conditionalFormatting sqref="A2:H10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topLeftCell="N5" workbookViewId="0">
      <selection activeCell="AA19" sqref="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231</v>
      </c>
      <c r="W3" t="s">
        <v>232</v>
      </c>
    </row>
    <row r="4" spans="2:27" x14ac:dyDescent="0.45">
      <c r="B4" s="63" t="s">
        <v>222</v>
      </c>
      <c r="C4" s="66">
        <v>2011</v>
      </c>
      <c r="D4" s="66">
        <v>2010</v>
      </c>
      <c r="E4" s="66">
        <v>2009</v>
      </c>
      <c r="H4" s="63" t="s">
        <v>222</v>
      </c>
      <c r="I4" s="66">
        <v>2011</v>
      </c>
      <c r="J4" s="66">
        <v>2010</v>
      </c>
      <c r="K4" s="66">
        <v>2009</v>
      </c>
      <c r="Q4" s="63" t="s">
        <v>222</v>
      </c>
      <c r="R4" s="69" t="s">
        <v>237</v>
      </c>
      <c r="S4" s="69" t="s">
        <v>238</v>
      </c>
      <c r="T4" s="69" t="s">
        <v>239</v>
      </c>
      <c r="W4" s="63" t="s">
        <v>222</v>
      </c>
      <c r="X4" s="69" t="s">
        <v>237</v>
      </c>
      <c r="Y4" s="69" t="s">
        <v>238</v>
      </c>
      <c r="Z4" s="69" t="s">
        <v>239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223</v>
      </c>
      <c r="C6" s="65">
        <v>8.4803240740740737E-4</v>
      </c>
      <c r="D6" s="65">
        <v>8.3333333333333339E-4</v>
      </c>
      <c r="E6" s="65">
        <v>8.0104166666666681E-4</v>
      </c>
      <c r="H6" s="64" t="s">
        <v>223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223</v>
      </c>
      <c r="R6" s="65">
        <v>7.7187499999999999E-4</v>
      </c>
      <c r="S6" s="65">
        <v>7.4733796296296289E-4</v>
      </c>
      <c r="T6" s="65">
        <v>7.1921296296296295E-4</v>
      </c>
      <c r="W6" s="64" t="s">
        <v>223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224</v>
      </c>
      <c r="C7" s="65">
        <v>6.1793981481481487E-4</v>
      </c>
      <c r="D7" s="65">
        <v>6.0636574074074076E-4</v>
      </c>
      <c r="E7" s="65">
        <v>5.894675925925926E-4</v>
      </c>
      <c r="H7" s="64" t="s">
        <v>224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224</v>
      </c>
      <c r="R7" s="65">
        <v>5.7175925925925927E-4</v>
      </c>
      <c r="S7" s="65">
        <v>5.5659722222222222E-4</v>
      </c>
      <c r="T7" s="65">
        <v>5.3935185185185184E-4</v>
      </c>
      <c r="W7" s="64" t="s">
        <v>224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225</v>
      </c>
      <c r="C8" s="65">
        <v>7.1145833333333337E-4</v>
      </c>
      <c r="D8" s="65">
        <v>6.9386574074074077E-4</v>
      </c>
      <c r="E8" s="65">
        <v>6.6817129629629626E-4</v>
      </c>
      <c r="H8" s="64" t="s">
        <v>225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225</v>
      </c>
      <c r="R8" s="65">
        <v>6.4131944444444436E-4</v>
      </c>
      <c r="S8" s="65">
        <v>6.1886574074074068E-4</v>
      </c>
      <c r="T8" s="65">
        <v>5.9317129629629629E-4</v>
      </c>
      <c r="W8" s="64" t="s">
        <v>225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226</v>
      </c>
      <c r="C9" s="65">
        <v>1.5960648148148149E-3</v>
      </c>
      <c r="D9" s="65">
        <v>1.5644675925925923E-3</v>
      </c>
      <c r="E9" s="65">
        <v>1.5181712962962961E-3</v>
      </c>
      <c r="H9" s="64" t="s">
        <v>226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226</v>
      </c>
      <c r="R9" s="65">
        <v>1.4697916666666666E-3</v>
      </c>
      <c r="S9" s="65">
        <v>1.4285879629629631E-3</v>
      </c>
      <c r="T9" s="65">
        <v>1.3815972222222222E-3</v>
      </c>
      <c r="W9" s="64" t="s">
        <v>226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228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230</v>
      </c>
      <c r="H12" t="s">
        <v>230</v>
      </c>
      <c r="Q12" t="s">
        <v>233</v>
      </c>
      <c r="W12" t="s">
        <v>269</v>
      </c>
    </row>
    <row r="13" spans="2:27" x14ac:dyDescent="0.45">
      <c r="B13" s="63" t="s">
        <v>222</v>
      </c>
      <c r="C13" s="66">
        <v>2011</v>
      </c>
      <c r="D13" s="66">
        <v>2010</v>
      </c>
      <c r="E13" s="66">
        <v>2009</v>
      </c>
      <c r="H13" s="63" t="s">
        <v>222</v>
      </c>
      <c r="I13" s="66">
        <v>2011</v>
      </c>
      <c r="J13" s="66">
        <v>2010</v>
      </c>
      <c r="K13" s="66">
        <v>2009</v>
      </c>
      <c r="Q13" s="63" t="s">
        <v>222</v>
      </c>
      <c r="R13" s="69" t="s">
        <v>237</v>
      </c>
      <c r="S13" s="69" t="s">
        <v>238</v>
      </c>
      <c r="T13" s="69" t="s">
        <v>239</v>
      </c>
      <c r="W13" s="63" t="s">
        <v>222</v>
      </c>
      <c r="X13" s="69" t="s">
        <v>237</v>
      </c>
      <c r="Y13" s="69" t="s">
        <v>238</v>
      </c>
      <c r="Z13" s="69" t="s">
        <v>239</v>
      </c>
    </row>
    <row r="14" spans="2:27" x14ac:dyDescent="0.45">
      <c r="B14" s="64" t="s">
        <v>0</v>
      </c>
      <c r="C14" s="65">
        <f>C5*$F14</f>
        <v>4.6353240740740735E-4</v>
      </c>
      <c r="D14" s="65">
        <f t="shared" ref="D14:E14" si="0">D5*$F14</f>
        <v>4.5424537037037037E-4</v>
      </c>
      <c r="E14" s="65">
        <f t="shared" si="0"/>
        <v>4.4045138888888888E-4</v>
      </c>
      <c r="F14">
        <v>1.18</v>
      </c>
      <c r="H14" s="64" t="s">
        <v>0</v>
      </c>
      <c r="I14" s="65">
        <f>I5*$L14</f>
        <v>5.7291666666666667E-4</v>
      </c>
      <c r="J14" s="65">
        <f t="shared" ref="J14:K14" si="1">J5*$L14</f>
        <v>5.6041666666666664E-4</v>
      </c>
      <c r="K14" s="65">
        <f t="shared" si="1"/>
        <v>5.4694444444444441E-4</v>
      </c>
      <c r="L14">
        <v>1.2</v>
      </c>
      <c r="Q14" s="64" t="s">
        <v>0</v>
      </c>
      <c r="R14" s="65">
        <f t="shared" ref="R14:T19" si="2">R5*$U14</f>
        <v>4.2249999999999997E-4</v>
      </c>
      <c r="S14" s="65">
        <f t="shared" si="2"/>
        <v>4.1044791666666665E-4</v>
      </c>
      <c r="T14" s="65">
        <f t="shared" si="2"/>
        <v>3.9663541666666666E-4</v>
      </c>
      <c r="U14">
        <v>1.17</v>
      </c>
      <c r="W14" s="64" t="s">
        <v>0</v>
      </c>
      <c r="X14" s="65">
        <f>X5*$AA14</f>
        <v>5.2475694444444445E-4</v>
      </c>
      <c r="Y14" s="65">
        <f t="shared" ref="Y14:Z14" si="3">Y5*$AA14</f>
        <v>5.0037847222222215E-4</v>
      </c>
      <c r="Z14" s="65">
        <f t="shared" si="3"/>
        <v>4.8247337962962957E-4</v>
      </c>
      <c r="AA14">
        <v>1.19</v>
      </c>
    </row>
    <row r="15" spans="2:27" x14ac:dyDescent="0.45">
      <c r="B15" s="64" t="s">
        <v>223</v>
      </c>
      <c r="C15" s="65">
        <f t="shared" ref="C15:E15" si="4">C6*$F15</f>
        <v>1.0006782407407406E-3</v>
      </c>
      <c r="D15" s="65">
        <f t="shared" si="4"/>
        <v>9.8333333333333324E-4</v>
      </c>
      <c r="E15" s="65">
        <f t="shared" si="4"/>
        <v>9.4522916666666681E-4</v>
      </c>
      <c r="F15">
        <v>1.18</v>
      </c>
      <c r="H15" s="64" t="s">
        <v>223</v>
      </c>
      <c r="I15" s="65">
        <f t="shared" ref="I15:K15" si="5">I6*$L15</f>
        <v>1.2043055555555557E-3</v>
      </c>
      <c r="J15" s="65">
        <f t="shared" si="5"/>
        <v>1.1630555555555554E-3</v>
      </c>
      <c r="K15" s="65">
        <f t="shared" si="5"/>
        <v>1.1216666666666666E-3</v>
      </c>
      <c r="L15">
        <v>1.2</v>
      </c>
      <c r="Q15" s="64" t="s">
        <v>223</v>
      </c>
      <c r="R15" s="65">
        <f t="shared" si="2"/>
        <v>9.0309374999999993E-4</v>
      </c>
      <c r="S15" s="65">
        <f t="shared" si="2"/>
        <v>8.7438541666666654E-4</v>
      </c>
      <c r="T15" s="65">
        <f t="shared" si="2"/>
        <v>8.4147916666666659E-4</v>
      </c>
      <c r="U15">
        <v>1.17</v>
      </c>
      <c r="W15" s="64" t="s">
        <v>223</v>
      </c>
      <c r="X15" s="65">
        <f t="shared" ref="X15:Z15" si="6">X6*$AA15</f>
        <v>1.0714131944444443E-3</v>
      </c>
      <c r="Y15" s="65">
        <f t="shared" si="6"/>
        <v>1.0229317129629629E-3</v>
      </c>
      <c r="Z15" s="65">
        <f t="shared" si="6"/>
        <v>9.8739699074074073E-4</v>
      </c>
      <c r="AA15">
        <v>1.19</v>
      </c>
    </row>
    <row r="16" spans="2:27" x14ac:dyDescent="0.45">
      <c r="B16" s="64" t="s">
        <v>224</v>
      </c>
      <c r="C16" s="65">
        <f t="shared" ref="C16:E16" si="7">C7*$F16</f>
        <v>7.2916898148148146E-4</v>
      </c>
      <c r="D16" s="65">
        <f t="shared" si="7"/>
        <v>7.1551157407407403E-4</v>
      </c>
      <c r="E16" s="65">
        <f t="shared" si="7"/>
        <v>6.9557175925925928E-4</v>
      </c>
      <c r="F16">
        <v>1.18</v>
      </c>
      <c r="H16" s="64" t="s">
        <v>224</v>
      </c>
      <c r="I16" s="65">
        <f t="shared" ref="I16:K16" si="8">I7*$L16</f>
        <v>8.5972222222222222E-4</v>
      </c>
      <c r="J16" s="65">
        <f t="shared" si="8"/>
        <v>8.4444444444444443E-4</v>
      </c>
      <c r="K16" s="65">
        <f t="shared" si="8"/>
        <v>8.2777777777777786E-4</v>
      </c>
      <c r="L16">
        <v>1.2</v>
      </c>
      <c r="Q16" s="64" t="s">
        <v>224</v>
      </c>
      <c r="R16" s="65">
        <f t="shared" si="2"/>
        <v>6.6895833333333325E-4</v>
      </c>
      <c r="S16" s="65">
        <f t="shared" si="2"/>
        <v>6.5121875E-4</v>
      </c>
      <c r="T16" s="65">
        <f t="shared" si="2"/>
        <v>6.3104166666666658E-4</v>
      </c>
      <c r="U16">
        <v>1.17</v>
      </c>
      <c r="W16" s="64" t="s">
        <v>224</v>
      </c>
      <c r="X16" s="65">
        <f t="shared" ref="X16:Z16" si="9">X7*$AA16</f>
        <v>7.9925578703703712E-4</v>
      </c>
      <c r="Y16" s="65">
        <f>Y7*$AA16</f>
        <v>7.6867939814814811E-4</v>
      </c>
      <c r="Z16" s="65">
        <f t="shared" si="9"/>
        <v>7.4636689814814813E-4</v>
      </c>
      <c r="AA16">
        <v>1.19</v>
      </c>
    </row>
    <row r="17" spans="2:27" ht="14.25" customHeight="1" x14ac:dyDescent="0.45">
      <c r="B17" s="64" t="s">
        <v>225</v>
      </c>
      <c r="C17" s="65">
        <f t="shared" ref="C17:E17" si="10">C8*$F17</f>
        <v>8.3952083333333329E-4</v>
      </c>
      <c r="D17" s="65">
        <f t="shared" si="10"/>
        <v>8.1876157407407407E-4</v>
      </c>
      <c r="E17" s="65">
        <f t="shared" si="10"/>
        <v>7.884421296296295E-4</v>
      </c>
      <c r="F17">
        <v>1.18</v>
      </c>
      <c r="H17" s="64" t="s">
        <v>225</v>
      </c>
      <c r="I17" s="65">
        <f t="shared" ref="I17:K17" si="11">I8*$L17</f>
        <v>9.5722222222222226E-4</v>
      </c>
      <c r="J17" s="65">
        <f t="shared" si="11"/>
        <v>9.3833333333333334E-4</v>
      </c>
      <c r="K17" s="65">
        <f t="shared" si="11"/>
        <v>9.1791666666666671E-4</v>
      </c>
      <c r="L17">
        <v>1.2</v>
      </c>
      <c r="Q17" s="64" t="s">
        <v>225</v>
      </c>
      <c r="R17" s="65">
        <f t="shared" si="2"/>
        <v>7.5034374999999982E-4</v>
      </c>
      <c r="S17" s="65">
        <f t="shared" si="2"/>
        <v>7.2407291666666659E-4</v>
      </c>
      <c r="T17" s="65">
        <f t="shared" si="2"/>
        <v>6.9401041666666656E-4</v>
      </c>
      <c r="U17">
        <v>1.17</v>
      </c>
      <c r="W17" s="64" t="s">
        <v>225</v>
      </c>
      <c r="X17" s="65">
        <f t="shared" ref="X17:Z17" si="12">X8*$AA17</f>
        <v>8.8368518518518505E-4</v>
      </c>
      <c r="Y17" s="65">
        <f>Y8*$AA17</f>
        <v>8.4649768518518516E-4</v>
      </c>
      <c r="Z17" s="65">
        <f t="shared" si="12"/>
        <v>8.192268518518518E-4</v>
      </c>
      <c r="AA17">
        <v>1.19</v>
      </c>
    </row>
    <row r="18" spans="2:27" x14ac:dyDescent="0.45">
      <c r="B18" s="64" t="s">
        <v>226</v>
      </c>
      <c r="C18" s="65">
        <f t="shared" ref="C18:E18" si="13">C9*$F18</f>
        <v>1.8833564814814815E-3</v>
      </c>
      <c r="D18" s="65">
        <f t="shared" si="13"/>
        <v>1.8460717592592589E-3</v>
      </c>
      <c r="E18" s="65">
        <f t="shared" si="13"/>
        <v>1.7914421296296294E-3</v>
      </c>
      <c r="F18">
        <v>1.18</v>
      </c>
      <c r="H18" s="64" t="s">
        <v>226</v>
      </c>
      <c r="I18" s="65">
        <f t="shared" ref="I18:K18" si="14">I9*$L18</f>
        <v>2.0254166666666663E-3</v>
      </c>
      <c r="J18" s="65">
        <f t="shared" si="14"/>
        <v>1.995416666666667E-3</v>
      </c>
      <c r="K18" s="65">
        <f t="shared" si="14"/>
        <v>1.9655555555555555E-3</v>
      </c>
      <c r="L18">
        <v>1.2</v>
      </c>
      <c r="Q18" s="64" t="s">
        <v>226</v>
      </c>
      <c r="R18" s="65">
        <f t="shared" si="2"/>
        <v>1.7196562499999998E-3</v>
      </c>
      <c r="S18" s="65">
        <f t="shared" si="2"/>
        <v>1.6714479166666668E-3</v>
      </c>
      <c r="T18" s="65">
        <f t="shared" si="2"/>
        <v>1.6164687499999999E-3</v>
      </c>
      <c r="U18">
        <v>1.17</v>
      </c>
      <c r="W18" s="64" t="s">
        <v>226</v>
      </c>
      <c r="X18" s="65">
        <f t="shared" ref="X18:Z18" si="15">X9*$AA18</f>
        <v>1.9194259259259262E-3</v>
      </c>
      <c r="Y18" s="65">
        <f t="shared" si="15"/>
        <v>1.8822384259259259E-3</v>
      </c>
      <c r="Z18" s="65">
        <f t="shared" si="15"/>
        <v>1.8551053240740739E-3</v>
      </c>
      <c r="AA18">
        <v>1.19</v>
      </c>
    </row>
    <row r="19" spans="2:27" x14ac:dyDescent="0.45">
      <c r="B19" s="64" t="s">
        <v>4</v>
      </c>
      <c r="C19" s="65">
        <f t="shared" ref="C19:E19" si="16">C10*$F19</f>
        <v>2.067458333333333E-3</v>
      </c>
      <c r="D19" s="65">
        <f t="shared" si="16"/>
        <v>2.0244374999999998E-3</v>
      </c>
      <c r="E19" s="65">
        <f t="shared" si="16"/>
        <v>1.961340277777778E-3</v>
      </c>
      <c r="F19">
        <v>1.18</v>
      </c>
      <c r="H19" s="64" t="s">
        <v>4</v>
      </c>
      <c r="I19" s="65">
        <f t="shared" ref="I19:K19" si="17">I10*$L19</f>
        <v>2.2669444444444443E-3</v>
      </c>
      <c r="J19" s="65">
        <f t="shared" si="17"/>
        <v>2.2183333333333334E-3</v>
      </c>
      <c r="K19" s="65">
        <f t="shared" si="17"/>
        <v>2.1695833333333333E-3</v>
      </c>
      <c r="L19">
        <v>1.2</v>
      </c>
      <c r="Q19" s="64" t="s">
        <v>4</v>
      </c>
      <c r="R19" s="65">
        <f t="shared" si="2"/>
        <v>1.8793124999999999E-3</v>
      </c>
      <c r="S19" s="65">
        <f t="shared" si="2"/>
        <v>1.8610312499999998E-3</v>
      </c>
      <c r="T19" s="65">
        <f t="shared" si="2"/>
        <v>1.8044270833333334E-3</v>
      </c>
      <c r="U19">
        <v>1.17</v>
      </c>
      <c r="W19" s="64" t="s">
        <v>4</v>
      </c>
      <c r="X19" s="65">
        <f t="shared" ref="X19:Z19" si="18">X10*$AA19</f>
        <v>2.103159722222222E-3</v>
      </c>
      <c r="Y19" s="65">
        <f t="shared" si="18"/>
        <v>2.0437974537037035E-3</v>
      </c>
      <c r="Z19" s="65">
        <f t="shared" si="18"/>
        <v>2.0004120370370371E-3</v>
      </c>
      <c r="AA19">
        <v>1.19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3" t="s">
        <v>14</v>
      </c>
      <c r="B14" s="73"/>
      <c r="C14" s="73"/>
      <c r="D14" s="73"/>
      <c r="E14" s="73"/>
      <c r="F14" s="73"/>
      <c r="G14"/>
      <c r="H14" s="75" t="s">
        <v>35</v>
      </c>
      <c r="I14" s="75"/>
      <c r="J14" s="75"/>
      <c r="L14" s="75" t="s">
        <v>36</v>
      </c>
      <c r="M14"/>
      <c r="N14"/>
    </row>
    <row r="15" spans="1:14" ht="15" customHeight="1" x14ac:dyDescent="0.45">
      <c r="A15" s="73"/>
      <c r="B15" s="73"/>
      <c r="C15" s="73"/>
      <c r="D15" s="73"/>
      <c r="E15" s="73"/>
      <c r="F15" s="73"/>
      <c r="G15"/>
      <c r="H15" s="75"/>
      <c r="I15" s="75"/>
      <c r="J15" s="75"/>
      <c r="L15" s="7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2026-02-05T20:20:54Z</dcterms:modified>
</cp:coreProperties>
</file>