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A607183-7DF8-4859-868F-C02CBAB4CEFF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<sst xmlns="http://schemas.openxmlformats.org/spreadsheetml/2006/main" count="670" uniqueCount="236">
  <si>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</si>
  <si>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</si>
  <si>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</si>
  <si>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</si>
  <si>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</si>
  <si>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</si>
  <si>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</si>
  <si>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</si>
  <si>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</si>
  <si>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</si>
  <si>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</si>
  <si>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</si>
  <si>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</si>
  <si>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</si>
  <si>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</si>
  <si>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</si>
  <si>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</si>
  <si>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</si>
  <si>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</si>
  <si>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</si>
  <si>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</si>
  <si>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</si>
  <si>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</si>
  <si>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</si>
  <si>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</si>
  <si>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</si>
  <si>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</si>
  <si>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</si>
  <si>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</si>
  <si>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</si>
  <si>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</si>
  <si>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</si>
  <si>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</si>
  <si>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</si>
  <si>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</si>
  <si>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</si>
  <si>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</si>
  <si>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</si>
  <si>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</si>
  <si>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</si>
  <si>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</si>
  <si>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</si>
  <si>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</si>
  <si>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</si>
  <si>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</si>
  <si>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</si>
  <si>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</si>
  <si>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</si>
  <si>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</si>
  <si>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</si>
  <si>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</si>
  <si>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</si>
  <si>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</si>
  <si>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</si>
  <si>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</si>
  <si>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</si>
  <si>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</si>
  <si>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</si>
  <si>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</si>
  <si>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</si>
  <si>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</si>
  <si>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</si>
  <si>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</si>
  <si>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</si>
  <si>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</si>
  <si>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</si>
  <si>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</si>
  <si>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</si>
  <si>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</si>
  <si>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</si>
  <si>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</si>
  <si>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</si>
  <si>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</si>
  <si>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</si>
  <si>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</si>
  <si>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</si>
  <si>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</si>
  <si>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</si>
  <si>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</si>
  <si>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</si>
  <si>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</si>
  <si>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</si>
  <si>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</si>
  <si>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</si>
  <si>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</si>
  <si>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</si>
  <si>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</si>
  <si>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</si>
  <si>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</si>
  <si>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</si>
  <si>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</si>
  <si>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</si>
  <si>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</si>
  <si>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</si>
  <si>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</si>
  <si>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</si>
  <si>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</si>
  <si>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</si>
  <si>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</si>
  <si>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</si>
  <si>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</si>
  <si>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</si>
  <si>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</si>
  <si>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</si>
  <si>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</si>
  <si>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</si>
  <si>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</si>
  <si>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</si>
  <si>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</si>
  <si>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</si>
  <si>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</si>
  <si>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</si>
  <si>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</si>
  <si>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</si>
  <si>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</si>
  <si>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</si>
  <si>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</si>
  <si>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</si>
  <si>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</si>
  <si>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</si>
  <si>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</si>
  <si>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</si>
  <si>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</si>
  <si>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</si>
  <si>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</si>
  <si>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</si>
  <si>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</si>
  <si>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</si>
  <si>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</si>
  <si>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</si>
  <si>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</si>
  <si>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</si>
  <si>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</si>
  <si>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</si>
  <si>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</si>
  <si>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</si>
  <si>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</si>
  <si>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</si>
  <si>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</si>
  <si>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</si>
  <si>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</si>
  <si>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</si>
  <si>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</si>
  <si>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</si>
  <si>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</si>
  <si>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</si>
  <si>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</si>
  <si>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</si>
  <si>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</si>
  <si>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</si>
  <si>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</si>
  <si>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</si>
  <si>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</si>
  <si>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</si>
  <si>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</si>
  <si>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</si>
  <si>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</si>
  <si>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</si>
  <si>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</si>
  <si>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</si>
  <si>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</si>
  <si>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</si>
  <si>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</si>
  <si>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</si>
  <si>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</si>
  <si>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</si>
  <si>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</si>
  <si>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</si>
  <si>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</si>
  <si>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</si>
  <si>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</si>
  <si>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</si>
  <si>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</si>
  <si>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</si>
  <si>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</si>
  <si>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</si>
  <si>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</si>
  <si>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</si>
  <si>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</si>
  <si>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</si>
  <si>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</si>
  <si>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</si>
  <si>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</si>
  <si>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</si>
  <si>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</si>
  <si>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</si>
  <si>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</si>
  <si>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</si>
  <si>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</si>
  <si>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</si>
  <si>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</si>
  <si>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</si>
  <si>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</si>
  <si>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</si>
  <si>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</si>
  <si>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</si>
  <si>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</si>
  <si>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</si>
  <si>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</si>
  <si>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</si>
  <si>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</si>
  <si>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</si>
  <si>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</si>
  <si>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</si>
  <si>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</si>
  <si>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</si>
  <si>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</si>
  <si>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</si>
  <si>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</si>
  <si>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</si>
  <si>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</si>
  <si>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</si>
  <si>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</si>
  <si>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</si>
  <si>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</si>
  <si>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</si>
  <si>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</si>
  <si>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</si>
  <si>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</si>
  <si>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</si>
  <si>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</si>
  <si>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</si>
  <si>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</si>
  <si>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</si>
  <si>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</si>
  <si>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</si>
  <si>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</si>
  <si>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</si>
  <si>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</si>
  <si>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</si>
  <si>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</si>
  <si>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</si>
  <si>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</si>
  <si>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</si>
  <si>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+12,5% Mäner</t>
  </si>
  <si>
    <t>NK2 +12,5%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</si>
</sst>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I10" sqref="I10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4.1197916666666667E-4</v>
      </c>
      <c r="N4" s="62">
        <f>Tabelle1!E16</f>
        <v>6.5169270833333333E-4</v>
      </c>
      <c r="O4" s="62">
        <f>Tabelle1!E15</f>
        <v>8.8528645833333319E-4</v>
      </c>
      <c r="P4" s="62">
        <f>Tabelle1!E17</f>
        <v>7.4244791666666665E-4</v>
      </c>
      <c r="Q4" s="62">
        <f>Tabelle1!E19</f>
        <v>1.8355468749999999E-3</v>
      </c>
      <c r="R4" s="62">
        <f>Tabelle1!E18</f>
        <v>1.6794270833333331E-3</v>
      </c>
      <c r="S4" s="62">
        <f>M4</f>
        <v>4.1197916666666667E-4</v>
      </c>
      <c r="T4" s="62">
        <f t="shared" ref="T4:T9" si="0">N4</f>
        <v>6.5169270833333333E-4</v>
      </c>
      <c r="U4" s="62">
        <f t="shared" ref="U4:U9" si="1">O4</f>
        <v>8.8528645833333319E-4</v>
      </c>
      <c r="V4" s="62">
        <f t="shared" ref="V4:V9" si="2">P4</f>
        <v>7.4244791666666665E-4</v>
      </c>
      <c r="W4" s="62">
        <f t="shared" ref="W4:W9" si="3">Q4</f>
        <v>1.8355468749999999E-3</v>
      </c>
      <c r="X4" s="62">
        <f t="shared" ref="X4:X9" si="4">R4</f>
        <v>1.6794270833333331E-3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4.1653645833333332E-4</v>
      </c>
      <c r="N5" s="62">
        <f>Tabelle1!D16</f>
        <v>6.5807291666666672E-4</v>
      </c>
      <c r="O5" s="62">
        <f>Tabelle1!D15</f>
        <v>8.981770833333334E-4</v>
      </c>
      <c r="P5" s="62">
        <f>Tabelle1!D17</f>
        <v>7.5846354166666673E-4</v>
      </c>
      <c r="Q5" s="62">
        <f>Tabelle1!D19</f>
        <v>1.8572916666666664E-3</v>
      </c>
      <c r="R5" s="62">
        <f>Tabelle1!D18</f>
        <v>1.69921875E-3</v>
      </c>
      <c r="S5" s="62">
        <f t="shared" ref="S5:S9" si="5">M5</f>
        <v>4.1653645833333332E-4</v>
      </c>
      <c r="T5" s="62">
        <f t="shared" si="0"/>
        <v>6.5807291666666672E-4</v>
      </c>
      <c r="U5" s="62">
        <f t="shared" si="1"/>
        <v>8.981770833333334E-4</v>
      </c>
      <c r="V5" s="62">
        <f t="shared" si="2"/>
        <v>7.5846354166666673E-4</v>
      </c>
      <c r="W5" s="62">
        <f t="shared" si="3"/>
        <v>1.8572916666666664E-3</v>
      </c>
      <c r="X5" s="62">
        <f t="shared" si="4"/>
        <v>1.69921875E-3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4.2057291666666664E-4</v>
      </c>
      <c r="N6" s="62">
        <f>Tabelle1!C16</f>
        <v>6.6406250000000005E-4</v>
      </c>
      <c r="O6" s="62">
        <f>Tabelle1!C15</f>
        <v>9.1015625000000016E-4</v>
      </c>
      <c r="P6" s="62">
        <f>Tabelle1!C17</f>
        <v>7.731770833333334E-4</v>
      </c>
      <c r="Q6" s="62">
        <f>Tabelle1!C19</f>
        <v>1.8774739583333334E-3</v>
      </c>
      <c r="R6" s="62">
        <f>Tabelle1!C18</f>
        <v>1.7174479166666668E-3</v>
      </c>
      <c r="S6" s="62">
        <f t="shared" si="5"/>
        <v>4.2057291666666664E-4</v>
      </c>
      <c r="T6" s="62">
        <f t="shared" si="0"/>
        <v>6.6406250000000005E-4</v>
      </c>
      <c r="U6" s="62">
        <f t="shared" si="1"/>
        <v>9.1015625000000016E-4</v>
      </c>
      <c r="V6" s="62">
        <f t="shared" si="2"/>
        <v>7.731770833333334E-4</v>
      </c>
      <c r="W6" s="62">
        <f t="shared" si="3"/>
        <v>1.8774739583333334E-3</v>
      </c>
      <c r="X6" s="62">
        <f t="shared" si="4"/>
        <v>1.7174479166666668E-3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5.096354166666667E-4</v>
      </c>
      <c r="N7" s="62">
        <f>Tabelle1!K16</f>
        <v>7.6692708333333333E-4</v>
      </c>
      <c r="O7" s="62">
        <f>Tabelle1!K15</f>
        <v>1.0372395833333334E-3</v>
      </c>
      <c r="P7" s="62">
        <f>Tabelle1!K17</f>
        <v>8.5182291666666664E-4</v>
      </c>
      <c r="Q7" s="62">
        <f>Tabelle1!K19</f>
        <v>2.0078124999999996E-3</v>
      </c>
      <c r="R7" s="62">
        <f>Tabelle1!K18</f>
        <v>1.8236979166666666E-3</v>
      </c>
      <c r="S7" s="62">
        <f t="shared" si="5"/>
        <v>5.096354166666667E-4</v>
      </c>
      <c r="T7" s="62">
        <f t="shared" si="0"/>
        <v>7.6692708333333333E-4</v>
      </c>
      <c r="U7" s="62">
        <f t="shared" si="1"/>
        <v>1.0372395833333334E-3</v>
      </c>
      <c r="V7" s="62">
        <f t="shared" si="2"/>
        <v>8.5182291666666664E-4</v>
      </c>
      <c r="W7" s="62">
        <f t="shared" si="3"/>
        <v>2.0078124999999996E-3</v>
      </c>
      <c r="X7" s="62">
        <f t="shared" si="4"/>
        <v>1.8236979166666666E-3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5.1992187499999998E-4</v>
      </c>
      <c r="N8" s="62">
        <f>Tabelle1!J16</f>
        <v>7.7565104166666668E-4</v>
      </c>
      <c r="O8" s="62">
        <f>Tabelle1!J15</f>
        <v>1.0558593750000002E-3</v>
      </c>
      <c r="P8" s="62">
        <f>Tabelle1!J17</f>
        <v>8.6432291666666656E-4</v>
      </c>
      <c r="Q8" s="62">
        <f>Tabelle1!J19</f>
        <v>2.0226562500000001E-3</v>
      </c>
      <c r="R8" s="62">
        <f>Tabelle1!J18</f>
        <v>1.8305989583333334E-3</v>
      </c>
      <c r="S8" s="62">
        <f t="shared" si="5"/>
        <v>5.1992187499999998E-4</v>
      </c>
      <c r="T8" s="62">
        <f t="shared" si="0"/>
        <v>7.7565104166666668E-4</v>
      </c>
      <c r="U8" s="62">
        <f t="shared" si="1"/>
        <v>1.0558593750000002E-3</v>
      </c>
      <c r="V8" s="62">
        <f t="shared" si="2"/>
        <v>8.6432291666666656E-4</v>
      </c>
      <c r="W8" s="62">
        <f t="shared" si="3"/>
        <v>2.0226562500000001E-3</v>
      </c>
      <c r="X8" s="62">
        <f t="shared" si="4"/>
        <v>1.8305989583333334E-3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5.2968749999999999E-4</v>
      </c>
      <c r="N9" s="62">
        <f>Tabelle1!I16</f>
        <v>7.8372395833333332E-4</v>
      </c>
      <c r="O9" s="62">
        <f>Tabelle1!I15</f>
        <v>1.073046875E-3</v>
      </c>
      <c r="P9" s="62">
        <f>Tabelle1!I17</f>
        <v>8.7578125000000004E-4</v>
      </c>
      <c r="Q9" s="62">
        <f>Tabelle1!I19</f>
        <v>2.0364583333333333E-3</v>
      </c>
      <c r="R9" s="62">
        <f>Tabelle1!I18</f>
        <v>1.8369791666666664E-3</v>
      </c>
      <c r="S9" s="62">
        <f t="shared" si="5"/>
        <v>5.2968749999999999E-4</v>
      </c>
      <c r="T9" s="62">
        <f t="shared" si="0"/>
        <v>7.8372395833333332E-4</v>
      </c>
      <c r="U9" s="62">
        <f t="shared" si="1"/>
        <v>1.073046875E-3</v>
      </c>
      <c r="V9" s="62">
        <f t="shared" si="2"/>
        <v>8.7578125000000004E-4</v>
      </c>
      <c r="W9" s="62">
        <f t="shared" si="3"/>
        <v>2.0364583333333333E-3</v>
      </c>
      <c r="X9" s="62">
        <f t="shared" si="4"/>
        <v>1.8369791666666664E-3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L19" sqref="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4.2057291666666664E-4</v>
      </c>
      <c r="D14" s="65">
        <f t="shared" ref="D14:E14" si="2">D5*$F14</f>
        <v>4.1653645833333332E-4</v>
      </c>
      <c r="E14" s="65">
        <f t="shared" si="2"/>
        <v>4.1197916666666667E-4</v>
      </c>
      <c r="F14">
        <v>1.125</v>
      </c>
      <c r="H14" s="64" t="s">
        <v>0</v>
      </c>
      <c r="I14" s="65">
        <f>I5*$L14</f>
        <v>5.2968749999999999E-4</v>
      </c>
      <c r="J14" s="65">
        <f t="shared" ref="J14:K14" si="3">J5*$L14</f>
        <v>5.1992187499999998E-4</v>
      </c>
      <c r="K14" s="65">
        <f t="shared" si="3"/>
        <v>5.096354166666667E-4</v>
      </c>
      <c r="L14">
        <v>1.125</v>
      </c>
    </row>
    <row r="15" spans="2:17" x14ac:dyDescent="0.45">
      <c r="B15" s="64" t="s">
        <v>225</v>
      </c>
      <c r="C15" s="65">
        <f t="shared" ref="C15:E15" si="4">C6*$F15</f>
        <v>9.1015625000000016E-4</v>
      </c>
      <c r="D15" s="65">
        <f t="shared" si="4"/>
        <v>8.981770833333334E-4</v>
      </c>
      <c r="E15" s="65">
        <f t="shared" si="4"/>
        <v>8.8528645833333319E-4</v>
      </c>
      <c r="F15">
        <v>1.125</v>
      </c>
      <c r="H15" s="64" t="s">
        <v>225</v>
      </c>
      <c r="I15" s="65">
        <f t="shared" ref="I15:K15" si="5">I6*$L15</f>
        <v>1.073046875E-3</v>
      </c>
      <c r="J15" s="65">
        <f t="shared" si="5"/>
        <v>1.0558593750000002E-3</v>
      </c>
      <c r="K15" s="65">
        <f t="shared" si="5"/>
        <v>1.0372395833333334E-3</v>
      </c>
      <c r="L15">
        <v>1.125</v>
      </c>
    </row>
    <row r="16" spans="2:17" x14ac:dyDescent="0.45">
      <c r="B16" s="64" t="s">
        <v>226</v>
      </c>
      <c r="C16" s="65">
        <f t="shared" ref="C16:E16" si="6">C7*$F16</f>
        <v>6.6406250000000005E-4</v>
      </c>
      <c r="D16" s="65">
        <f t="shared" si="6"/>
        <v>6.5807291666666672E-4</v>
      </c>
      <c r="E16" s="65">
        <f t="shared" si="6"/>
        <v>6.5169270833333333E-4</v>
      </c>
      <c r="F16">
        <v>1.125</v>
      </c>
      <c r="H16" s="64" t="s">
        <v>226</v>
      </c>
      <c r="I16" s="65">
        <f t="shared" ref="I16:K16" si="7">I7*$L16</f>
        <v>7.8372395833333332E-4</v>
      </c>
      <c r="J16" s="65">
        <f t="shared" si="7"/>
        <v>7.7565104166666668E-4</v>
      </c>
      <c r="K16" s="65">
        <f t="shared" si="7"/>
        <v>7.6692708333333333E-4</v>
      </c>
      <c r="L16">
        <v>1.125</v>
      </c>
    </row>
    <row r="17" spans="2:12" x14ac:dyDescent="0.45">
      <c r="B17" s="64" t="s">
        <v>227</v>
      </c>
      <c r="C17" s="65">
        <f t="shared" ref="C17:E17" si="8">C8*$F17</f>
        <v>7.731770833333334E-4</v>
      </c>
      <c r="D17" s="65">
        <f t="shared" si="8"/>
        <v>7.5846354166666673E-4</v>
      </c>
      <c r="E17" s="65">
        <f t="shared" si="8"/>
        <v>7.4244791666666665E-4</v>
      </c>
      <c r="F17">
        <v>1.125</v>
      </c>
      <c r="H17" s="64" t="s">
        <v>227</v>
      </c>
      <c r="I17" s="65">
        <f t="shared" ref="I17:K17" si="9">I8*$L17</f>
        <v>8.7578125000000004E-4</v>
      </c>
      <c r="J17" s="65">
        <f t="shared" si="9"/>
        <v>8.6432291666666656E-4</v>
      </c>
      <c r="K17" s="65">
        <f t="shared" si="9"/>
        <v>8.5182291666666664E-4</v>
      </c>
      <c r="L17">
        <v>1.125</v>
      </c>
    </row>
    <row r="18" spans="2:12" x14ac:dyDescent="0.45">
      <c r="B18" s="64" t="s">
        <v>228</v>
      </c>
      <c r="C18" s="65">
        <f t="shared" ref="C18:E18" si="10">C9*$F18</f>
        <v>1.7174479166666668E-3</v>
      </c>
      <c r="D18" s="65">
        <f t="shared" si="10"/>
        <v>1.69921875E-3</v>
      </c>
      <c r="E18" s="65">
        <f t="shared" si="10"/>
        <v>1.6794270833333331E-3</v>
      </c>
      <c r="F18">
        <v>1.125</v>
      </c>
      <c r="H18" s="64" t="s">
        <v>228</v>
      </c>
      <c r="I18" s="65">
        <f t="shared" ref="I18:K18" si="11">I9*$L18</f>
        <v>1.8369791666666664E-3</v>
      </c>
      <c r="J18" s="65">
        <f t="shared" si="11"/>
        <v>1.8305989583333334E-3</v>
      </c>
      <c r="K18" s="65">
        <f t="shared" si="11"/>
        <v>1.8236979166666666E-3</v>
      </c>
      <c r="L18">
        <v>1.125</v>
      </c>
    </row>
    <row r="19" spans="2:12" x14ac:dyDescent="0.45">
      <c r="B19" s="64" t="s">
        <v>4</v>
      </c>
      <c r="C19" s="65">
        <f t="shared" ref="C19:E19" si="12">C10*$F19</f>
        <v>1.8774739583333334E-3</v>
      </c>
      <c r="D19" s="65">
        <f t="shared" si="12"/>
        <v>1.8572916666666664E-3</v>
      </c>
      <c r="E19" s="65">
        <f t="shared" si="12"/>
        <v>1.8355468749999999E-3</v>
      </c>
      <c r="F19">
        <v>1.125</v>
      </c>
      <c r="H19" s="64" t="s">
        <v>4</v>
      </c>
      <c r="I19" s="65">
        <f t="shared" ref="I19:K19" si="13">I10*$L19</f>
        <v>2.0364583333333333E-3</v>
      </c>
      <c r="J19" s="65">
        <f t="shared" si="13"/>
        <v>2.0226562500000001E-3</v>
      </c>
      <c r="K19" s="65">
        <f t="shared" si="13"/>
        <v>2.0078124999999996E-3</v>
      </c>
      <c r="L19">
        <v>1.125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2026-01-22T21:07:43Z</dcterms:modified>
</cp:coreProperties>
</file>