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4D29FB73-FBD6-4160-A66B-5422857C127C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1" i="13" l="1"/>
  <c r="W111" i="13"/>
  <c r="V111" i="13"/>
  <c r="U111" i="13"/>
  <c r="T111" i="13"/>
  <c r="S111" i="13"/>
  <c r="X110" i="13"/>
  <c r="W110" i="13"/>
  <c r="V110" i="13"/>
  <c r="U110" i="13"/>
  <c r="T110" i="13"/>
  <c r="S110" i="13"/>
  <c r="X109" i="13"/>
  <c r="W109" i="13"/>
  <c r="V109" i="13"/>
  <c r="U109" i="13"/>
  <c r="T109" i="13"/>
  <c r="S109" i="13"/>
  <c r="X108" i="13"/>
  <c r="W108" i="13"/>
  <c r="V108" i="13"/>
  <c r="U108" i="13"/>
  <c r="T108" i="13"/>
  <c r="S108" i="13"/>
  <c r="X107" i="13"/>
  <c r="W107" i="13"/>
  <c r="V107" i="13"/>
  <c r="U107" i="13"/>
  <c r="T107" i="13"/>
  <c r="S107" i="13"/>
  <c r="X106" i="13"/>
  <c r="W106" i="13"/>
  <c r="V106" i="13"/>
  <c r="U106" i="13"/>
  <c r="T106" i="13"/>
  <c r="S106" i="13"/>
  <c r="X99" i="13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<sst xmlns="http://schemas.openxmlformats.org/spreadsheetml/2006/main" count="1114" uniqueCount="275">
  <si>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</si>
  <si>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</si>
  <si>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</si>
  <si>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</si>
  <si>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</si>
  <si>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</si>
  <si>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</si>
  <si>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</si>
  <si>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</si>
  <si>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</si>
  <si>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</si>
  <si>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</si>
  <si>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</si>
  <si>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</si>
  <si>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</si>
  <si>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</si>
  <si>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</si>
  <si>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</si>
  <si>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</si>
  <si>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</si>
  <si>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</si>
  <si>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</si>
  <si>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</si>
  <si>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</si>
  <si>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</si>
  <si>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</si>
  <si>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</si>
  <si>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</si>
  <si>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</si>
  <si>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</si>
  <si>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</si>
  <si>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</si>
  <si>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</si>
  <si>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</si>
  <si>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</si>
  <si>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</si>
  <si>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</si>
  <si>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</si>
  <si>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</si>
  <si>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</si>
  <si>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</si>
  <si>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</si>
  <si>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</si>
  <si>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</si>
  <si>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</si>
  <si>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</si>
  <si>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</si>
  <si>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</si>
  <si>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</si>
  <si>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</si>
  <si>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</si>
  <si>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</si>
  <si>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</si>
  <si>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</si>
  <si>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</si>
  <si>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</si>
  <si>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</si>
  <si>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</si>
  <si>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</si>
  <si>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</si>
  <si>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</si>
  <si>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</si>
  <si>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</si>
  <si>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</si>
  <si>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</si>
  <si>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</si>
  <si>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</si>
  <si>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</si>
  <si>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</si>
  <si>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</si>
  <si>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</si>
  <si>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</si>
  <si>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</si>
  <si>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</si>
  <si>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</si>
  <si>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</si>
  <si>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</si>
  <si>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</si>
  <si>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</si>
  <si>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</si>
  <si>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</si>
  <si>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</si>
  <si>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</si>
  <si>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</si>
  <si>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</si>
  <si>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</si>
  <si>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</si>
  <si>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</si>
  <si>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</si>
  <si>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</si>
  <si>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</si>
  <si>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</si>
  <si>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</si>
  <si>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</si>
  <si>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</si>
  <si>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</si>
  <si>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</si>
  <si>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</si>
  <si>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</si>
  <si>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</si>
  <si>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</si>
  <si>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</si>
  <si>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</si>
  <si>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</si>
  <si>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</si>
  <si>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</si>
  <si>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</si>
  <si>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</si>
  <si>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</si>
  <si>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</si>
  <si>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</si>
  <si>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</si>
  <si>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</si>
  <si>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</si>
  <si>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</si>
  <si>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</si>
  <si>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</si>
  <si>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</si>
  <si>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</si>
  <si>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</si>
  <si>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</si>
  <si>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</si>
  <si>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</si>
  <si>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</si>
  <si>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</si>
  <si>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</si>
  <si>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</si>
  <si>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</si>
  <si>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</si>
  <si>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</si>
  <si>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</si>
  <si>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</si>
  <si>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</si>
  <si>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</si>
  <si>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</si>
  <si>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</si>
  <si>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</si>
  <si>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</si>
  <si>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</si>
  <si>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</si>
  <si>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</si>
  <si>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</si>
  <si>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</si>
  <si>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</si>
  <si>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</si>
  <si>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</si>
  <si>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</si>
  <si>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</si>
  <si>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</si>
  <si>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</si>
  <si>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</si>
  <si>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</si>
  <si>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</si>
  <si>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</si>
  <si>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</si>
  <si>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</si>
  <si>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</si>
  <si>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</si>
  <si>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</si>
  <si>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</si>
  <si>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</si>
  <si>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</si>
  <si>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</si>
  <si>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</si>
  <si>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</si>
  <si>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</si>
  <si>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</si>
  <si>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</si>
  <si>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</si>
  <si>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</si>
  <si>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</si>
  <si>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</si>
  <si>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</si>
  <si>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</si>
  <si>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</si>
  <si>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</si>
  <si>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</si>
  <si>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</si>
  <si>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</si>
  <si>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</si>
  <si>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</si>
  <si>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</si>
  <si>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</si>
  <si>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</si>
  <si>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</si>
  <si>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</si>
  <si>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</si>
  <si>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</si>
  <si>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</si>
  <si>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</si>
  <si>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</si>
  <si>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</si>
  <si>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</si>
  <si>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</si>
  <si>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</si>
  <si>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</si>
  <si>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</si>
  <si>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</si>
  <si>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</si>
  <si>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</si>
  <si>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</si>
  <si>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</si>
  <si>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</si>
  <si>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</si>
  <si>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</si>
  <si>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</si>
  <si>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</si>
  <si>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</si>
  <si>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</si>
  <si>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</si>
  <si>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</si>
  <si>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</si>
  <si>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</si>
  <si>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</si>
  <si>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</si>
  <si>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</si>
  <si>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</si>
  <si>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</si>
  <si>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</si>
  <si>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</si>
  <si>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</si>
  <si>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</si>
  <si>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</si>
  <si>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</si>
  <si>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</si>
  <si>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</si>
  <si>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</si>
  <si>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</si>
  <si>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</si>
  <si>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</si>
  <si>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</si>
  <si>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</si>
  <si>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</si>
  <si>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</si>
  <si>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</si>
  <si>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</si>
  <si>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</si>
  <si>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</si>
  <si>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</si>
  <si>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</si>
  <si>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</si>
  <si>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</si>
  <si>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</si>
  <si>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</si>
  <si>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</si>
  <si>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</si>
  <si>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</si>
  <si>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</si>
  <si>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</si>
  <si>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</si>
  <si>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</si>
  <si>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</si>
  <si>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</si>
  <si>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</si>
  <si>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</si>
  <si>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</si>
  <si>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</si>
  <si>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</si>
  <si>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</si>
  <si>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</si>
  <si>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</si>
  <si>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</si>
  <si>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</si>
  <si>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</si>
  <si>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</si>
  <si>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</si>
  <si>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</si>
  <si>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</si>
  <si>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</si>
  <si>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</si>
  <si>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</si>
  <si>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+13% Mäner (bis 10 nominiert)</t>
  </si>
  <si>
    <t>NK1 +18% Frauen (bis 10 nominiert)</t>
  </si>
  <si>
    <t>NK2 +30% Mäner  (bis 6 nominiert)</t>
  </si>
  <si>
    <t>NK2 +30% Frauen  (bis 6 nominiert)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</si>
</sst>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JRP!$M$2:$M$109</c:f>
              <c:numCache>
                <c:formatCode>m:ss.00</c:formatCode>
                <c:ptCount val="108"/>
                <c:pt idx="0">
                  <c:v>4.6817129629629634E-4</c:v>
                </c:pt>
                <c:pt idx="1">
                  <c:v>3.9178240740740742E-4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4.5043055555555553E-4</c:v>
                </c:pt>
                <c:pt idx="33">
                  <c:v>4.5541319444444443E-4</c:v>
                </c:pt>
                <c:pt idx="34">
                  <c:v>4.5982638888888885E-4</c:v>
                </c:pt>
                <c:pt idx="35">
                  <c:v>5.3455092592592595E-4</c:v>
                </c:pt>
                <c:pt idx="36">
                  <c:v>5.4534027777777773E-4</c:v>
                </c:pt>
                <c:pt idx="37">
                  <c:v>5.5558333333333328E-4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4.0805555555555549E-4</c:v>
                </c:pt>
                <c:pt idx="99">
                  <c:v>4.043935185185185E-4</c:v>
                </c:pt>
                <c:pt idx="100">
                  <c:v>3.9327662037037033E-4</c:v>
                </c:pt>
                <c:pt idx="101">
                  <c:v>5.2034722222222228E-4</c:v>
                </c:pt>
                <c:pt idx="102">
                  <c:v>5.118796296296296E-4</c:v>
                </c:pt>
                <c:pt idx="103">
                  <c:v>4.8565740740740736E-4</c:v>
                </c:pt>
                <c:pt idx="104">
                  <c:v>4.5043055555555553E-4</c:v>
                </c:pt>
                <c:pt idx="105">
                  <c:v>4.5541319444444443E-4</c:v>
                </c:pt>
                <c:pt idx="106">
                  <c:v>4.5982638888888885E-4</c:v>
                </c:pt>
                <c:pt idx="107">
                  <c:v>5.3455092592592595E-4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6-4469-84C5-8D24DBA7559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JRP!$N$2:$N$109</c:f>
              <c:numCache>
                <c:formatCode>m:ss.00</c:formatCode>
                <c:ptCount val="108"/>
                <c:pt idx="0">
                  <c:v>7.4872685185185188E-4</c:v>
                </c:pt>
                <c:pt idx="1">
                  <c:v>6.310185185185186E-4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7.1251736111111103E-4</c:v>
                </c:pt>
                <c:pt idx="33">
                  <c:v>7.1949305555555558E-4</c:v>
                </c:pt>
                <c:pt idx="34">
                  <c:v>7.2604166666666661E-4</c:v>
                </c:pt>
                <c:pt idx="35">
                  <c:v>8.0442129629629624E-4</c:v>
                </c:pt>
                <c:pt idx="36">
                  <c:v>8.1357175925925933E-4</c:v>
                </c:pt>
                <c:pt idx="37">
                  <c:v>8.2203935185185179E-4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6.4608796296296289E-4</c:v>
                </c:pt>
                <c:pt idx="99">
                  <c:v>6.4085648148148151E-4</c:v>
                </c:pt>
                <c:pt idx="100">
                  <c:v>6.2450810185185179E-4</c:v>
                </c:pt>
                <c:pt idx="101">
                  <c:v>7.9253935185185189E-4</c:v>
                </c:pt>
                <c:pt idx="102">
                  <c:v>7.8516435185185178E-4</c:v>
                </c:pt>
                <c:pt idx="103">
                  <c:v>7.6235648148148148E-4</c:v>
                </c:pt>
                <c:pt idx="104">
                  <c:v>7.1251736111111103E-4</c:v>
                </c:pt>
                <c:pt idx="105">
                  <c:v>7.1949305555555558E-4</c:v>
                </c:pt>
                <c:pt idx="106">
                  <c:v>7.2604166666666661E-4</c:v>
                </c:pt>
                <c:pt idx="107">
                  <c:v>8.0442129629629624E-4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6-4469-84C5-8D24DBA7559C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JRP!$O$2:$O$109</c:f>
              <c:numCache>
                <c:formatCode>m:ss.00</c:formatCode>
                <c:ptCount val="108"/>
                <c:pt idx="0">
                  <c:v>9.9224537037037033E-4</c:v>
                </c:pt>
                <c:pt idx="1">
                  <c:v>8.5555555555555558E-4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9.6791319444444431E-4</c:v>
                </c:pt>
                <c:pt idx="33">
                  <c:v>9.8200694444444442E-4</c:v>
                </c:pt>
                <c:pt idx="34">
                  <c:v>9.9510416666666671E-4</c:v>
                </c:pt>
                <c:pt idx="35">
                  <c:v>1.0879490740740739E-3</c:v>
                </c:pt>
                <c:pt idx="36">
                  <c:v>1.1074791666666668E-3</c:v>
                </c:pt>
                <c:pt idx="37">
                  <c:v>1.1255069444444444E-3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8.7221874999999995E-4</c:v>
                </c:pt>
                <c:pt idx="99">
                  <c:v>8.6188657407407405E-4</c:v>
                </c:pt>
                <c:pt idx="100">
                  <c:v>8.2971296296296287E-4</c:v>
                </c:pt>
                <c:pt idx="101">
                  <c:v>1.062409722222222E-3</c:v>
                </c:pt>
                <c:pt idx="102">
                  <c:v>1.0469768518518517E-3</c:v>
                </c:pt>
                <c:pt idx="103">
                  <c:v>9.9944907407407404E-4</c:v>
                </c:pt>
                <c:pt idx="104">
                  <c:v>9.6791319444444431E-4</c:v>
                </c:pt>
                <c:pt idx="105">
                  <c:v>9.8200694444444442E-4</c:v>
                </c:pt>
                <c:pt idx="106">
                  <c:v>9.9510416666666671E-4</c:v>
                </c:pt>
                <c:pt idx="107">
                  <c:v>1.0879490740740739E-3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6-4469-84C5-8D24DBA7559C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JRP!$P$2:$P$109</c:f>
              <c:numCache>
                <c:formatCode>m:ss.00</c:formatCode>
                <c:ptCount val="108"/>
                <c:pt idx="0">
                  <c:v>7.8888888888888889E-4</c:v>
                </c:pt>
                <c:pt idx="1">
                  <c:v>7.0196759259259257E-4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8.1174305555555557E-4</c:v>
                </c:pt>
                <c:pt idx="33">
                  <c:v>8.2925347222222222E-4</c:v>
                </c:pt>
                <c:pt idx="34">
                  <c:v>8.4534027777777786E-4</c:v>
                </c:pt>
                <c:pt idx="35">
                  <c:v>8.9346759259259251E-4</c:v>
                </c:pt>
                <c:pt idx="36">
                  <c:v>9.065787037037035E-4</c:v>
                </c:pt>
                <c:pt idx="37">
                  <c:v>9.1859722222222223E-4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7.2469097222222206E-4</c:v>
                </c:pt>
                <c:pt idx="99">
                  <c:v>7.1213541666666658E-4</c:v>
                </c:pt>
                <c:pt idx="100">
                  <c:v>6.7342245370370364E-4</c:v>
                </c:pt>
                <c:pt idx="101">
                  <c:v>8.7625925925925914E-4</c:v>
                </c:pt>
                <c:pt idx="102">
                  <c:v>8.6574305555555547E-4</c:v>
                </c:pt>
                <c:pt idx="103">
                  <c:v>8.3337500000000002E-4</c:v>
                </c:pt>
                <c:pt idx="104">
                  <c:v>8.1174305555555557E-4</c:v>
                </c:pt>
                <c:pt idx="105">
                  <c:v>8.2925347222222222E-4</c:v>
                </c:pt>
                <c:pt idx="106">
                  <c:v>8.4534027777777786E-4</c:v>
                </c:pt>
                <c:pt idx="107">
                  <c:v>8.9346759259259251E-4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6-4469-84C5-8D24DBA7559C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JRP!$Q$2:$Q$109</c:f>
              <c:numCache>
                <c:formatCode>m:ss.00</c:formatCode>
                <c:ptCount val="108"/>
                <c:pt idx="0">
                  <c:v>1.9605324074074074E-3</c:v>
                </c:pt>
                <c:pt idx="1">
                  <c:v>1.7359953703703704E-3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2.0068645833333332E-3</c:v>
                </c:pt>
                <c:pt idx="33">
                  <c:v>2.0306388888888887E-3</c:v>
                </c:pt>
                <c:pt idx="34">
                  <c:v>2.052704861111111E-3</c:v>
                </c:pt>
                <c:pt idx="35">
                  <c:v>2.1059722222222218E-3</c:v>
                </c:pt>
                <c:pt idx="36">
                  <c:v>2.1215416666666665E-3</c:v>
                </c:pt>
                <c:pt idx="37">
                  <c:v>2.1360185185185184E-3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1.8150624999999998E-3</c:v>
                </c:pt>
                <c:pt idx="99">
                  <c:v>1.79740625E-3</c:v>
                </c:pt>
                <c:pt idx="100">
                  <c:v>1.7427372685185185E-3</c:v>
                </c:pt>
                <c:pt idx="101">
                  <c:v>2.0854861111111109E-3</c:v>
                </c:pt>
                <c:pt idx="102">
                  <c:v>2.0726481481481481E-3</c:v>
                </c:pt>
                <c:pt idx="103">
                  <c:v>2.0329050925925922E-3</c:v>
                </c:pt>
                <c:pt idx="104">
                  <c:v>2.0068645833333332E-3</c:v>
                </c:pt>
                <c:pt idx="105">
                  <c:v>2.0306388888888887E-3</c:v>
                </c:pt>
                <c:pt idx="106">
                  <c:v>2.052704861111111E-3</c:v>
                </c:pt>
                <c:pt idx="107">
                  <c:v>2.1059722222222218E-3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56-4469-84C5-8D24DBA7559C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JRP!$R$2:$R$109</c:f>
              <c:numCache>
                <c:formatCode>m:ss.00</c:formatCode>
                <c:ptCount val="108"/>
                <c:pt idx="0">
                  <c:v>1.7837962962962963E-3</c:v>
                </c:pt>
                <c:pt idx="1">
                  <c:v>1.6295138888888889E-3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1.8361736111111109E-3</c:v>
                </c:pt>
                <c:pt idx="33">
                  <c:v>1.8578124999999999E-3</c:v>
                </c:pt>
                <c:pt idx="34">
                  <c:v>1.8777430555555557E-3</c:v>
                </c:pt>
                <c:pt idx="35">
                  <c:v>1.9128564814814813E-3</c:v>
                </c:pt>
                <c:pt idx="36">
                  <c:v>1.9200949074074073E-3</c:v>
                </c:pt>
                <c:pt idx="37">
                  <c:v>1.9267870370370367E-3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1.660864583333333E-3</c:v>
                </c:pt>
                <c:pt idx="99">
                  <c:v>1.6447777777777778E-3</c:v>
                </c:pt>
                <c:pt idx="100">
                  <c:v>1.5950787037037034E-3</c:v>
                </c:pt>
                <c:pt idx="101">
                  <c:v>1.9032962962962964E-3</c:v>
                </c:pt>
                <c:pt idx="102">
                  <c:v>1.8972870370370372E-3</c:v>
                </c:pt>
                <c:pt idx="103">
                  <c:v>1.8784398148148146E-3</c:v>
                </c:pt>
                <c:pt idx="104">
                  <c:v>1.8361736111111109E-3</c:v>
                </c:pt>
                <c:pt idx="105">
                  <c:v>1.8578124999999999E-3</c:v>
                </c:pt>
                <c:pt idx="106">
                  <c:v>1.8777430555555557E-3</c:v>
                </c:pt>
                <c:pt idx="107">
                  <c:v>1.9128564814814813E-3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56-4469-84C5-8D24DBA7559C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JRP!$S$2:$S$109</c:f>
              <c:numCache>
                <c:formatCode>m:ss.00</c:formatCode>
                <c:ptCount val="108"/>
                <c:pt idx="0">
                  <c:v>4.803240740740741E-4</c:v>
                </c:pt>
                <c:pt idx="1">
                  <c:v>4.1747685185185187E-4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4.5043055555555553E-4</c:v>
                </c:pt>
                <c:pt idx="33">
                  <c:v>4.5541319444444443E-4</c:v>
                </c:pt>
                <c:pt idx="34">
                  <c:v>4.5982638888888885E-4</c:v>
                </c:pt>
                <c:pt idx="35">
                  <c:v>5.3455092592592595E-4</c:v>
                </c:pt>
                <c:pt idx="36">
                  <c:v>5.4534027777777773E-4</c:v>
                </c:pt>
                <c:pt idx="37">
                  <c:v>5.5558333333333328E-4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4.0805555555555549E-4</c:v>
                </c:pt>
                <c:pt idx="99">
                  <c:v>4.043935185185185E-4</c:v>
                </c:pt>
                <c:pt idx="100">
                  <c:v>3.9327662037037033E-4</c:v>
                </c:pt>
                <c:pt idx="101">
                  <c:v>5.2034722222222228E-4</c:v>
                </c:pt>
                <c:pt idx="102">
                  <c:v>5.118796296296296E-4</c:v>
                </c:pt>
                <c:pt idx="103">
                  <c:v>4.8565740740740736E-4</c:v>
                </c:pt>
                <c:pt idx="104">
                  <c:v>4.5043055555555553E-4</c:v>
                </c:pt>
                <c:pt idx="105">
                  <c:v>4.5541319444444443E-4</c:v>
                </c:pt>
                <c:pt idx="106">
                  <c:v>4.5982638888888885E-4</c:v>
                </c:pt>
                <c:pt idx="107">
                  <c:v>5.3455092592592595E-4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56-4469-84C5-8D24DBA7559C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JRP!$T$2:$T$109</c:f>
              <c:numCache>
                <c:formatCode>m:ss.00</c:formatCode>
                <c:ptCount val="108"/>
                <c:pt idx="0">
                  <c:v>7.8599537037037039E-4</c:v>
                </c:pt>
                <c:pt idx="1">
                  <c:v>6.7627314814814818E-4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7.1251736111111103E-4</c:v>
                </c:pt>
                <c:pt idx="33">
                  <c:v>7.1949305555555558E-4</c:v>
                </c:pt>
                <c:pt idx="34">
                  <c:v>7.2604166666666661E-4</c:v>
                </c:pt>
                <c:pt idx="35">
                  <c:v>8.0442129629629624E-4</c:v>
                </c:pt>
                <c:pt idx="36">
                  <c:v>8.1357175925925933E-4</c:v>
                </c:pt>
                <c:pt idx="37">
                  <c:v>8.2203935185185179E-4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6.4608796296296289E-4</c:v>
                </c:pt>
                <c:pt idx="99">
                  <c:v>6.4085648148148151E-4</c:v>
                </c:pt>
                <c:pt idx="100">
                  <c:v>6.2450810185185179E-4</c:v>
                </c:pt>
                <c:pt idx="101">
                  <c:v>7.9253935185185189E-4</c:v>
                </c:pt>
                <c:pt idx="102">
                  <c:v>7.8516435185185178E-4</c:v>
                </c:pt>
                <c:pt idx="103">
                  <c:v>7.6235648148148148E-4</c:v>
                </c:pt>
                <c:pt idx="104">
                  <c:v>7.1251736111111103E-4</c:v>
                </c:pt>
                <c:pt idx="105">
                  <c:v>7.1949305555555558E-4</c:v>
                </c:pt>
                <c:pt idx="106">
                  <c:v>7.2604166666666661E-4</c:v>
                </c:pt>
                <c:pt idx="107">
                  <c:v>8.0442129629629624E-4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56-4469-84C5-8D24DBA7559C}"/>
            </c:ext>
          </c:extLst>
        </c:ser>
        <c:ser>
          <c:idx val="8"/>
          <c:order val="8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JRP!$U$2:$U$109</c:f>
              <c:numCache>
                <c:formatCode>m:ss.00</c:formatCode>
                <c:ptCount val="108"/>
                <c:pt idx="0">
                  <c:v>1.0240740740740742E-3</c:v>
                </c:pt>
                <c:pt idx="1">
                  <c:v>8.9861111111111109E-4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9.6791319444444431E-4</c:v>
                </c:pt>
                <c:pt idx="33">
                  <c:v>9.8200694444444442E-4</c:v>
                </c:pt>
                <c:pt idx="34">
                  <c:v>9.9510416666666671E-4</c:v>
                </c:pt>
                <c:pt idx="35">
                  <c:v>1.0879490740740739E-3</c:v>
                </c:pt>
                <c:pt idx="36">
                  <c:v>1.1074791666666668E-3</c:v>
                </c:pt>
                <c:pt idx="37">
                  <c:v>1.1255069444444444E-3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8.7221874999999995E-4</c:v>
                </c:pt>
                <c:pt idx="99">
                  <c:v>8.6188657407407405E-4</c:v>
                </c:pt>
                <c:pt idx="100">
                  <c:v>8.2971296296296287E-4</c:v>
                </c:pt>
                <c:pt idx="101">
                  <c:v>1.062409722222222E-3</c:v>
                </c:pt>
                <c:pt idx="102">
                  <c:v>1.0469768518518517E-3</c:v>
                </c:pt>
                <c:pt idx="103">
                  <c:v>9.9944907407407404E-4</c:v>
                </c:pt>
                <c:pt idx="104">
                  <c:v>9.6791319444444431E-4</c:v>
                </c:pt>
                <c:pt idx="105">
                  <c:v>9.8200694444444442E-4</c:v>
                </c:pt>
                <c:pt idx="106">
                  <c:v>9.9510416666666671E-4</c:v>
                </c:pt>
                <c:pt idx="107">
                  <c:v>1.0879490740740739E-3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56-4469-84C5-8D24DBA7559C}"/>
            </c:ext>
          </c:extLst>
        </c:ser>
        <c:ser>
          <c:idx val="9"/>
          <c:order val="9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JRP!$V$2:$V$109</c:f>
              <c:numCache>
                <c:formatCode>m:ss.00</c:formatCode>
                <c:ptCount val="108"/>
                <c:pt idx="0">
                  <c:v>8.2766203703703712E-4</c:v>
                </c:pt>
                <c:pt idx="1">
                  <c:v>7.2384259259259255E-4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8.1174305555555557E-4</c:v>
                </c:pt>
                <c:pt idx="33">
                  <c:v>8.2925347222222222E-4</c:v>
                </c:pt>
                <c:pt idx="34">
                  <c:v>8.4534027777777786E-4</c:v>
                </c:pt>
                <c:pt idx="35">
                  <c:v>8.9346759259259251E-4</c:v>
                </c:pt>
                <c:pt idx="36">
                  <c:v>9.065787037037035E-4</c:v>
                </c:pt>
                <c:pt idx="37">
                  <c:v>9.1859722222222223E-4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7.2469097222222206E-4</c:v>
                </c:pt>
                <c:pt idx="99">
                  <c:v>7.1213541666666658E-4</c:v>
                </c:pt>
                <c:pt idx="100">
                  <c:v>6.7342245370370364E-4</c:v>
                </c:pt>
                <c:pt idx="101">
                  <c:v>8.7625925925925914E-4</c:v>
                </c:pt>
                <c:pt idx="102">
                  <c:v>8.6574305555555547E-4</c:v>
                </c:pt>
                <c:pt idx="103">
                  <c:v>8.3337500000000002E-4</c:v>
                </c:pt>
                <c:pt idx="104">
                  <c:v>8.1174305555555557E-4</c:v>
                </c:pt>
                <c:pt idx="105">
                  <c:v>8.2925347222222222E-4</c:v>
                </c:pt>
                <c:pt idx="106">
                  <c:v>8.4534027777777786E-4</c:v>
                </c:pt>
                <c:pt idx="107">
                  <c:v>8.9346759259259251E-4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56-4469-84C5-8D24DBA7559C}"/>
            </c:ext>
          </c:extLst>
        </c:ser>
        <c:ser>
          <c:idx val="10"/>
          <c:order val="1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JRP!$W$2:$W$109</c:f>
              <c:numCache>
                <c:formatCode>m:ss.00</c:formatCode>
                <c:ptCount val="108"/>
                <c:pt idx="0">
                  <c:v>2.0114583333333334E-3</c:v>
                </c:pt>
                <c:pt idx="1">
                  <c:v>1.8050925925925927E-3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2.0068645833333332E-3</c:v>
                </c:pt>
                <c:pt idx="33">
                  <c:v>2.0306388888888887E-3</c:v>
                </c:pt>
                <c:pt idx="34">
                  <c:v>2.052704861111111E-3</c:v>
                </c:pt>
                <c:pt idx="35">
                  <c:v>2.1059722222222218E-3</c:v>
                </c:pt>
                <c:pt idx="36">
                  <c:v>2.1215416666666665E-3</c:v>
                </c:pt>
                <c:pt idx="37">
                  <c:v>2.1360185185185184E-3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1.8150624999999998E-3</c:v>
                </c:pt>
                <c:pt idx="99">
                  <c:v>1.79740625E-3</c:v>
                </c:pt>
                <c:pt idx="100">
                  <c:v>1.7427372685185185E-3</c:v>
                </c:pt>
                <c:pt idx="101">
                  <c:v>2.0854861111111109E-3</c:v>
                </c:pt>
                <c:pt idx="102">
                  <c:v>2.0726481481481481E-3</c:v>
                </c:pt>
                <c:pt idx="103">
                  <c:v>2.0329050925925922E-3</c:v>
                </c:pt>
                <c:pt idx="104">
                  <c:v>2.0068645833333332E-3</c:v>
                </c:pt>
                <c:pt idx="105">
                  <c:v>2.0306388888888887E-3</c:v>
                </c:pt>
                <c:pt idx="106">
                  <c:v>2.052704861111111E-3</c:v>
                </c:pt>
                <c:pt idx="107">
                  <c:v>2.1059722222222218E-3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A56-4469-84C5-8D24DBA7559C}"/>
            </c:ext>
          </c:extLst>
        </c:ser>
        <c:ser>
          <c:idx val="11"/>
          <c:order val="1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JRP!$X$2:$X$109</c:f>
              <c:numCache>
                <c:formatCode>m:ss.00</c:formatCode>
                <c:ptCount val="108"/>
                <c:pt idx="0">
                  <c:v>1.8332175925925925E-3</c:v>
                </c:pt>
                <c:pt idx="1">
                  <c:v>1.7003472222222222E-3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1.8361736111111109E-3</c:v>
                </c:pt>
                <c:pt idx="33">
                  <c:v>1.8578124999999999E-3</c:v>
                </c:pt>
                <c:pt idx="34">
                  <c:v>1.8777430555555557E-3</c:v>
                </c:pt>
                <c:pt idx="35">
                  <c:v>1.9128564814814813E-3</c:v>
                </c:pt>
                <c:pt idx="36">
                  <c:v>1.9200949074074073E-3</c:v>
                </c:pt>
                <c:pt idx="37">
                  <c:v>1.9267870370370367E-3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1.660864583333333E-3</c:v>
                </c:pt>
                <c:pt idx="99">
                  <c:v>1.6447777777777778E-3</c:v>
                </c:pt>
                <c:pt idx="100">
                  <c:v>1.5950787037037034E-3</c:v>
                </c:pt>
                <c:pt idx="101">
                  <c:v>1.9032962962962964E-3</c:v>
                </c:pt>
                <c:pt idx="102">
                  <c:v>1.8972870370370372E-3</c:v>
                </c:pt>
                <c:pt idx="103">
                  <c:v>1.8784398148148146E-3</c:v>
                </c:pt>
                <c:pt idx="104">
                  <c:v>1.8361736111111109E-3</c:v>
                </c:pt>
                <c:pt idx="105">
                  <c:v>1.8578124999999999E-3</c:v>
                </c:pt>
                <c:pt idx="106">
                  <c:v>1.8777430555555557E-3</c:v>
                </c:pt>
                <c:pt idx="107">
                  <c:v>1.9128564814814813E-3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56-4469-84C5-8D24DBA75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692623"/>
        <c:axId val="1891693103"/>
      </c:scatterChart>
      <c:valAx>
        <c:axId val="1891692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3103"/>
        <c:crosses val="autoZero"/>
        <c:crossBetween val="midCat"/>
      </c:valAx>
      <c:valAx>
        <c:axId val="189169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2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1246837</xdr:colOff>
      <xdr:row>111</xdr:row>
      <xdr:rowOff>104978</xdr:rowOff>
    </xdr:from>
    <xdr:to>
      <xdr:col>26</xdr:col>
      <xdr:colOff>169627</xdr:colOff>
      <xdr:row>149</xdr:row>
      <xdr:rowOff>161377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6854EA7-6173-CEF4-E0AB-5AE78275A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11" totalsRowShown="0" headerRowDxfId="25" dataDxfId="24">
  <autoFilter ref="A1:X111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23"/>
    <tableColumn id="2" xr3:uid="{733C1722-A9C9-4830-A9E2-FE62E96BCD98}" name="Geschlecht" dataDxfId="22"/>
    <tableColumn id="3" xr3:uid="{80C0BF46-0E43-4947-BF86-B808C324772A}" name="Mindest Alter" dataDxfId="21"/>
    <tableColumn id="4" xr3:uid="{DBA2A923-EEB7-43F9-A1A3-E78624448FB9}" name="Maximales Alter" dataDxfId="20"/>
    <tableColumn id="5" xr3:uid="{3FDEE18A-328D-45AE-907D-69A916A93345}" name="Qualizeitraum anfang" dataDxfId="19"/>
    <tableColumn id="6" xr3:uid="{BE002D7F-575F-4B60-9251-C71D93F59045}" name="Qualizeitraum Ende" dataDxfId="18"/>
    <tableColumn id="7" xr3:uid="{208ABD57-DE4B-41D6-B9FC-93F2D8966E8D}" name="Letzter Wettkampf am" dataDxfId="17"/>
    <tableColumn id="8" xr3:uid="{30C9697C-6550-4996-ADDB-7FEE5325B794}" name="Landesverband" dataDxfId="16"/>
    <tableColumn id="9" xr3:uid="{ED2DAB77-EF46-4D8B-B8E4-90412E32E277}" name="OMS" dataDxfId="15"/>
    <tableColumn id="10" xr3:uid="{AD534940-A91B-4A6E-9606-E3F3E517D401}" name="Pool-Länge" dataDxfId="14"/>
    <tableColumn id="11" xr3:uid="{11F9D5D5-72FE-42CA-8624-01D513B4140F}" name="Regelwerk" dataDxfId="13"/>
    <tableColumn id="12" xr3:uid="{3907872B-5438-4FBF-A045-3EF9EAACFC47}" name="Seiten Anzahl" dataDxfId="12"/>
    <tableColumn id="13" xr3:uid="{FC821324-3638-40C0-BA1E-069B44E23C7A}" name="PZ1 - 50m Retten" dataDxfId="11"/>
    <tableColumn id="14" xr3:uid="{70529619-443E-40D3-88C1-3E0F00BB2A50}" name="PZ1 - 100m Retten" dataDxfId="10"/>
    <tableColumn id="15" xr3:uid="{EFA92FD2-C23F-42B3-83DC-5036513F19AF}" name="PZ1 - 100m Kombi" dataDxfId="9"/>
    <tableColumn id="16" xr3:uid="{03309E52-8CF3-4E90-9EE6-A818901C3B32}" name="PZ1 - 100m Lifesaver" dataDxfId="8"/>
    <tableColumn id="17" xr3:uid="{00B22013-AA11-4C17-9250-22060AE4B0A8}" name="PZ1 - 200m Super-Lifesaver" dataDxfId="7"/>
    <tableColumn id="18" xr3:uid="{7E3508A9-0422-4561-A23E-53E613259B24}" name="PZ1 - 200m Hindernis" dataDxfId="6"/>
    <tableColumn id="19" xr3:uid="{5CEA435F-F34B-4D8D-88D0-F5EBFF18B713}" name="PZ2 - 50m Retten" dataDxfId="5"/>
    <tableColumn id="20" xr3:uid="{8585BE62-F7C4-4D5D-B287-052B43B08610}" name="PZ2 - 100m Retten" dataDxfId="4"/>
    <tableColumn id="21" xr3:uid="{D981758B-ADAD-4E36-B787-0B0FDA808CA2}" name="PZ2 - 100m Kombi" dataDxfId="3"/>
    <tableColumn id="22" xr3:uid="{1D4970A8-D22F-4962-934C-AEA295ED687A}" name="PZ2 - 100m Lifesaver" dataDxfId="2"/>
    <tableColumn id="23" xr3:uid="{BE394430-C58F-4690-9615-44475E5AF9F8}" name="PZ2 - 200m Super-Lifesaver" dataDxfId="1"/>
    <tableColumn id="24" xr3:uid="{A7036B1A-99CE-4F7C-AAB8-12E8B2696202}" name="PZ2 - 200m Hinderni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43" priority="15">
      <formula>B5&lt;&gt;B4</formula>
    </cfRule>
  </conditionalFormatting>
  <conditionalFormatting sqref="H5:M31">
    <cfRule type="expression" dxfId="42" priority="14">
      <formula>H5&lt;&gt;H4</formula>
    </cfRule>
  </conditionalFormatting>
  <conditionalFormatting sqref="N5:S31">
    <cfRule type="expression" dxfId="41" priority="13">
      <formula>N5&lt;&gt;N4</formula>
    </cfRule>
  </conditionalFormatting>
  <conditionalFormatting sqref="T5:Y31">
    <cfRule type="expression" dxfId="40" priority="12">
      <formula>T5&lt;&gt;T4</formula>
    </cfRule>
  </conditionalFormatting>
  <conditionalFormatting sqref="Z5:AE31">
    <cfRule type="expression" dxfId="39" priority="9">
      <formula>Z5&lt;&gt;Z4</formula>
    </cfRule>
  </conditionalFormatting>
  <conditionalFormatting sqref="AF5:AK31">
    <cfRule type="expression" dxfId="38" priority="8">
      <formula>AF5&lt;&gt;AF4</formula>
    </cfRule>
  </conditionalFormatting>
  <conditionalFormatting sqref="AL5:AN31">
    <cfRule type="expression" dxfId="37" priority="6">
      <formula>AL5&lt;&gt;AL4</formula>
    </cfRule>
  </conditionalFormatting>
  <conditionalFormatting sqref="AO5:AQ31">
    <cfRule type="expression" dxfId="36" priority="5">
      <formula>AO5&lt;&gt;AO4</formula>
    </cfRule>
  </conditionalFormatting>
  <conditionalFormatting sqref="AR5:AT31">
    <cfRule type="expression" dxfId="35" priority="2">
      <formula>AR5&lt;&gt;AR4</formula>
    </cfRule>
  </conditionalFormatting>
  <conditionalFormatting sqref="AU5:AW31">
    <cfRule type="expression" dxfId="34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33" priority="20">
      <formula>B6&lt;&gt;B4</formula>
    </cfRule>
  </conditionalFormatting>
  <conditionalFormatting sqref="B7:G32">
    <cfRule type="expression" dxfId="32" priority="1">
      <formula>B7&lt;&gt;B6</formula>
    </cfRule>
  </conditionalFormatting>
  <conditionalFormatting sqref="H6:M6">
    <cfRule type="expression" dxfId="31" priority="22">
      <formula>H6&lt;&gt;H4</formula>
    </cfRule>
  </conditionalFormatting>
  <conditionalFormatting sqref="H7:M32">
    <cfRule type="expression" dxfId="30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29" priority="19">
      <formula>B6&lt;&gt;B4</formula>
    </cfRule>
  </conditionalFormatting>
  <conditionalFormatting sqref="B7:G32">
    <cfRule type="expression" dxfId="28" priority="2">
      <formula>B7&lt;&gt;B6</formula>
    </cfRule>
  </conditionalFormatting>
  <conditionalFormatting sqref="H6:M6">
    <cfRule type="expression" dxfId="27" priority="20">
      <formula>H6&lt;&gt;H4</formula>
    </cfRule>
  </conditionalFormatting>
  <conditionalFormatting sqref="H7:M32">
    <cfRule type="expression" dxfId="26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11"/>
  <sheetViews>
    <sheetView tabSelected="1" topLeftCell="A96" zoomScale="101" workbookViewId="0">
      <selection activeCell="D106" sqref="D10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14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14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NK!E14</f>
        <v>4.5043055555555553E-4</v>
      </c>
      <c r="N34" s="62">
        <f>NK!E16</f>
        <v>7.1251736111111103E-4</v>
      </c>
      <c r="O34" s="62">
        <f>NK!E15</f>
        <v>9.6791319444444431E-4</v>
      </c>
      <c r="P34" s="62">
        <f>NK!E17</f>
        <v>8.1174305555555557E-4</v>
      </c>
      <c r="Q34" s="62">
        <f>NK!E19</f>
        <v>2.0068645833333332E-3</v>
      </c>
      <c r="R34" s="62">
        <f>NK!E18</f>
        <v>1.8361736111111109E-3</v>
      </c>
      <c r="S34" s="62">
        <f>M34</f>
        <v>4.5043055555555553E-4</v>
      </c>
      <c r="T34" s="62">
        <f t="shared" ref="T34:T39" si="0">N34</f>
        <v>7.1251736111111103E-4</v>
      </c>
      <c r="U34" s="62">
        <f t="shared" ref="U34:U39" si="1">O34</f>
        <v>9.6791319444444431E-4</v>
      </c>
      <c r="V34" s="62">
        <f t="shared" ref="V34:V39" si="2">P34</f>
        <v>8.1174305555555557E-4</v>
      </c>
      <c r="W34" s="62">
        <f t="shared" ref="W34:W39" si="3">Q34</f>
        <v>2.0068645833333332E-3</v>
      </c>
      <c r="X34" s="62">
        <f t="shared" ref="X34:X39" si="4">R34</f>
        <v>1.8361736111111109E-3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NK!D14</f>
        <v>4.5541319444444443E-4</v>
      </c>
      <c r="N35" s="62">
        <f>NK!D16</f>
        <v>7.1949305555555558E-4</v>
      </c>
      <c r="O35" s="62">
        <f>NK!D15</f>
        <v>9.8200694444444442E-4</v>
      </c>
      <c r="P35" s="62">
        <f>NK!D17</f>
        <v>8.2925347222222222E-4</v>
      </c>
      <c r="Q35" s="62">
        <f>NK!D19</f>
        <v>2.0306388888888887E-3</v>
      </c>
      <c r="R35" s="62">
        <f>NK!D18</f>
        <v>1.8578124999999999E-3</v>
      </c>
      <c r="S35" s="62">
        <f t="shared" ref="S35:S39" si="5">M35</f>
        <v>4.5541319444444443E-4</v>
      </c>
      <c r="T35" s="62">
        <f t="shared" si="0"/>
        <v>7.1949305555555558E-4</v>
      </c>
      <c r="U35" s="62">
        <f t="shared" si="1"/>
        <v>9.8200694444444442E-4</v>
      </c>
      <c r="V35" s="62">
        <f t="shared" si="2"/>
        <v>8.2925347222222222E-4</v>
      </c>
      <c r="W35" s="62">
        <f t="shared" si="3"/>
        <v>2.0306388888888887E-3</v>
      </c>
      <c r="X35" s="62">
        <f t="shared" si="4"/>
        <v>1.8578124999999999E-3</v>
      </c>
    </row>
    <row r="36" spans="1:24" x14ac:dyDescent="0.45">
      <c r="A36" s="59" t="s">
        <v>239</v>
      </c>
      <c r="B36" s="59" t="s">
        <v>182</v>
      </c>
      <c r="C36" s="59">
        <v>14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NK!C14</f>
        <v>4.5982638888888885E-4</v>
      </c>
      <c r="N36" s="62">
        <f>NK!C16</f>
        <v>7.2604166666666661E-4</v>
      </c>
      <c r="O36" s="62">
        <f>NK!C15</f>
        <v>9.9510416666666671E-4</v>
      </c>
      <c r="P36" s="62">
        <f>NK!C17</f>
        <v>8.4534027777777786E-4</v>
      </c>
      <c r="Q36" s="62">
        <f>NK!C19</f>
        <v>2.052704861111111E-3</v>
      </c>
      <c r="R36" s="62">
        <f>NK!C18</f>
        <v>1.8777430555555557E-3</v>
      </c>
      <c r="S36" s="62">
        <f t="shared" si="5"/>
        <v>4.5982638888888885E-4</v>
      </c>
      <c r="T36" s="62">
        <f t="shared" si="0"/>
        <v>7.2604166666666661E-4</v>
      </c>
      <c r="U36" s="62">
        <f t="shared" si="1"/>
        <v>9.9510416666666671E-4</v>
      </c>
      <c r="V36" s="62">
        <f t="shared" si="2"/>
        <v>8.4534027777777786E-4</v>
      </c>
      <c r="W36" s="62">
        <f t="shared" si="3"/>
        <v>2.052704861111111E-3</v>
      </c>
      <c r="X36" s="62">
        <f t="shared" si="4"/>
        <v>1.8777430555555557E-3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NK!K14</f>
        <v>5.3455092592592595E-4</v>
      </c>
      <c r="N37" s="62">
        <f>NK!K16</f>
        <v>8.0442129629629624E-4</v>
      </c>
      <c r="O37" s="62">
        <f>NK!K15</f>
        <v>1.0879490740740739E-3</v>
      </c>
      <c r="P37" s="62">
        <f>NK!K17</f>
        <v>8.9346759259259251E-4</v>
      </c>
      <c r="Q37" s="62">
        <f>NK!K19</f>
        <v>2.1059722222222218E-3</v>
      </c>
      <c r="R37" s="62">
        <f>NK!K18</f>
        <v>1.9128564814814813E-3</v>
      </c>
      <c r="S37" s="62">
        <f t="shared" si="5"/>
        <v>5.3455092592592595E-4</v>
      </c>
      <c r="T37" s="62">
        <f t="shared" si="0"/>
        <v>8.0442129629629624E-4</v>
      </c>
      <c r="U37" s="62">
        <f t="shared" si="1"/>
        <v>1.0879490740740739E-3</v>
      </c>
      <c r="V37" s="62">
        <f t="shared" si="2"/>
        <v>8.9346759259259251E-4</v>
      </c>
      <c r="W37" s="62">
        <f t="shared" si="3"/>
        <v>2.1059722222222218E-3</v>
      </c>
      <c r="X37" s="62">
        <f t="shared" si="4"/>
        <v>1.9128564814814813E-3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NK!J14</f>
        <v>5.4534027777777773E-4</v>
      </c>
      <c r="N38" s="62">
        <f>NK!J16</f>
        <v>8.1357175925925933E-4</v>
      </c>
      <c r="O38" s="62">
        <f>NK!J15</f>
        <v>1.1074791666666668E-3</v>
      </c>
      <c r="P38" s="62">
        <f>NK!J17</f>
        <v>9.065787037037035E-4</v>
      </c>
      <c r="Q38" s="62">
        <f>NK!J19</f>
        <v>2.1215416666666665E-3</v>
      </c>
      <c r="R38" s="62">
        <f>NK!J18</f>
        <v>1.9200949074074073E-3</v>
      </c>
      <c r="S38" s="62">
        <f t="shared" si="5"/>
        <v>5.4534027777777773E-4</v>
      </c>
      <c r="T38" s="62">
        <f t="shared" si="0"/>
        <v>8.1357175925925933E-4</v>
      </c>
      <c r="U38" s="62">
        <f t="shared" si="1"/>
        <v>1.1074791666666668E-3</v>
      </c>
      <c r="V38" s="62">
        <f t="shared" si="2"/>
        <v>9.065787037037035E-4</v>
      </c>
      <c r="W38" s="62">
        <f t="shared" si="3"/>
        <v>2.1215416666666665E-3</v>
      </c>
      <c r="X38" s="62">
        <f t="shared" si="4"/>
        <v>1.9200949074074073E-3</v>
      </c>
    </row>
    <row r="39" spans="1:24" x14ac:dyDescent="0.45">
      <c r="A39" s="59" t="s">
        <v>240</v>
      </c>
      <c r="B39" s="59" t="s">
        <v>164</v>
      </c>
      <c r="C39" s="59">
        <v>14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NK!I14</f>
        <v>5.5558333333333328E-4</v>
      </c>
      <c r="N39" s="62">
        <f>NK!I16</f>
        <v>8.2203935185185179E-4</v>
      </c>
      <c r="O39" s="62">
        <f>NK!I15</f>
        <v>1.1255069444444444E-3</v>
      </c>
      <c r="P39" s="62">
        <f>NK!I17</f>
        <v>9.1859722222222223E-4</v>
      </c>
      <c r="Q39" s="62">
        <f>NK!I19</f>
        <v>2.1360185185185184E-3</v>
      </c>
      <c r="R39" s="62">
        <f>NK!I18</f>
        <v>1.9267870370370367E-3</v>
      </c>
      <c r="S39" s="62">
        <f t="shared" si="5"/>
        <v>5.5558333333333328E-4</v>
      </c>
      <c r="T39" s="62">
        <f t="shared" si="0"/>
        <v>8.2203935185185179E-4</v>
      </c>
      <c r="U39" s="62">
        <f t="shared" si="1"/>
        <v>1.1255069444444444E-3</v>
      </c>
      <c r="V39" s="62">
        <f t="shared" si="2"/>
        <v>9.1859722222222223E-4</v>
      </c>
      <c r="W39" s="62">
        <f t="shared" si="3"/>
        <v>2.1360185185185184E-3</v>
      </c>
      <c r="X39" s="62">
        <f t="shared" si="4"/>
        <v>1.9267870370370367E-3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14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14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182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11" si="7">N52</f>
        <v>6.2893518518518528E-4</v>
      </c>
      <c r="U52" s="62">
        <f t="shared" ref="U52:U111" si="8">O52</f>
        <v>8.490625000000001E-4</v>
      </c>
      <c r="V52" s="62">
        <f t="shared" ref="V52:V111" si="9">P52</f>
        <v>7.0545138888888882E-4</v>
      </c>
      <c r="W52" s="62">
        <f t="shared" ref="W52:W111" si="10">Q52</f>
        <v>1.7668750000000002E-3</v>
      </c>
      <c r="X52" s="62">
        <f t="shared" ref="X52:X111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40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19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164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164</v>
      </c>
      <c r="C57" s="59">
        <v>23</v>
      </c>
      <c r="D57" s="59">
        <v>40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182</v>
      </c>
      <c r="C64" s="59">
        <v>19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40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19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164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164</v>
      </c>
      <c r="C69" s="59">
        <v>23</v>
      </c>
      <c r="D69" s="59">
        <v>40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182</v>
      </c>
      <c r="C76" s="59">
        <v>19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40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19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164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164</v>
      </c>
      <c r="C81" s="59">
        <v>23</v>
      </c>
      <c r="D81" s="59">
        <v>40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182</v>
      </c>
      <c r="C88" s="59">
        <v>19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40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19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164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164</v>
      </c>
      <c r="C93" s="59">
        <v>23</v>
      </c>
      <c r="D93" s="59">
        <v>40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182</v>
      </c>
      <c r="C100" s="59">
        <v>19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NK!$R$14</f>
        <v>4.0805555555555549E-4</v>
      </c>
      <c r="N100" s="62">
        <f>NK!$R$16</f>
        <v>6.4608796296296289E-4</v>
      </c>
      <c r="O100" s="62">
        <f>NK!$R$15</f>
        <v>8.7221874999999995E-4</v>
      </c>
      <c r="P100" s="62">
        <f>NK!$R$17</f>
        <v>7.2469097222222206E-4</v>
      </c>
      <c r="Q100" s="62">
        <f>NK!$R$19</f>
        <v>1.8150624999999998E-3</v>
      </c>
      <c r="R100" s="62">
        <f>NK!$R$18</f>
        <v>1.660864583333333E-3</v>
      </c>
      <c r="S100" s="62">
        <f>M100</f>
        <v>4.0805555555555549E-4</v>
      </c>
      <c r="T100" s="62">
        <f t="shared" si="7"/>
        <v>6.4608796296296289E-4</v>
      </c>
      <c r="U100" s="62">
        <f t="shared" si="8"/>
        <v>8.7221874999999995E-4</v>
      </c>
      <c r="V100" s="62">
        <f t="shared" si="9"/>
        <v>7.2469097222222206E-4</v>
      </c>
      <c r="W100" s="62">
        <f t="shared" si="10"/>
        <v>1.8150624999999998E-3</v>
      </c>
      <c r="X100" s="62">
        <f t="shared" si="11"/>
        <v>1.660864583333333E-3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NK!$S$14</f>
        <v>4.043935185185185E-4</v>
      </c>
      <c r="N101" s="62">
        <f>NK!$S$16</f>
        <v>6.4085648148148151E-4</v>
      </c>
      <c r="O101" s="62">
        <f>NK!$S$15</f>
        <v>8.6188657407407405E-4</v>
      </c>
      <c r="P101" s="62">
        <f>NK!$S$17</f>
        <v>7.1213541666666658E-4</v>
      </c>
      <c r="Q101" s="62">
        <f>NK!$S$19</f>
        <v>1.79740625E-3</v>
      </c>
      <c r="R101" s="62">
        <f>NK!$S$18</f>
        <v>1.6447777777777778E-3</v>
      </c>
      <c r="S101" s="62">
        <f t="shared" ref="S101:S105" si="12">M101</f>
        <v>4.043935185185185E-4</v>
      </c>
      <c r="T101" s="62">
        <f t="shared" si="7"/>
        <v>6.4085648148148151E-4</v>
      </c>
      <c r="U101" s="62">
        <f t="shared" si="8"/>
        <v>8.6188657407407405E-4</v>
      </c>
      <c r="V101" s="62">
        <f t="shared" si="9"/>
        <v>7.1213541666666658E-4</v>
      </c>
      <c r="W101" s="62">
        <f t="shared" si="10"/>
        <v>1.79740625E-3</v>
      </c>
      <c r="X101" s="62">
        <f t="shared" si="11"/>
        <v>1.6447777777777778E-3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40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NK!$T$14</f>
        <v>3.9327662037037033E-4</v>
      </c>
      <c r="N102" s="62">
        <f>NK!$T$16</f>
        <v>6.2450810185185179E-4</v>
      </c>
      <c r="O102" s="62">
        <f>NK!$T$15</f>
        <v>8.2971296296296287E-4</v>
      </c>
      <c r="P102" s="62">
        <f>NK!$T$17</f>
        <v>6.7342245370370364E-4</v>
      </c>
      <c r="Q102" s="62">
        <f>NK!$T$19</f>
        <v>1.7427372685185185E-3</v>
      </c>
      <c r="R102" s="62">
        <f>NK!$T$18</f>
        <v>1.5950787037037034E-3</v>
      </c>
      <c r="S102" s="62">
        <f t="shared" si="12"/>
        <v>3.9327662037037033E-4</v>
      </c>
      <c r="T102" s="62">
        <f t="shared" si="7"/>
        <v>6.2450810185185179E-4</v>
      </c>
      <c r="U102" s="62">
        <f t="shared" si="8"/>
        <v>8.2971296296296287E-4</v>
      </c>
      <c r="V102" s="62">
        <f t="shared" si="9"/>
        <v>6.7342245370370364E-4</v>
      </c>
      <c r="W102" s="62">
        <f t="shared" si="10"/>
        <v>1.7427372685185185E-3</v>
      </c>
      <c r="X102" s="62">
        <f t="shared" si="11"/>
        <v>1.5950787037037034E-3</v>
      </c>
    </row>
    <row r="103" spans="1:24" x14ac:dyDescent="0.45">
      <c r="A103" s="59" t="s">
        <v>272</v>
      </c>
      <c r="B103" s="59" t="s">
        <v>164</v>
      </c>
      <c r="C103" s="59">
        <v>19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NK!$X$14</f>
        <v>5.2034722222222228E-4</v>
      </c>
      <c r="N103" s="62">
        <f>NK!$X$16</f>
        <v>7.9253935185185189E-4</v>
      </c>
      <c r="O103" s="62">
        <f>NK!$X$15</f>
        <v>1.062409722222222E-3</v>
      </c>
      <c r="P103" s="62">
        <f>NK!$X$17</f>
        <v>8.7625925925925914E-4</v>
      </c>
      <c r="Q103" s="62">
        <f>NK!$X$19</f>
        <v>2.0854861111111109E-3</v>
      </c>
      <c r="R103" s="62">
        <f>NK!$X$18</f>
        <v>1.9032962962962964E-3</v>
      </c>
      <c r="S103" s="62">
        <f t="shared" si="12"/>
        <v>5.2034722222222228E-4</v>
      </c>
      <c r="T103" s="62">
        <f t="shared" si="7"/>
        <v>7.9253935185185189E-4</v>
      </c>
      <c r="U103" s="62">
        <f t="shared" si="8"/>
        <v>1.062409722222222E-3</v>
      </c>
      <c r="V103" s="62">
        <f t="shared" si="9"/>
        <v>8.7625925925925914E-4</v>
      </c>
      <c r="W103" s="62">
        <f t="shared" si="10"/>
        <v>2.0854861111111109E-3</v>
      </c>
      <c r="X103" s="62">
        <f t="shared" si="11"/>
        <v>1.9032962962962964E-3</v>
      </c>
    </row>
    <row r="104" spans="1:24" x14ac:dyDescent="0.45">
      <c r="A104" s="59" t="s">
        <v>272</v>
      </c>
      <c r="B104" s="59" t="s">
        <v>164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NK!$Y$14</f>
        <v>5.118796296296296E-4</v>
      </c>
      <c r="N104" s="62">
        <f>NK!$Y$16</f>
        <v>7.8516435185185178E-4</v>
      </c>
      <c r="O104" s="62">
        <f>NK!$Y$15</f>
        <v>1.0469768518518517E-3</v>
      </c>
      <c r="P104" s="62">
        <f>NK!$Y$17</f>
        <v>8.6574305555555547E-4</v>
      </c>
      <c r="Q104" s="62">
        <f>NK!$Y$19</f>
        <v>2.0726481481481481E-3</v>
      </c>
      <c r="R104" s="62">
        <f>NK!$Y$18</f>
        <v>1.8972870370370372E-3</v>
      </c>
      <c r="S104" s="62">
        <f t="shared" si="12"/>
        <v>5.118796296296296E-4</v>
      </c>
      <c r="T104" s="62">
        <f t="shared" si="7"/>
        <v>7.8516435185185178E-4</v>
      </c>
      <c r="U104" s="62">
        <f t="shared" si="8"/>
        <v>1.0469768518518517E-3</v>
      </c>
      <c r="V104" s="62">
        <f t="shared" si="9"/>
        <v>8.6574305555555547E-4</v>
      </c>
      <c r="W104" s="62">
        <f t="shared" si="10"/>
        <v>2.0726481481481481E-3</v>
      </c>
      <c r="X104" s="62">
        <f t="shared" si="11"/>
        <v>1.8972870370370372E-3</v>
      </c>
    </row>
    <row r="105" spans="1:24" x14ac:dyDescent="0.45">
      <c r="A105" s="59" t="s">
        <v>272</v>
      </c>
      <c r="B105" s="59" t="s">
        <v>164</v>
      </c>
      <c r="C105" s="59">
        <v>23</v>
      </c>
      <c r="D105" s="59">
        <v>40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NK!$Z$14</f>
        <v>4.8565740740740736E-4</v>
      </c>
      <c r="N105" s="62">
        <f>NK!$Z$16</f>
        <v>7.6235648148148148E-4</v>
      </c>
      <c r="O105" s="62">
        <f>NK!$Z$15</f>
        <v>9.9944907407407404E-4</v>
      </c>
      <c r="P105" s="62">
        <f>NK!$Z$17</f>
        <v>8.3337500000000002E-4</v>
      </c>
      <c r="Q105" s="62">
        <f>NK!$Z$19</f>
        <v>2.0329050925925922E-3</v>
      </c>
      <c r="R105" s="62">
        <f>NK!$Z$18</f>
        <v>1.8784398148148146E-3</v>
      </c>
      <c r="S105" s="62">
        <f t="shared" si="12"/>
        <v>4.8565740740740736E-4</v>
      </c>
      <c r="T105" s="62">
        <f t="shared" si="7"/>
        <v>7.6235648148148148E-4</v>
      </c>
      <c r="U105" s="62">
        <f t="shared" si="8"/>
        <v>9.9944907407407404E-4</v>
      </c>
      <c r="V105" s="62">
        <f t="shared" si="9"/>
        <v>8.3337500000000002E-4</v>
      </c>
      <c r="W105" s="62">
        <f t="shared" si="10"/>
        <v>2.0329050925925922E-3</v>
      </c>
      <c r="X105" s="62">
        <f t="shared" si="11"/>
        <v>1.8784398148148146E-3</v>
      </c>
    </row>
    <row r="106" spans="1:24" x14ac:dyDescent="0.45">
      <c r="A106" s="59" t="s">
        <v>273</v>
      </c>
      <c r="B106" s="59" t="s">
        <v>182</v>
      </c>
      <c r="C106" s="59">
        <v>19</v>
      </c>
      <c r="D106" s="59">
        <v>19</v>
      </c>
      <c r="E106" s="61">
        <v>45658</v>
      </c>
      <c r="F106" s="61">
        <v>46174</v>
      </c>
      <c r="G106" s="61">
        <v>45658</v>
      </c>
      <c r="H106" s="59" t="s">
        <v>178</v>
      </c>
      <c r="I106" s="59" t="s">
        <v>180</v>
      </c>
      <c r="J106" s="59"/>
      <c r="K106" s="59"/>
      <c r="L106" s="59">
        <v>10</v>
      </c>
      <c r="M106" s="62">
        <v>4.5043055555555553E-4</v>
      </c>
      <c r="N106" s="62">
        <v>7.1251736111111103E-4</v>
      </c>
      <c r="O106" s="62">
        <v>9.6791319444444431E-4</v>
      </c>
      <c r="P106" s="62">
        <v>8.1174305555555557E-4</v>
      </c>
      <c r="Q106" s="62">
        <v>2.0068645833333332E-3</v>
      </c>
      <c r="R106" s="62">
        <v>1.8361736111111109E-3</v>
      </c>
      <c r="S106" s="62">
        <f t="shared" ref="S106:X111" si="13">M106</f>
        <v>4.5043055555555553E-4</v>
      </c>
      <c r="T106" s="62">
        <f t="shared" si="7"/>
        <v>7.1251736111111103E-4</v>
      </c>
      <c r="U106" s="62">
        <f t="shared" si="8"/>
        <v>9.6791319444444431E-4</v>
      </c>
      <c r="V106" s="62">
        <f t="shared" si="9"/>
        <v>8.1174305555555557E-4</v>
      </c>
      <c r="W106" s="62">
        <f t="shared" si="10"/>
        <v>2.0068645833333332E-3</v>
      </c>
      <c r="X106" s="62">
        <f t="shared" si="11"/>
        <v>1.8361736111111109E-3</v>
      </c>
    </row>
    <row r="107" spans="1:24" x14ac:dyDescent="0.45">
      <c r="A107" s="59" t="s">
        <v>273</v>
      </c>
      <c r="B107" s="59" t="s">
        <v>182</v>
      </c>
      <c r="C107" s="59">
        <v>20</v>
      </c>
      <c r="D107" s="59">
        <v>22</v>
      </c>
      <c r="E107" s="61">
        <v>45658</v>
      </c>
      <c r="F107" s="61">
        <v>46174</v>
      </c>
      <c r="G107" s="61">
        <v>45658</v>
      </c>
      <c r="H107" s="59" t="s">
        <v>178</v>
      </c>
      <c r="I107" s="59" t="s">
        <v>180</v>
      </c>
      <c r="J107" s="59"/>
      <c r="K107" s="59"/>
      <c r="L107" s="59">
        <v>10</v>
      </c>
      <c r="M107" s="62">
        <v>4.5541319444444443E-4</v>
      </c>
      <c r="N107" s="62">
        <v>7.1949305555555558E-4</v>
      </c>
      <c r="O107" s="62">
        <v>9.8200694444444442E-4</v>
      </c>
      <c r="P107" s="62">
        <v>8.2925347222222222E-4</v>
      </c>
      <c r="Q107" s="62">
        <v>2.0306388888888887E-3</v>
      </c>
      <c r="R107" s="62">
        <v>1.8578124999999999E-3</v>
      </c>
      <c r="S107" s="62">
        <f t="shared" si="13"/>
        <v>4.5541319444444443E-4</v>
      </c>
      <c r="T107" s="62">
        <f t="shared" si="7"/>
        <v>7.1949305555555558E-4</v>
      </c>
      <c r="U107" s="62">
        <f t="shared" si="8"/>
        <v>9.8200694444444442E-4</v>
      </c>
      <c r="V107" s="62">
        <f t="shared" si="9"/>
        <v>8.2925347222222222E-4</v>
      </c>
      <c r="W107" s="62">
        <f t="shared" si="10"/>
        <v>2.0306388888888887E-3</v>
      </c>
      <c r="X107" s="62">
        <f t="shared" si="11"/>
        <v>1.8578124999999999E-3</v>
      </c>
    </row>
    <row r="108" spans="1:24" x14ac:dyDescent="0.45">
      <c r="A108" s="59" t="s">
        <v>273</v>
      </c>
      <c r="B108" s="59" t="s">
        <v>182</v>
      </c>
      <c r="C108" s="59">
        <v>23</v>
      </c>
      <c r="D108" s="59">
        <v>40</v>
      </c>
      <c r="E108" s="61">
        <v>45658</v>
      </c>
      <c r="F108" s="61">
        <v>46174</v>
      </c>
      <c r="G108" s="61">
        <v>45658</v>
      </c>
      <c r="H108" s="59" t="s">
        <v>178</v>
      </c>
      <c r="I108" s="59" t="s">
        <v>180</v>
      </c>
      <c r="J108" s="59"/>
      <c r="K108" s="59"/>
      <c r="L108" s="59">
        <v>10</v>
      </c>
      <c r="M108" s="62">
        <v>4.5982638888888885E-4</v>
      </c>
      <c r="N108" s="62">
        <v>7.2604166666666661E-4</v>
      </c>
      <c r="O108" s="62">
        <v>9.9510416666666671E-4</v>
      </c>
      <c r="P108" s="62">
        <v>8.4534027777777786E-4</v>
      </c>
      <c r="Q108" s="62">
        <v>2.052704861111111E-3</v>
      </c>
      <c r="R108" s="62">
        <v>1.8777430555555557E-3</v>
      </c>
      <c r="S108" s="62">
        <f t="shared" si="13"/>
        <v>4.5982638888888885E-4</v>
      </c>
      <c r="T108" s="62">
        <f t="shared" si="7"/>
        <v>7.2604166666666661E-4</v>
      </c>
      <c r="U108" s="62">
        <f t="shared" si="8"/>
        <v>9.9510416666666671E-4</v>
      </c>
      <c r="V108" s="62">
        <f t="shared" si="9"/>
        <v>8.4534027777777786E-4</v>
      </c>
      <c r="W108" s="62">
        <f t="shared" si="10"/>
        <v>2.052704861111111E-3</v>
      </c>
      <c r="X108" s="62">
        <f t="shared" si="11"/>
        <v>1.8777430555555557E-3</v>
      </c>
    </row>
    <row r="109" spans="1:24" x14ac:dyDescent="0.45">
      <c r="A109" s="59" t="s">
        <v>274</v>
      </c>
      <c r="B109" s="59" t="s">
        <v>164</v>
      </c>
      <c r="C109" s="59">
        <v>19</v>
      </c>
      <c r="D109" s="59">
        <v>19</v>
      </c>
      <c r="E109" s="61">
        <v>45658</v>
      </c>
      <c r="F109" s="61">
        <v>46174</v>
      </c>
      <c r="G109" s="61">
        <v>45658</v>
      </c>
      <c r="H109" s="59" t="s">
        <v>178</v>
      </c>
      <c r="I109" s="59" t="s">
        <v>180</v>
      </c>
      <c r="J109" s="59"/>
      <c r="K109" s="59"/>
      <c r="L109" s="59">
        <v>10</v>
      </c>
      <c r="M109" s="62">
        <v>5.3455092592592595E-4</v>
      </c>
      <c r="N109" s="62">
        <v>8.0442129629629624E-4</v>
      </c>
      <c r="O109" s="62">
        <v>1.0879490740740739E-3</v>
      </c>
      <c r="P109" s="62">
        <v>8.9346759259259251E-4</v>
      </c>
      <c r="Q109" s="62">
        <v>2.1059722222222218E-3</v>
      </c>
      <c r="R109" s="62">
        <v>1.9128564814814813E-3</v>
      </c>
      <c r="S109" s="62">
        <f t="shared" si="13"/>
        <v>5.3455092592592595E-4</v>
      </c>
      <c r="T109" s="62">
        <f t="shared" si="7"/>
        <v>8.0442129629629624E-4</v>
      </c>
      <c r="U109" s="62">
        <f t="shared" si="8"/>
        <v>1.0879490740740739E-3</v>
      </c>
      <c r="V109" s="62">
        <f t="shared" si="9"/>
        <v>8.9346759259259251E-4</v>
      </c>
      <c r="W109" s="62">
        <f t="shared" si="10"/>
        <v>2.1059722222222218E-3</v>
      </c>
      <c r="X109" s="62">
        <f t="shared" si="11"/>
        <v>1.9128564814814813E-3</v>
      </c>
    </row>
    <row r="110" spans="1:24" x14ac:dyDescent="0.45">
      <c r="A110" s="59" t="s">
        <v>274</v>
      </c>
      <c r="B110" s="59" t="s">
        <v>164</v>
      </c>
      <c r="C110" s="59">
        <v>20</v>
      </c>
      <c r="D110" s="59">
        <v>22</v>
      </c>
      <c r="E110" s="61">
        <v>45658</v>
      </c>
      <c r="F110" s="61">
        <v>46174</v>
      </c>
      <c r="G110" s="61">
        <v>45658</v>
      </c>
      <c r="H110" s="59" t="s">
        <v>178</v>
      </c>
      <c r="I110" s="59" t="s">
        <v>180</v>
      </c>
      <c r="J110" s="59"/>
      <c r="K110" s="59"/>
      <c r="L110" s="59">
        <v>10</v>
      </c>
      <c r="M110" s="62">
        <v>5.4534027777777773E-4</v>
      </c>
      <c r="N110" s="62">
        <v>8.1357175925925933E-4</v>
      </c>
      <c r="O110" s="62">
        <v>1.1074791666666668E-3</v>
      </c>
      <c r="P110" s="62">
        <v>9.065787037037035E-4</v>
      </c>
      <c r="Q110" s="62">
        <v>2.1215416666666665E-3</v>
      </c>
      <c r="R110" s="62">
        <v>1.9200949074074073E-3</v>
      </c>
      <c r="S110" s="62">
        <f t="shared" si="13"/>
        <v>5.4534027777777773E-4</v>
      </c>
      <c r="T110" s="62">
        <f t="shared" si="7"/>
        <v>8.1357175925925933E-4</v>
      </c>
      <c r="U110" s="62">
        <f t="shared" si="8"/>
        <v>1.1074791666666668E-3</v>
      </c>
      <c r="V110" s="62">
        <f t="shared" si="9"/>
        <v>9.065787037037035E-4</v>
      </c>
      <c r="W110" s="62">
        <f t="shared" si="10"/>
        <v>2.1215416666666665E-3</v>
      </c>
      <c r="X110" s="62">
        <f t="shared" si="11"/>
        <v>1.9200949074074073E-3</v>
      </c>
    </row>
    <row r="111" spans="1:24" x14ac:dyDescent="0.45">
      <c r="A111" s="59" t="s">
        <v>274</v>
      </c>
      <c r="B111" s="59" t="s">
        <v>164</v>
      </c>
      <c r="C111" s="59">
        <v>23</v>
      </c>
      <c r="D111" s="59">
        <v>40</v>
      </c>
      <c r="E111" s="61">
        <v>45658</v>
      </c>
      <c r="F111" s="61">
        <v>46174</v>
      </c>
      <c r="G111" s="61">
        <v>45658</v>
      </c>
      <c r="H111" s="59" t="s">
        <v>178</v>
      </c>
      <c r="I111" s="59" t="s">
        <v>180</v>
      </c>
      <c r="J111" s="59"/>
      <c r="K111" s="59"/>
      <c r="L111" s="59">
        <v>10</v>
      </c>
      <c r="M111" s="62">
        <v>5.5558333333333328E-4</v>
      </c>
      <c r="N111" s="62">
        <v>8.2203935185185179E-4</v>
      </c>
      <c r="O111" s="62">
        <v>1.1255069444444444E-3</v>
      </c>
      <c r="P111" s="62">
        <v>9.1859722222222223E-4</v>
      </c>
      <c r="Q111" s="62">
        <v>2.1360185185185184E-3</v>
      </c>
      <c r="R111" s="62">
        <v>1.9267870370370367E-3</v>
      </c>
      <c r="S111" s="62">
        <f t="shared" si="13"/>
        <v>5.5558333333333328E-4</v>
      </c>
      <c r="T111" s="62">
        <f t="shared" si="7"/>
        <v>8.2203935185185179E-4</v>
      </c>
      <c r="U111" s="62">
        <f t="shared" si="8"/>
        <v>1.1255069444444444E-3</v>
      </c>
      <c r="V111" s="62">
        <f t="shared" si="9"/>
        <v>9.1859722222222223E-4</v>
      </c>
      <c r="W111" s="62">
        <f t="shared" si="10"/>
        <v>2.1360185185185184E-3</v>
      </c>
      <c r="X111" s="62">
        <f t="shared" si="11"/>
        <v>1.9267870370370367E-3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C1" workbookViewId="0">
      <selection activeCell="L19" sqref="L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4.5982638888888885E-4</v>
      </c>
      <c r="D14" s="65">
        <f t="shared" ref="D14:E14" si="0">D5*$F14</f>
        <v>4.5541319444444443E-4</v>
      </c>
      <c r="E14" s="65">
        <f t="shared" si="0"/>
        <v>4.5043055555555553E-4</v>
      </c>
      <c r="F14">
        <v>1.23</v>
      </c>
      <c r="H14" s="64" t="s">
        <v>0</v>
      </c>
      <c r="I14" s="65">
        <f>I5*$L14</f>
        <v>5.5558333333333328E-4</v>
      </c>
      <c r="J14" s="65">
        <f t="shared" ref="J14:K14" si="1">J5*$L14</f>
        <v>5.4534027777777773E-4</v>
      </c>
      <c r="K14" s="65">
        <f t="shared" si="1"/>
        <v>5.3455092592592595E-4</v>
      </c>
      <c r="L14">
        <v>1.18</v>
      </c>
      <c r="Q14" s="64" t="s">
        <v>0</v>
      </c>
      <c r="R14" s="65">
        <f t="shared" ref="R14:T19" si="2">R5*$U14</f>
        <v>4.0805555555555549E-4</v>
      </c>
      <c r="S14" s="65">
        <f t="shared" si="2"/>
        <v>4.043935185185185E-4</v>
      </c>
      <c r="T14" s="65">
        <f t="shared" si="2"/>
        <v>3.9327662037037033E-4</v>
      </c>
      <c r="U14">
        <v>1.1299999999999999</v>
      </c>
      <c r="W14" s="64" t="s">
        <v>0</v>
      </c>
      <c r="X14" s="65">
        <f>X5*$AA14</f>
        <v>5.2034722222222228E-4</v>
      </c>
      <c r="Y14" s="65">
        <f t="shared" ref="Y14:Z14" si="3">Y5*$AA14</f>
        <v>5.118796296296296E-4</v>
      </c>
      <c r="Z14" s="65">
        <f t="shared" si="3"/>
        <v>4.8565740740740736E-4</v>
      </c>
      <c r="AA14">
        <v>1.18</v>
      </c>
    </row>
    <row r="15" spans="2:27" x14ac:dyDescent="0.45">
      <c r="B15" s="64" t="s">
        <v>223</v>
      </c>
      <c r="C15" s="65">
        <f t="shared" ref="C15:E15" si="4">C6*$F15</f>
        <v>9.9510416666666671E-4</v>
      </c>
      <c r="D15" s="65">
        <f t="shared" si="4"/>
        <v>9.8200694444444442E-4</v>
      </c>
      <c r="E15" s="65">
        <f t="shared" si="4"/>
        <v>9.6791319444444431E-4</v>
      </c>
      <c r="F15">
        <v>1.23</v>
      </c>
      <c r="H15" s="64" t="s">
        <v>223</v>
      </c>
      <c r="I15" s="65">
        <f t="shared" ref="I15:K15" si="5">I6*$L15</f>
        <v>1.1255069444444444E-3</v>
      </c>
      <c r="J15" s="65">
        <f t="shared" si="5"/>
        <v>1.1074791666666668E-3</v>
      </c>
      <c r="K15" s="65">
        <f t="shared" si="5"/>
        <v>1.0879490740740739E-3</v>
      </c>
      <c r="L15">
        <v>1.18</v>
      </c>
      <c r="Q15" s="64" t="s">
        <v>223</v>
      </c>
      <c r="R15" s="65">
        <f t="shared" si="2"/>
        <v>8.7221874999999995E-4</v>
      </c>
      <c r="S15" s="65">
        <f t="shared" si="2"/>
        <v>8.6188657407407405E-4</v>
      </c>
      <c r="T15" s="65">
        <f t="shared" si="2"/>
        <v>8.2971296296296287E-4</v>
      </c>
      <c r="U15">
        <v>1.1299999999999999</v>
      </c>
      <c r="W15" s="64" t="s">
        <v>223</v>
      </c>
      <c r="X15" s="65">
        <f t="shared" ref="X15:Z15" si="6">X6*$AA15</f>
        <v>1.062409722222222E-3</v>
      </c>
      <c r="Y15" s="65">
        <f t="shared" si="6"/>
        <v>1.0469768518518517E-3</v>
      </c>
      <c r="Z15" s="65">
        <f t="shared" si="6"/>
        <v>9.9944907407407404E-4</v>
      </c>
      <c r="AA15">
        <v>1.18</v>
      </c>
    </row>
    <row r="16" spans="2:27" x14ac:dyDescent="0.45">
      <c r="B16" s="64" t="s">
        <v>224</v>
      </c>
      <c r="C16" s="65">
        <f t="shared" ref="C16:E16" si="7">C7*$F16</f>
        <v>7.2604166666666661E-4</v>
      </c>
      <c r="D16" s="65">
        <f t="shared" si="7"/>
        <v>7.1949305555555558E-4</v>
      </c>
      <c r="E16" s="65">
        <f t="shared" si="7"/>
        <v>7.1251736111111103E-4</v>
      </c>
      <c r="F16">
        <v>1.23</v>
      </c>
      <c r="H16" s="64" t="s">
        <v>224</v>
      </c>
      <c r="I16" s="65">
        <f t="shared" ref="I16:K16" si="8">I7*$L16</f>
        <v>8.2203935185185179E-4</v>
      </c>
      <c r="J16" s="65">
        <f t="shared" si="8"/>
        <v>8.1357175925925933E-4</v>
      </c>
      <c r="K16" s="65">
        <f t="shared" si="8"/>
        <v>8.0442129629629624E-4</v>
      </c>
      <c r="L16">
        <v>1.18</v>
      </c>
      <c r="Q16" s="64" t="s">
        <v>224</v>
      </c>
      <c r="R16" s="65">
        <f t="shared" si="2"/>
        <v>6.4608796296296289E-4</v>
      </c>
      <c r="S16" s="65">
        <f t="shared" si="2"/>
        <v>6.4085648148148151E-4</v>
      </c>
      <c r="T16" s="65">
        <f t="shared" si="2"/>
        <v>6.2450810185185179E-4</v>
      </c>
      <c r="U16">
        <v>1.1299999999999999</v>
      </c>
      <c r="W16" s="64" t="s">
        <v>224</v>
      </c>
      <c r="X16" s="65">
        <f t="shared" ref="X16:Z16" si="9">X7*$AA16</f>
        <v>7.9253935185185189E-4</v>
      </c>
      <c r="Y16" s="65">
        <f t="shared" si="9"/>
        <v>7.8516435185185178E-4</v>
      </c>
      <c r="Z16" s="65">
        <f t="shared" si="9"/>
        <v>7.6235648148148148E-4</v>
      </c>
      <c r="AA16">
        <v>1.18</v>
      </c>
    </row>
    <row r="17" spans="2:27" ht="14.25" customHeight="1" x14ac:dyDescent="0.45">
      <c r="B17" s="64" t="s">
        <v>225</v>
      </c>
      <c r="C17" s="65">
        <f t="shared" ref="C17:E17" si="10">C8*$F17</f>
        <v>8.4534027777777786E-4</v>
      </c>
      <c r="D17" s="65">
        <f t="shared" si="10"/>
        <v>8.2925347222222222E-4</v>
      </c>
      <c r="E17" s="65">
        <f t="shared" si="10"/>
        <v>8.1174305555555557E-4</v>
      </c>
      <c r="F17">
        <v>1.23</v>
      </c>
      <c r="H17" s="64" t="s">
        <v>225</v>
      </c>
      <c r="I17" s="65">
        <f t="shared" ref="I17:K17" si="11">I8*$L17</f>
        <v>9.1859722222222223E-4</v>
      </c>
      <c r="J17" s="65">
        <f t="shared" si="11"/>
        <v>9.065787037037035E-4</v>
      </c>
      <c r="K17" s="65">
        <f t="shared" si="11"/>
        <v>8.9346759259259251E-4</v>
      </c>
      <c r="L17">
        <v>1.18</v>
      </c>
      <c r="Q17" s="64" t="s">
        <v>225</v>
      </c>
      <c r="R17" s="65">
        <f t="shared" si="2"/>
        <v>7.2469097222222206E-4</v>
      </c>
      <c r="S17" s="65">
        <f t="shared" si="2"/>
        <v>7.1213541666666658E-4</v>
      </c>
      <c r="T17" s="65">
        <f t="shared" si="2"/>
        <v>6.7342245370370364E-4</v>
      </c>
      <c r="U17">
        <v>1.1299999999999999</v>
      </c>
      <c r="W17" s="64" t="s">
        <v>225</v>
      </c>
      <c r="X17" s="65">
        <f t="shared" ref="X17:Z17" si="12">X8*$AA17</f>
        <v>8.7625925925925914E-4</v>
      </c>
      <c r="Y17" s="65">
        <f t="shared" si="12"/>
        <v>8.6574305555555547E-4</v>
      </c>
      <c r="Z17" s="65">
        <f t="shared" si="12"/>
        <v>8.3337500000000002E-4</v>
      </c>
      <c r="AA17">
        <v>1.18</v>
      </c>
    </row>
    <row r="18" spans="2:27" x14ac:dyDescent="0.45">
      <c r="B18" s="64" t="s">
        <v>226</v>
      </c>
      <c r="C18" s="65">
        <f t="shared" ref="C18:E18" si="13">C9*$F18</f>
        <v>1.8777430555555557E-3</v>
      </c>
      <c r="D18" s="65">
        <f t="shared" si="13"/>
        <v>1.8578124999999999E-3</v>
      </c>
      <c r="E18" s="65">
        <f t="shared" si="13"/>
        <v>1.8361736111111109E-3</v>
      </c>
      <c r="F18">
        <v>1.23</v>
      </c>
      <c r="H18" s="64" t="s">
        <v>226</v>
      </c>
      <c r="I18" s="65">
        <f t="shared" ref="I18:K18" si="14">I9*$L18</f>
        <v>1.9267870370370367E-3</v>
      </c>
      <c r="J18" s="65">
        <f t="shared" si="14"/>
        <v>1.9200949074074073E-3</v>
      </c>
      <c r="K18" s="65">
        <f t="shared" si="14"/>
        <v>1.9128564814814813E-3</v>
      </c>
      <c r="L18">
        <v>1.18</v>
      </c>
      <c r="Q18" s="64" t="s">
        <v>226</v>
      </c>
      <c r="R18" s="65">
        <f t="shared" si="2"/>
        <v>1.660864583333333E-3</v>
      </c>
      <c r="S18" s="65">
        <f t="shared" si="2"/>
        <v>1.6447777777777778E-3</v>
      </c>
      <c r="T18" s="65">
        <f t="shared" si="2"/>
        <v>1.5950787037037034E-3</v>
      </c>
      <c r="U18">
        <v>1.1299999999999999</v>
      </c>
      <c r="W18" s="64" t="s">
        <v>226</v>
      </c>
      <c r="X18" s="65">
        <f t="shared" ref="X18:Z18" si="15">X9*$AA18</f>
        <v>1.9032962962962964E-3</v>
      </c>
      <c r="Y18" s="65">
        <f t="shared" si="15"/>
        <v>1.8972870370370372E-3</v>
      </c>
      <c r="Z18" s="65">
        <f t="shared" si="15"/>
        <v>1.8784398148148146E-3</v>
      </c>
      <c r="AA18">
        <v>1.18</v>
      </c>
    </row>
    <row r="19" spans="2:27" x14ac:dyDescent="0.45">
      <c r="B19" s="64" t="s">
        <v>4</v>
      </c>
      <c r="C19" s="65">
        <f t="shared" ref="C19:E19" si="16">C10*$F19</f>
        <v>2.052704861111111E-3</v>
      </c>
      <c r="D19" s="65">
        <f t="shared" si="16"/>
        <v>2.0306388888888887E-3</v>
      </c>
      <c r="E19" s="65">
        <f t="shared" si="16"/>
        <v>2.0068645833333332E-3</v>
      </c>
      <c r="F19">
        <v>1.23</v>
      </c>
      <c r="H19" s="64" t="s">
        <v>4</v>
      </c>
      <c r="I19" s="65">
        <f t="shared" ref="I19:K19" si="17">I10*$L19</f>
        <v>2.1360185185185184E-3</v>
      </c>
      <c r="J19" s="65">
        <f t="shared" si="17"/>
        <v>2.1215416666666665E-3</v>
      </c>
      <c r="K19" s="65">
        <f t="shared" si="17"/>
        <v>2.1059722222222218E-3</v>
      </c>
      <c r="L19">
        <v>1.18</v>
      </c>
      <c r="Q19" s="64" t="s">
        <v>4</v>
      </c>
      <c r="R19" s="65">
        <f t="shared" si="2"/>
        <v>1.8150624999999998E-3</v>
      </c>
      <c r="S19" s="65">
        <f t="shared" si="2"/>
        <v>1.79740625E-3</v>
      </c>
      <c r="T19" s="65">
        <f t="shared" si="2"/>
        <v>1.7427372685185185E-3</v>
      </c>
      <c r="U19">
        <v>1.1299999999999999</v>
      </c>
      <c r="W19" s="64" t="s">
        <v>4</v>
      </c>
      <c r="X19" s="65">
        <f t="shared" ref="X19:Z19" si="18">X10*$AA19</f>
        <v>2.0854861111111109E-3</v>
      </c>
      <c r="Y19" s="65">
        <f t="shared" si="18"/>
        <v>2.0726481481481481E-3</v>
      </c>
      <c r="Z19" s="65">
        <f t="shared" si="18"/>
        <v>2.0329050925925922E-3</v>
      </c>
      <c r="AA19">
        <v>1.18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2026-01-24T01:05:52Z</dcterms:modified>
</cp:coreProperties>
</file>