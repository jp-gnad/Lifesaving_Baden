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923A6004-7726-44E5-968C-336097937ED9}" xr6:coauthVersionLast="47" xr6:coauthVersionMax="47" xr10:uidLastSave="{00000000-0000-0000-0000-000000000000}"/>
  <bookViews>
    <workbookView xWindow="-98" yWindow="-98" windowWidth="21795" windowHeight="12975" tabRatio="687" firstSheet="1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<sst xmlns="http://schemas.openxmlformats.org/spreadsheetml/2006/main" count="776" uniqueCount="277">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</sst>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75" headerRowBorderDxfId="174" tableBorderDxfId="173">
  <autoFilter ref="A4:AW31" xr:uid="{2C5E83EE-6B6F-478A-9C90-A846A1A76536}"/>
  <tableColumns count="49">
    <tableColumn id="1" xr3:uid="{7C0C4105-A61A-4B8D-9129-EDC4F18765AF}" name="WR-Open" dataDxfId="172">
      <calculatedColumnFormula>A4+1</calculatedColumnFormula>
    </tableColumn>
    <tableColumn id="2" xr3:uid="{516F5612-F85F-413F-9012-E235F415E34B}" name="50m Retten - offen - W" dataDxfId="171"/>
    <tableColumn id="3" xr3:uid="{BC9ACAC9-0D45-42FD-B596-D19FBE3A4D83}" name="100m Retten - offen - W" dataDxfId="170"/>
    <tableColumn id="4" xr3:uid="{CB6DBE59-EB65-43F0-93E7-0BDC3F82832B}" name="100m Kombi - offen - W" dataDxfId="169"/>
    <tableColumn id="5" xr3:uid="{AA603C60-6831-4C14-A8CD-0AA050DA7551}" name="100m Lifesaver - offen - W" dataDxfId="168"/>
    <tableColumn id="6" xr3:uid="{7920F147-7717-4582-940A-2610F7D310CA}" name="200m Superlifesaver - offen - W" dataDxfId="167"/>
    <tableColumn id="7" xr3:uid="{04E21F1D-AC8D-4A1B-9B43-59B8F7901673}" name="200m Hindernis - offen - W" dataDxfId="166"/>
    <tableColumn id="8" xr3:uid="{40E8A083-653A-48A8-9B37-0A2D850B7829}" name="50m Retten - offen - M" dataDxfId="165"/>
    <tableColumn id="9" xr3:uid="{863824A9-134F-4189-BB14-225AE224FC44}" name="100m Retten - offen - M" dataDxfId="16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63"/>
    <tableColumn id="14" xr3:uid="{FA907992-7FCE-4CAD-8CF2-F5BEBC9B3756}" name="50m Retten - 17/18 - W" dataDxfId="162"/>
    <tableColumn id="15" xr3:uid="{76B63DC0-CB67-48F4-9B5A-D22902F59334}" name="100m Retten - 17/18 - W" dataDxfId="161"/>
    <tableColumn id="16" xr3:uid="{614A2419-51B1-44C0-8469-ADBFB078B81A}" name="100m Kombi -17/18 - W" dataDxfId="160"/>
    <tableColumn id="17" xr3:uid="{2EC953EE-367D-4524-A25E-8DE3B8168E34}" name="100m Lifesaver - 17/18 - W" dataDxfId="159"/>
    <tableColumn id="18" xr3:uid="{25711867-9BD7-4197-9094-A21392411249}" name="200m Superlifesaver - 17/18 - W" dataDxfId="158"/>
    <tableColumn id="19" xr3:uid="{262DB142-CFB1-45C3-9332-7273CACD1B62}" name="200m Hindernis - 17/18 - W" dataDxfId="157"/>
    <tableColumn id="20" xr3:uid="{938BA45A-8244-4637-8A14-DF49CD91A945}" name="50m Retten - 17/18 - M" dataDxfId="156"/>
    <tableColumn id="21" xr3:uid="{737E28D8-900F-4A98-95FE-EE7B0AFDEE90}" name="100m Retten - 17/18 - M" dataDxfId="155"/>
    <tableColumn id="22" xr3:uid="{330BD3A8-061C-45E2-ADDB-40C2F346772F}" name="100m Kombi - 17/18 - M" dataDxfId="154"/>
    <tableColumn id="23" xr3:uid="{0CADDE90-A167-4E1D-8D33-8624E5E1A4E2}" name="100m Lifesaver - 17/18 - M" dataDxfId="153"/>
    <tableColumn id="24" xr3:uid="{FCF9F42C-1291-4985-9D37-B9DE2DAA5DCB}" name="200m Superlifesaver - 17/18 - M" dataDxfId="152"/>
    <tableColumn id="25" xr3:uid="{4E5397B2-F924-4F48-AE69-AF6D650AF88D}" name="200m Hindernis - 17/18 - M" dataDxfId="151"/>
    <tableColumn id="26" xr3:uid="{0A78315A-BFDC-43EE-A66F-48B301F66508}" name="50m Retten - 15/16 - W" dataDxfId="150"/>
    <tableColumn id="27" xr3:uid="{D3FCF8BD-6C76-450D-80C0-CC0519A79731}" name="100m Retten - 15/16 - W" dataDxfId="149"/>
    <tableColumn id="28" xr3:uid="{6BE7937E-D62D-47CD-95DE-1730304B0DF3}" name="100m Kombi - 15/16 - W" dataDxfId="148"/>
    <tableColumn id="29" xr3:uid="{098BA5BE-5AF6-4187-89B6-534498F24C51}" name="100m Lifesaver -  15/16 - W" dataDxfId="147"/>
    <tableColumn id="30" xr3:uid="{2A6822CF-143C-4BF7-A440-5777527BE512}" name="200m Superlifesaver -  15/16 - W" dataDxfId="146"/>
    <tableColumn id="31" xr3:uid="{541C7145-CDEA-4E4E-9E7A-A4F05BA6C3E5}" name="200m Hindernis -  15/16 - W" dataDxfId="145"/>
    <tableColumn id="32" xr3:uid="{342C4488-8C61-42E6-87A9-C75BD8EB7452}" name="50m Retten - 15/16 - M" dataDxfId="144"/>
    <tableColumn id="33" xr3:uid="{857B1D46-7D20-47F7-AB9B-732D50346E32}" name="100m Retten - 15/16 - M" dataDxfId="143"/>
    <tableColumn id="34" xr3:uid="{4C8A2EB4-804B-45F1-A768-9A6958957F8B}" name="100m Kombi -15/16 - M" dataDxfId="142"/>
    <tableColumn id="35" xr3:uid="{26C75B4F-21EC-4EB0-A9A9-54BC80140672}" name="100m Lifesaver - 15/16 - M" dataDxfId="141"/>
    <tableColumn id="36" xr3:uid="{DBBB2A23-1A06-429A-A5D1-A547EF5EC16F}" name="200m Superlifesaver - 15/16 - M" dataDxfId="140"/>
    <tableColumn id="37" xr3:uid="{84061231-CAE5-427A-87F5-6DDBA99F77D2}" name="200m Hindernis - 15/16 - M" dataDxfId="139"/>
    <tableColumn id="38" xr3:uid="{878CCA80-A742-4B3C-90C9-E93BB814201B}" name="50m Retten - 13/14 - W" dataDxfId="138"/>
    <tableColumn id="39" xr3:uid="{A1F57102-61CF-4784-8DE2-0B8F32D5D699}" name="50m Retten mit Flossen - 13/14 - W" dataDxfId="137"/>
    <tableColumn id="40" xr3:uid="{0F6BAF78-3D79-42A9-9FED-E6D0E335A920}" name="100m Hindernis - 13/14 - W" dataDxfId="136"/>
    <tableColumn id="41" xr3:uid="{EB748A68-E10D-4D76-B315-8FDB3AC33C8D}" name="50m Retten - 13/14 - M" dataDxfId="135"/>
    <tableColumn id="42" xr3:uid="{C7B04167-6430-40F0-9A0F-D0D0BE2F9C77}" name="50m Retten mit Flossen - 13/14 - M" dataDxfId="134"/>
    <tableColumn id="43" xr3:uid="{48704BB7-A853-445A-8CDC-8D8F86C2B66A}" name="100m Hindernis - 13/14 - M" dataDxfId="133"/>
    <tableColumn id="44" xr3:uid="{9605FE9A-F41C-4A5F-A59C-B7A9D45C460F}" name="50m Flossen - 12 - W" dataDxfId="132"/>
    <tableColumn id="45" xr3:uid="{4C9DBF61-35B1-4BC2-8272-526E0AFAAFFB}" name="50m komb. Schwimmen - 12 - W" dataDxfId="131"/>
    <tableColumn id="46" xr3:uid="{CF433C95-C272-48F9-98CD-7E3C8DBB6F2C}" name="50m Hindernis - 12 - W" dataDxfId="130"/>
    <tableColumn id="47" xr3:uid="{FADB7411-DB43-4B14-B9E8-D74CA1BA18B8}" name="50m Flossen - 12 - M" dataDxfId="129"/>
    <tableColumn id="48" xr3:uid="{02936F84-1D82-48AC-8D7C-6D2954D68A06}" name="50m komb. Schwimmen - 12 - M" dataDxfId="128"/>
    <tableColumn id="49" xr3:uid="{7FD9BD11-0597-4E07-8DA5-DB53384197F5}" name="50m Hindernis - 12 - M" dataDxfId="1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26" dataDxfId="124" headerRowBorderDxfId="125" tableBorderDxfId="123">
  <autoFilter ref="A4:M32" xr:uid="{4234D44E-A2BE-4790-B589-1A8CC19B714E}"/>
  <tableColumns count="13">
    <tableColumn id="1" xr3:uid="{848E691A-41B0-42DD-B122-FB6DF43CB3EF}" name="WR-Youth" dataDxfId="122"/>
    <tableColumn id="2" xr3:uid="{2FE43F18-485B-46A9-8946-FBC5FDAE5A8E}" name="50m Retten" dataDxfId="121"/>
    <tableColumn id="3" xr3:uid="{CA5C3ABF-02E6-442B-868B-95B293B231D3}" name="100m Retten" dataDxfId="120"/>
    <tableColumn id="4" xr3:uid="{7A6BBA52-2145-464D-8C04-B2CCFC1A90DC}" name="100m Kombi" dataDxfId="119"/>
    <tableColumn id="5" xr3:uid="{21F420C9-E788-49EE-88F6-E37963ED31CF}" name="100m Lifesaver" dataDxfId="118"/>
    <tableColumn id="6" xr3:uid="{CB87B7CD-8A9C-4775-A4D7-4D267F43FD1A}" name="200m Superlifesaver" dataDxfId="117"/>
    <tableColumn id="7" xr3:uid="{2DC7F290-B564-4851-85AE-D211DA701B32}" name="200m Hindernis" dataDxfId="116"/>
    <tableColumn id="8" xr3:uid="{8112783D-8796-4D6A-8414-AC675D745697}" name="50m Retten2" dataDxfId="115"/>
    <tableColumn id="9" xr3:uid="{4E818CD4-8725-495D-9D1D-1AFCED9181F5}" name="100m Retten2" dataDxfId="114"/>
    <tableColumn id="10" xr3:uid="{28C05A91-E302-40A9-B50A-ECF997F129FC}" name="100m Kombi2" dataDxfId="113"/>
    <tableColumn id="11" xr3:uid="{D56FB9F2-45BF-4EC9-A84C-8A5FB59F2F05}" name="100m Lifesaver2" dataDxfId="112"/>
    <tableColumn id="12" xr3:uid="{540169C0-2A40-4794-A872-F7DF8A887BF2}" name="200m Superlifesaver2" dataDxfId="111"/>
    <tableColumn id="13" xr3:uid="{D104CB67-B55A-4C81-87E5-0AC758DD22A4}" name="200m Hindernis2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09" headerRowBorderDxfId="108" tableBorderDxfId="107">
  <autoFilter ref="A4:M32" xr:uid="{E2D2F97B-7645-4066-8AB3-F35CF6E035EB}"/>
  <tableColumns count="13">
    <tableColumn id="1" xr3:uid="{AE73402B-B27E-4B29-8DCF-30B7FC1855EF}" name="WR-Open" dataDxfId="106">
      <calculatedColumnFormula>A4+1</calculatedColumnFormula>
    </tableColumn>
    <tableColumn id="2" xr3:uid="{EA3EAC1F-184E-4A28-B3E3-08DE12F138EF}" name="50m Retten" dataDxfId="105"/>
    <tableColumn id="3" xr3:uid="{E0305A3F-6087-4F8C-8B64-153E1ACAA32E}" name="100m Retten" dataDxfId="104"/>
    <tableColumn id="4" xr3:uid="{F0B7AC37-315E-49AA-855C-7955D2B43A76}" name="100m Kombi" dataDxfId="103"/>
    <tableColumn id="5" xr3:uid="{B5E690AB-DB7D-4864-8916-89D2A68C4128}" name="100m Lifesaver" dataDxfId="102"/>
    <tableColumn id="6" xr3:uid="{D89BAF4D-36AE-4C73-9320-9C5736F02F8A}" name="200m Superlifesaver" dataDxfId="101"/>
    <tableColumn id="7" xr3:uid="{58AE7517-1A90-459F-A7D2-B95265D217E7}" name="200m Hindernis" dataDxfId="100"/>
    <tableColumn id="8" xr3:uid="{13A189FB-E897-4A1F-A001-525F61E9CFFF}" name="50m Retten2" dataDxfId="99"/>
    <tableColumn id="9" xr3:uid="{36418AC5-46B8-400F-BD2E-D329CF4F92CD}" name="100m Retten2" dataDxfId="9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97" dataDxfId="9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95"/>
    <tableColumn id="2" xr3:uid="{2F302F6C-F8AF-4FDE-AB08-6F30F9671015}" name="Geschlecht" dataDxfId="94"/>
    <tableColumn id="3" xr3:uid="{4D91FBF9-386D-43DD-90D0-B49823FDB629}" name="Mindest alter" dataDxfId="93"/>
    <tableColumn id="4" xr3:uid="{4126AAC6-AF2F-446C-B4EA-D86ACFD9FAC2}" name="Maximales Alter" dataDxfId="92"/>
    <tableColumn id="5" xr3:uid="{8A10890A-A299-4B09-AC72-0E9AE9238AF3}" name="Qualizeitraum anfang" dataDxfId="91"/>
    <tableColumn id="6" xr3:uid="{FBCD1C13-FC82-429B-8DE1-0C5A455FDAB8}" name="Qualizeitraum Ende" dataDxfId="90"/>
    <tableColumn id="7" xr3:uid="{1DCCAC9B-BC46-468E-A3CE-57576C2FF11D}" name="Letzter Wettkampf am" dataDxfId="89"/>
    <tableColumn id="8" xr3:uid="{9A6E47EE-ABD8-4A1E-87D3-9D286E4C124F}" name="Wertung" dataDxfId="88"/>
    <tableColumn id="9" xr3:uid="{09E848D2-ED17-49C7-9775-CBF17D20DFC0}" name="Landesverband" dataDxfId="87"/>
    <tableColumn id="10" xr3:uid="{70ABB713-23F6-4FCF-920E-3CB0CD451446}" name="OMS" dataDxfId="86"/>
    <tableColumn id="11" xr3:uid="{9C108A1C-E6AB-4C13-9C1D-0FA8944A39A3}" name="Pool-Länge" dataDxfId="85"/>
    <tableColumn id="12" xr3:uid="{087948DD-430D-48F1-906D-4F4EF4B46053}" name="Regelwerk" dataDxfId="84"/>
    <tableColumn id="13" xr3:uid="{BF42D9C0-F77D-4971-A67E-32B0246C72C3}" name="Referenz" dataDxfId="83"/>
    <tableColumn id="19" xr3:uid="{AFFB84E8-B398-4E99-805B-9A247071A040}" name="Referenz Jahr" dataDxfId="82"/>
    <tableColumn id="20" xr3:uid="{0A59A474-DFBB-4437-8EFF-70284AFD9934}" name="Mindest Punktzahl" dataDxfId="81"/>
    <tableColumn id="21" xr3:uid="{198BD231-EEF3-43C9-AD9B-39B4B7E9B337}" name="Mindest Disziplinen" dataDxfId="80"/>
    <tableColumn id="14" xr3:uid="{443CD4F6-A2B2-480B-BB35-DCEEBC531727}" name="3-Kampf Regel" dataDxfId="79"/>
    <tableColumn id="15" xr3:uid="{70116160-7666-42B1-92AC-FAC2620E6A60}" name="Anzahl Nominierte" dataDxfId="78"/>
    <tableColumn id="16" xr3:uid="{0EFD0A46-D12B-4AB0-907C-08E5D9F282E0}" name="Anzahl Nachrücker" dataDxfId="77"/>
    <tableColumn id="17" xr3:uid="{AA5430A0-8ED8-40E8-B7F8-DA25E4E8790F}" name="Seiten Anzahl" dataDxfId="76"/>
    <tableColumn id="18" xr3:uid="{16F699D9-2741-43F3-AD5F-826A568EFEAC}" name="Absagen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74" dataDxfId="73">
  <autoFilter ref="A1:U7" xr:uid="{CDBF6724-48A1-41AB-94B5-CC35C54BB15C}"/>
  <tableColumns count="21">
    <tableColumn id="1" xr3:uid="{E1FB3D0C-B874-4874-BACC-6872CF171957}" name="Tabellen Name" dataDxfId="72"/>
    <tableColumn id="2" xr3:uid="{FFDD2777-2097-450C-B020-F133CF643855}" name="Geschlecht" dataDxfId="71"/>
    <tableColumn id="3" xr3:uid="{8CF52BE2-8020-48BD-A36D-63F13A1878DE}" name="Mindest alter" dataDxfId="70"/>
    <tableColumn id="4" xr3:uid="{FD3A030F-CD97-4B6F-8E8C-BC2E67D79F1D}" name="Maximales Alter" dataDxfId="69"/>
    <tableColumn id="5" xr3:uid="{3E22B645-D77C-4509-B031-9914FCB91599}" name="Qualizeitraum anfang" dataDxfId="68"/>
    <tableColumn id="6" xr3:uid="{AE299324-3C1C-4063-ADF9-54555A161734}" name="Qualizeitraum Ende" dataDxfId="67"/>
    <tableColumn id="7" xr3:uid="{DCC178B3-11FC-4C53-BBC6-C2FDA2C89857}" name="Letzter Wettkampf am" dataDxfId="66"/>
    <tableColumn id="8" xr3:uid="{2811DB01-60A5-4BE4-B6F9-A806398A602A}" name="Wertung" dataDxfId="65"/>
    <tableColumn id="9" xr3:uid="{0C16DAFE-847D-4E9E-9604-3A7D9FE924D0}" name="Landesverband" dataDxfId="64"/>
    <tableColumn id="10" xr3:uid="{7A8A4101-A553-4BD5-9116-9AA5876B9401}" name="OMS" dataDxfId="63"/>
    <tableColumn id="11" xr3:uid="{9807C9BD-6499-45F6-ACE0-4D13D64EF675}" name="Pool-Länge" dataDxfId="62"/>
    <tableColumn id="12" xr3:uid="{13D336DD-650F-4F2C-836F-361CA1528F6D}" name="Regelwerk" dataDxfId="61"/>
    <tableColumn id="13" xr3:uid="{66660E2D-ADF2-4FB5-8A13-004F826EE908}" name="Referenz" dataDxfId="60"/>
    <tableColumn id="19" xr3:uid="{D72EDF8B-ECC3-4FF7-ABE6-B60BCE4A5E26}" name="Referenz Jahr" dataDxfId="59"/>
    <tableColumn id="20" xr3:uid="{7B18E667-70F7-4BC1-AB1B-21C019F2AA89}" name="Mindest Punktzahl" dataDxfId="58"/>
    <tableColumn id="21" xr3:uid="{FC185946-681B-42A6-AB1A-FC1EABB668C5}" name="Mindest Disziplinen" dataDxfId="57"/>
    <tableColumn id="14" xr3:uid="{6A2676FD-2EC7-4C41-A35E-A1597A38F932}" name="3-Kampf Regel" dataDxfId="56"/>
    <tableColumn id="15" xr3:uid="{718E0917-4F83-4A2B-832F-EBB16D5E21BF}" name="Anzahl Nominierte" dataDxfId="55"/>
    <tableColumn id="16" xr3:uid="{5C66A461-D647-4E00-A81C-FD7AD44D7CC2}" name="Anzahl Nachrücker" dataDxfId="54"/>
    <tableColumn id="17" xr3:uid="{D434BDEC-293B-4B4E-A5E9-479438960A03}" name="Seiten Anzahl" dataDxfId="53"/>
    <tableColumn id="18" xr3:uid="{80908229-9247-473F-81C0-9C9D4C12FF06}" name="Absagen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51" dataDxfId="5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49"/>
    <tableColumn id="2" xr3:uid="{6346FF3B-B334-4CD8-8B23-F2347E29C536}" name="Geschlecht" dataDxfId="48"/>
    <tableColumn id="3" xr3:uid="{E793B48A-BC8A-439F-8AAF-6FD08104A619}" name="Mindest Alter" dataDxfId="47"/>
    <tableColumn id="4" xr3:uid="{01A62C29-2F75-4107-A431-F69230BCCD0C}" name="Maximales Alter" dataDxfId="46"/>
    <tableColumn id="5" xr3:uid="{B7E4DE90-7856-4A0C-9063-61414D7F227C}" name="Qualizeitraum anfang" dataDxfId="45"/>
    <tableColumn id="6" xr3:uid="{B00F7CD1-82CB-42B9-A396-89F79EF419CA}" name="Qualizeitraum Ende" dataDxfId="44"/>
    <tableColumn id="7" xr3:uid="{9E50DDE5-12E3-4BCB-801C-FBABCE309F0E}" name="Letzter Wettkampf am" dataDxfId="43"/>
    <tableColumn id="8" xr3:uid="{57E68247-0FF2-48D8-8ACD-AB057E576A21}" name="Landesverband" dataDxfId="42"/>
    <tableColumn id="9" xr3:uid="{EBAA439D-F69A-4C2A-8193-9AE08F1E57B8}" name="OMS" dataDxfId="41"/>
    <tableColumn id="10" xr3:uid="{BBD11E7F-3DDF-428A-B005-4A40E6FA78DC}" name="Pool-Länge" dataDxfId="40"/>
    <tableColumn id="11" xr3:uid="{6AE38DCA-A084-4F3D-A6A4-4E76E3E2CBC6}" name="Regelwerk" dataDxfId="39"/>
    <tableColumn id="12" xr3:uid="{7F7470AD-5502-4CEE-BB4C-44BA308E61D7}" name="Seiten Anzahl" dataDxfId="38"/>
    <tableColumn id="13" xr3:uid="{F416CBFA-4C9D-45CD-9BA7-E4BC57A08BC2}" name="PZ1 - 50m Retten" dataDxfId="37"/>
    <tableColumn id="14" xr3:uid="{7117DBCA-0DA7-462C-84FE-0DC7E33B124C}" name="PZ1 - 100m Retten" dataDxfId="36"/>
    <tableColumn id="15" xr3:uid="{E8630E91-DC30-4822-9E53-6D65487C3670}" name="PZ1 - 100m Kombi" dataDxfId="35"/>
    <tableColumn id="16" xr3:uid="{4B3AA225-E042-430F-8259-D176887B4528}" name="PZ1 - 100m Lifesaver" dataDxfId="34"/>
    <tableColumn id="17" xr3:uid="{798674BD-98CE-4531-BDFF-6AB06253AD7C}" name="PZ1 - 200m Super-Lifesaver" dataDxfId="33"/>
    <tableColumn id="18" xr3:uid="{8809BB71-D58B-4E8B-A442-D0EB9A65A25D}" name="PZ1 - 200m Hindernis" dataDxfId="32"/>
    <tableColumn id="19" xr3:uid="{93DCF463-806B-4117-B4E3-1FFAE976B37C}" name="PZ2 - 50m Retten" dataDxfId="31"/>
    <tableColumn id="20" xr3:uid="{A514C961-559E-462F-B143-BA30974C0129}" name="PZ2 - 100m Retten" dataDxfId="30"/>
    <tableColumn id="21" xr3:uid="{F1CF6143-45FE-498D-93D6-36F26D2F3C0B}" name="PZ2 - 100m Kombi" dataDxfId="29"/>
    <tableColumn id="22" xr3:uid="{E90962FC-C214-467F-841F-40DF60E41456}" name="PZ2 - 100m Lifesaver" dataDxfId="28"/>
    <tableColumn id="23" xr3:uid="{7FBC6334-C4C8-4B38-9F59-30ED95A44379}" name="PZ2 - 200m Super-Lifesaver" dataDxfId="27"/>
    <tableColumn id="24" xr3:uid="{231BFF86-8F3A-4BA1-B25E-28175D9EDFA9}" name="PZ2 - 200m Hindernis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201" dataDxfId="20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199"/>
    <tableColumn id="2" xr3:uid="{733C1722-A9C9-4830-A9E2-FE62E96BCD98}" name="Geschlecht" dataDxfId="198"/>
    <tableColumn id="3" xr3:uid="{80C0BF46-0E43-4947-BF86-B808C324772A}" name="Mindest Alter" dataDxfId="197"/>
    <tableColumn id="4" xr3:uid="{DBA2A923-EEB7-43F9-A1A3-E78624448FB9}" name="Maximales Alter" dataDxfId="196"/>
    <tableColumn id="5" xr3:uid="{3FDEE18A-328D-45AE-907D-69A916A93345}" name="Qualizeitraum anfang" dataDxfId="195"/>
    <tableColumn id="6" xr3:uid="{BE002D7F-575F-4B60-9251-C71D93F59045}" name="Qualizeitraum Ende" dataDxfId="194"/>
    <tableColumn id="7" xr3:uid="{208ABD57-DE4B-41D6-B9FC-93F2D8966E8D}" name="Letzter Wettkampf am" dataDxfId="193"/>
    <tableColumn id="8" xr3:uid="{30C9697C-6550-4996-ADDB-7FEE5325B794}" name="Landesverband" dataDxfId="192"/>
    <tableColumn id="9" xr3:uid="{ED2DAB77-EF46-4D8B-B8E4-90412E32E277}" name="OMS" dataDxfId="191"/>
    <tableColumn id="10" xr3:uid="{AD534940-A91B-4A6E-9606-E3F3E517D401}" name="Pool-Länge" dataDxfId="190"/>
    <tableColumn id="11" xr3:uid="{11F9D5D5-72FE-42CA-8624-01D513B4140F}" name="Regelwerk" dataDxfId="189"/>
    <tableColumn id="12" xr3:uid="{3907872B-5438-4FBF-A045-3EF9EAACFC47}" name="Seiten Anzahl" dataDxfId="188"/>
    <tableColumn id="13" xr3:uid="{FC821324-3638-40C0-BA1E-069B44E23C7A}" name="PZ1 - 50m Retten" dataDxfId="187"/>
    <tableColumn id="14" xr3:uid="{70529619-443E-40D3-88C1-3E0F00BB2A50}" name="PZ1 - 100m Retten" dataDxfId="186"/>
    <tableColumn id="15" xr3:uid="{EFA92FD2-C23F-42B3-83DC-5036513F19AF}" name="PZ1 - 100m Kombi" dataDxfId="185"/>
    <tableColumn id="16" xr3:uid="{03309E52-8CF3-4E90-9EE6-A818901C3B32}" name="PZ1 - 100m Lifesaver" dataDxfId="184"/>
    <tableColumn id="17" xr3:uid="{00B22013-AA11-4C17-9250-22060AE4B0A8}" name="PZ1 - 200m Super-Lifesaver" dataDxfId="183"/>
    <tableColumn id="18" xr3:uid="{7E3508A9-0422-4561-A23E-53E613259B24}" name="PZ1 - 200m Hindernis" dataDxfId="182"/>
    <tableColumn id="19" xr3:uid="{5CEA435F-F34B-4D8D-88D0-F5EBFF18B713}" name="PZ2 - 50m Retten" dataDxfId="181"/>
    <tableColumn id="20" xr3:uid="{8585BE62-F7C4-4D5D-B287-052B43B08610}" name="PZ2 - 100m Retten" dataDxfId="180"/>
    <tableColumn id="21" xr3:uid="{D981758B-ADAD-4E36-B787-0B0FDA808CA2}" name="PZ2 - 100m Kombi" dataDxfId="179"/>
    <tableColumn id="22" xr3:uid="{1D4970A8-D22F-4962-934C-AEA295ED687A}" name="PZ2 - 100m Lifesaver" dataDxfId="178"/>
    <tableColumn id="23" xr3:uid="{BE394430-C58F-4690-9615-44475E5AF9F8}" name="PZ2 - 200m Super-Lifesaver" dataDxfId="177"/>
    <tableColumn id="24" xr3:uid="{A7036B1A-99CE-4F7C-AAB8-12E8B2696202}" name="PZ2 - 200m Hindernis" dataDxfId="1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B6" sqref="B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273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273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273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274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274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274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269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269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269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275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275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275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A9" sqref="A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40">
        <v>2025</v>
      </c>
      <c r="B1" s="79" t="str">
        <f ca="1">CONCATENATE("in: ",YEAR(TODAY())-1," für: ", YEAR(TODAY()))</f>
        <v>in: 2025 für: 2026</v>
      </c>
      <c r="C1" s="141" t="s">
        <v>256</v>
      </c>
      <c r="D1" s="141"/>
      <c r="E1" s="142"/>
      <c r="F1" s="143" t="s">
        <v>257</v>
      </c>
      <c r="G1" s="144"/>
      <c r="H1" s="144"/>
      <c r="I1" s="144"/>
      <c r="J1" s="145"/>
      <c r="K1" s="146" t="s">
        <v>261</v>
      </c>
      <c r="L1" s="147"/>
      <c r="M1" s="147"/>
      <c r="N1" s="148"/>
      <c r="O1" s="166" t="s">
        <v>258</v>
      </c>
      <c r="P1" s="166"/>
      <c r="Q1" s="167"/>
      <c r="R1" s="168" t="s">
        <v>259</v>
      </c>
      <c r="S1" s="169"/>
      <c r="T1" s="169"/>
      <c r="U1" s="169"/>
      <c r="V1" s="170"/>
      <c r="W1" s="171" t="s">
        <v>262</v>
      </c>
      <c r="X1" s="172"/>
      <c r="Y1" s="172"/>
      <c r="Z1" s="173"/>
      <c r="AA1"/>
      <c r="AB1" s="79" t="str">
        <f ca="1">CONCATENATE("in: ",YEAR(TODAY())-1," für: ", YEAR(TODAY()))</f>
        <v>in: 2025 für: 2026</v>
      </c>
      <c r="AC1" s="149" t="s">
        <v>263</v>
      </c>
      <c r="AD1" s="149"/>
      <c r="AE1" s="150"/>
      <c r="AF1" s="151" t="s">
        <v>264</v>
      </c>
      <c r="AG1" s="152"/>
      <c r="AH1" s="152"/>
      <c r="AI1" s="152"/>
      <c r="AJ1" s="153"/>
      <c r="AK1" s="154" t="s">
        <v>265</v>
      </c>
      <c r="AL1" s="155"/>
      <c r="AM1" s="155"/>
      <c r="AN1" s="156"/>
      <c r="AO1" s="157" t="s">
        <v>266</v>
      </c>
      <c r="AP1" s="158"/>
      <c r="AQ1" s="159"/>
      <c r="AR1" s="160" t="s">
        <v>267</v>
      </c>
      <c r="AS1" s="161"/>
      <c r="AT1" s="161"/>
      <c r="AU1" s="161"/>
      <c r="AV1" s="162"/>
      <c r="AW1" s="163" t="s">
        <v>268</v>
      </c>
      <c r="AX1" s="164"/>
      <c r="AY1" s="164"/>
      <c r="AZ1" s="165"/>
      <c r="BB1" s="79" t="str">
        <f ca="1">CONCATENATE("in: ",YEAR(TODAY())-1," für: ", YEAR(TODAY()))</f>
        <v>in: 2025 für: 2026</v>
      </c>
      <c r="BC1" s="141" t="s">
        <v>269</v>
      </c>
      <c r="BD1" s="141"/>
      <c r="BE1" s="142"/>
      <c r="BF1" s="143" t="s">
        <v>270</v>
      </c>
      <c r="BG1" s="144"/>
      <c r="BH1" s="144"/>
      <c r="BI1" s="144"/>
      <c r="BJ1" s="145"/>
      <c r="BK1" s="146" t="s">
        <v>271</v>
      </c>
      <c r="BL1" s="147"/>
      <c r="BM1" s="147"/>
      <c r="BN1" s="148"/>
      <c r="BO1" s="166" t="s">
        <v>258</v>
      </c>
      <c r="BP1" s="166"/>
      <c r="BQ1" s="167"/>
      <c r="BR1" s="168" t="s">
        <v>259</v>
      </c>
      <c r="BS1" s="169"/>
      <c r="BT1" s="169"/>
      <c r="BU1" s="169"/>
      <c r="BV1" s="170"/>
      <c r="BW1" s="171" t="s">
        <v>272</v>
      </c>
      <c r="BX1" s="172"/>
      <c r="BY1" s="172"/>
      <c r="BZ1" s="173"/>
    </row>
    <row r="2" spans="1:78" s="128" customFormat="1" ht="21.4" thickBot="1" x14ac:dyDescent="0.55000000000000004">
      <c r="A2" s="140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40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40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40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40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40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40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40">
        <v>2026</v>
      </c>
      <c r="B10" s="79" t="str">
        <f ca="1">CONCATENATE("in: ",YEAR(TODAY())," für: ", YEAR(TODAY())+1)</f>
        <v>in: 2026 für: 2027</v>
      </c>
      <c r="C10" s="141" t="s">
        <v>256</v>
      </c>
      <c r="D10" s="141"/>
      <c r="E10" s="142"/>
      <c r="F10" s="143" t="s">
        <v>257</v>
      </c>
      <c r="G10" s="144"/>
      <c r="H10" s="144"/>
      <c r="I10" s="144"/>
      <c r="J10" s="145"/>
      <c r="K10" s="146" t="s">
        <v>261</v>
      </c>
      <c r="L10" s="147"/>
      <c r="M10" s="147"/>
      <c r="N10" s="148"/>
      <c r="O10" s="166" t="s">
        <v>258</v>
      </c>
      <c r="P10" s="166"/>
      <c r="Q10" s="167"/>
      <c r="R10" s="168" t="s">
        <v>259</v>
      </c>
      <c r="S10" s="169"/>
      <c r="T10" s="169"/>
      <c r="U10" s="169"/>
      <c r="V10" s="170"/>
      <c r="W10" s="171" t="s">
        <v>262</v>
      </c>
      <c r="X10" s="172"/>
      <c r="Y10" s="172"/>
      <c r="Z10" s="173"/>
      <c r="AB10" s="79" t="str">
        <f ca="1">CONCATENATE("in: ",YEAR(TODAY())," für: ", YEAR(TODAY())+1)</f>
        <v>in: 2026 für: 2027</v>
      </c>
      <c r="AC10" s="149" t="s">
        <v>263</v>
      </c>
      <c r="AD10" s="149"/>
      <c r="AE10" s="150"/>
      <c r="AF10" s="151" t="s">
        <v>264</v>
      </c>
      <c r="AG10" s="152"/>
      <c r="AH10" s="152"/>
      <c r="AI10" s="152"/>
      <c r="AJ10" s="153"/>
      <c r="AK10" s="154" t="s">
        <v>265</v>
      </c>
      <c r="AL10" s="155"/>
      <c r="AM10" s="155"/>
      <c r="AN10" s="156"/>
      <c r="AO10" s="157" t="s">
        <v>266</v>
      </c>
      <c r="AP10" s="158"/>
      <c r="AQ10" s="159"/>
      <c r="AR10" s="160" t="s">
        <v>267</v>
      </c>
      <c r="AS10" s="161"/>
      <c r="AT10" s="161"/>
      <c r="AU10" s="161"/>
      <c r="AV10" s="162"/>
      <c r="AW10" s="163" t="s">
        <v>268</v>
      </c>
      <c r="AX10" s="164"/>
      <c r="AY10" s="164"/>
      <c r="AZ10" s="165"/>
      <c r="BB10" s="79" t="str">
        <f ca="1">CONCATENATE("in: ",YEAR(TODAY())," für: ", YEAR(TODAY())+1)</f>
        <v>in: 2026 für: 2027</v>
      </c>
      <c r="BC10" s="141" t="s">
        <v>269</v>
      </c>
      <c r="BD10" s="141"/>
      <c r="BE10" s="142"/>
      <c r="BF10" s="143" t="s">
        <v>270</v>
      </c>
      <c r="BG10" s="144"/>
      <c r="BH10" s="144"/>
      <c r="BI10" s="144"/>
      <c r="BJ10" s="145"/>
      <c r="BK10" s="146" t="s">
        <v>271</v>
      </c>
      <c r="BL10" s="147"/>
      <c r="BM10" s="147"/>
      <c r="BN10" s="148"/>
      <c r="BO10" s="166" t="s">
        <v>258</v>
      </c>
      <c r="BP10" s="166"/>
      <c r="BQ10" s="167"/>
      <c r="BR10" s="168" t="s">
        <v>259</v>
      </c>
      <c r="BS10" s="169"/>
      <c r="BT10" s="169"/>
      <c r="BU10" s="169"/>
      <c r="BV10" s="170"/>
      <c r="BW10" s="171" t="s">
        <v>272</v>
      </c>
      <c r="BX10" s="172"/>
      <c r="BY10" s="172"/>
      <c r="BZ10" s="173"/>
    </row>
    <row r="11" spans="1:78" ht="21.4" thickBot="1" x14ac:dyDescent="0.5">
      <c r="A11" s="140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40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40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40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40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40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40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2026-02-19T03:24:13Z</dcterms:modified>
</cp:coreProperties>
</file>