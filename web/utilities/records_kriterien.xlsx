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A8382D9-972F-4A58-A6CE-494549E47F84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<sst xmlns="http://schemas.openxmlformats.org/spreadsheetml/2006/main" count="774" uniqueCount="274">
  <si>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</si>
  <si>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</si>
  <si>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</si>
  <si>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</si>
  <si>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</si>
  <si>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</si>
  <si>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</si>
  <si>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</si>
  <si>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</si>
  <si>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</si>
  <si>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</si>
  <si>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</si>
  <si>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</si>
  <si>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</si>
  <si>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</si>
  <si>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</si>
  <si>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</si>
  <si>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</si>
  <si>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</si>
  <si>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</si>
  <si>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</si>
  <si>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</si>
  <si>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</si>
  <si>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</si>
  <si>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</si>
  <si>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</si>
  <si>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</si>
  <si>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</si>
  <si>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</si>
  <si>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</si>
  <si>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</si>
  <si>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</si>
  <si>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</si>
  <si>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</si>
  <si>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</si>
  <si>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</si>
  <si>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</si>
  <si>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</si>
  <si>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</si>
  <si>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</si>
  <si>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</si>
  <si>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</si>
  <si>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</si>
  <si>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</si>
  <si>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</si>
  <si>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</si>
  <si>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</si>
  <si>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</si>
  <si>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</si>
  <si>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</si>
  <si>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</si>
  <si>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</si>
  <si>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</si>
  <si>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</si>
  <si>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</si>
  <si>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</si>
  <si>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</si>
  <si>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</si>
  <si>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</si>
  <si>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</si>
  <si>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</si>
  <si>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</si>
  <si>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</si>
  <si>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</si>
  <si>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</si>
  <si>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</si>
  <si>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</si>
  <si>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</si>
  <si>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</si>
  <si>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</si>
  <si>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</si>
  <si>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</si>
  <si>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</si>
  <si>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</si>
  <si>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</si>
  <si>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</si>
  <si>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</si>
  <si>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</si>
  <si>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</si>
  <si>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</si>
  <si>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</si>
  <si>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</si>
  <si>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</si>
  <si>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</si>
  <si>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</si>
  <si>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</si>
  <si>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</si>
  <si>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</si>
  <si>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</si>
  <si>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</si>
  <si>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</si>
  <si>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</si>
  <si>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</si>
  <si>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</si>
  <si>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</si>
  <si>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</si>
  <si>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</si>
  <si>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</si>
  <si>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</si>
  <si>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</si>
  <si>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</si>
  <si>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</si>
  <si>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</si>
  <si>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</si>
  <si>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</si>
  <si>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</si>
  <si>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</si>
  <si>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</si>
  <si>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</si>
  <si>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</si>
  <si>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</si>
  <si>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</si>
  <si>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</si>
  <si>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</si>
  <si>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</si>
  <si>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</si>
  <si>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</si>
  <si>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</si>
  <si>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</si>
  <si>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</si>
  <si>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</si>
  <si>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</si>
  <si>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</si>
  <si>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</si>
  <si>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</si>
  <si>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</si>
  <si>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</si>
  <si>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</si>
  <si>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</si>
  <si>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</si>
  <si>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</si>
  <si>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</si>
  <si>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</si>
  <si>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</si>
  <si>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</si>
  <si>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</si>
  <si>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</si>
  <si>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</si>
  <si>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</si>
  <si>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</si>
  <si>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</si>
  <si>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</si>
  <si>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</si>
  <si>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</si>
  <si>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</si>
  <si>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</si>
  <si>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</si>
  <si>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</si>
  <si>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</si>
  <si>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</si>
  <si>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</si>
  <si>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</si>
  <si>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</si>
  <si>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</si>
  <si>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</si>
  <si>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</si>
  <si>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</si>
  <si>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</si>
  <si>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</si>
  <si>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</si>
  <si>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</si>
  <si>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</si>
  <si>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</si>
  <si>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</si>
  <si>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</si>
  <si>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</si>
  <si>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</si>
  <si>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</si>
  <si>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</si>
  <si>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</si>
  <si>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</si>
  <si>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</si>
  <si>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</si>
  <si>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</si>
  <si>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</si>
  <si>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</si>
  <si>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</si>
  <si>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</si>
  <si>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</si>
  <si>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</si>
  <si>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</si>
  <si>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</si>
  <si>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</si>
  <si>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</si>
  <si>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</si>
  <si>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</si>
  <si>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</si>
  <si>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</si>
  <si>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</si>
  <si>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</si>
  <si>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</si>
  <si>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</si>
  <si>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</si>
  <si>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</si>
  <si>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</si>
  <si>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</si>
  <si>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</si>
  <si>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</si>
  <si>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</si>
  <si>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</si>
  <si>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</si>
  <si>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</si>
  <si>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</si>
  <si>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</si>
  <si>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</si>
  <si>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</si>
  <si>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</si>
  <si>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</si>
  <si>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</si>
  <si>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</si>
  <si>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</si>
  <si>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</si>
  <si>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</si>
  <si>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</si>
  <si>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</si>
  <si>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</si>
  <si>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</si>
  <si>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</si>
  <si>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</si>
  <si>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</si>
  <si>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</si>
  <si>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</si>
  <si>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</si>
  <si>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</si>
  <si>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</si>
  <si>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</si>
  <si>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</si>
  <si>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</si>
  <si>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</si>
  <si>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</si>
  <si>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</si>
  <si>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</si>
  <si>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</si>
  <si>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</si>
  <si>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+20% Frauen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</si>
  <si>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</si>
  <si>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</si>
  <si>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</si>
  <si>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</si>
  <si>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</si>
  <si>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</si>
  <si>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</si>
  <si>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</si>
  <si>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</si>
  <si>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</si>
  <si>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</si>
  <si>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</si>
  <si>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</si>
  <si>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</si>
  <si>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</si>
  <si>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</si>
  <si>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</si>
  <si>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</si>
  <si>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 Up, 50m Bahn, Cool Down, Treffpunkt 11:30 im Foyer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</si>
  <si>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</si>
  <si>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</si>
  <si>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</si>
  <si>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</si>
  <si>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</si>
  <si>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</si>
  <si>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</si>
  <si>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</si>
  <si>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</si>
  <si>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</si>
  <si>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</si>
  <si>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</si>
  <si>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</si>
  <si>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</si>
  <si>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</si>
  <si>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</si>
  <si>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</si>
  <si>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NK2 +18% Mäner</t>
  </si>
  <si>
    <t>NK1 +17% Mäner</t>
  </si>
  <si>
    <t>NK1 +19%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</si>
</sst>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235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271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4.4045138888888888E-4</v>
      </c>
      <c r="N4" s="62">
        <f>NK!E16</f>
        <v>6.9557175925925928E-4</v>
      </c>
      <c r="O4" s="62">
        <f>NK!E15</f>
        <v>9.4522916666666681E-4</v>
      </c>
      <c r="P4" s="62">
        <f>NK!E17</f>
        <v>7.884421296296295E-4</v>
      </c>
      <c r="Q4" s="62">
        <f>NK!E19</f>
        <v>1.961340277777778E-3</v>
      </c>
      <c r="R4" s="62">
        <f>NK!E18</f>
        <v>1.7914421296296294E-3</v>
      </c>
      <c r="S4" s="62">
        <f>M4</f>
        <v>4.4045138888888888E-4</v>
      </c>
      <c r="T4" s="62">
        <f t="shared" ref="T4:T9" si="0">N4</f>
        <v>6.9557175925925928E-4</v>
      </c>
      <c r="U4" s="62">
        <f t="shared" ref="U4:U9" si="1">O4</f>
        <v>9.4522916666666681E-4</v>
      </c>
      <c r="V4" s="62">
        <f t="shared" ref="V4:V9" si="2">P4</f>
        <v>7.884421296296295E-4</v>
      </c>
      <c r="W4" s="62">
        <f t="shared" ref="W4:W9" si="3">Q4</f>
        <v>1.961340277777778E-3</v>
      </c>
      <c r="X4" s="62">
        <f t="shared" ref="X4:X9" si="4">R4</f>
        <v>1.7914421296296294E-3</v>
      </c>
    </row>
    <row r="5" spans="1:24" x14ac:dyDescent="0.45">
      <c r="A5" s="59" t="s">
        <v>271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4.5424537037037037E-4</v>
      </c>
      <c r="N5" s="62">
        <f>NK!D16</f>
        <v>7.1551157407407403E-4</v>
      </c>
      <c r="O5" s="62">
        <f>NK!D15</f>
        <v>9.8333333333333324E-4</v>
      </c>
      <c r="P5" s="62">
        <f>NK!D17</f>
        <v>8.1876157407407407E-4</v>
      </c>
      <c r="Q5" s="62">
        <f>NK!D19</f>
        <v>2.0244374999999998E-3</v>
      </c>
      <c r="R5" s="62">
        <f>NK!D18</f>
        <v>1.8460717592592589E-3</v>
      </c>
      <c r="S5" s="62">
        <f t="shared" ref="S5:S9" si="5">M5</f>
        <v>4.5424537037037037E-4</v>
      </c>
      <c r="T5" s="62">
        <f t="shared" si="0"/>
        <v>7.1551157407407403E-4</v>
      </c>
      <c r="U5" s="62">
        <f t="shared" si="1"/>
        <v>9.8333333333333324E-4</v>
      </c>
      <c r="V5" s="62">
        <f t="shared" si="2"/>
        <v>8.1876157407407407E-4</v>
      </c>
      <c r="W5" s="62">
        <f t="shared" si="3"/>
        <v>2.0244374999999998E-3</v>
      </c>
      <c r="X5" s="62">
        <f t="shared" si="4"/>
        <v>1.8460717592592589E-3</v>
      </c>
    </row>
    <row r="6" spans="1:24" x14ac:dyDescent="0.45">
      <c r="A6" s="59" t="s">
        <v>271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4.6353240740740735E-4</v>
      </c>
      <c r="N6" s="62">
        <f>NK!C16</f>
        <v>7.2916898148148146E-4</v>
      </c>
      <c r="O6" s="62">
        <f>NK!C15</f>
        <v>1.0006782407407406E-3</v>
      </c>
      <c r="P6" s="62">
        <f>NK!C17</f>
        <v>8.3952083333333329E-4</v>
      </c>
      <c r="Q6" s="62">
        <f>NK!C19</f>
        <v>2.067458333333333E-3</v>
      </c>
      <c r="R6" s="62">
        <f>NK!C18</f>
        <v>1.8833564814814815E-3</v>
      </c>
      <c r="S6" s="62">
        <f t="shared" si="5"/>
        <v>4.6353240740740735E-4</v>
      </c>
      <c r="T6" s="62">
        <f t="shared" si="0"/>
        <v>7.2916898148148146E-4</v>
      </c>
      <c r="U6" s="62">
        <f t="shared" si="1"/>
        <v>1.0006782407407406E-3</v>
      </c>
      <c r="V6" s="62">
        <f t="shared" si="2"/>
        <v>8.3952083333333329E-4</v>
      </c>
      <c r="W6" s="62">
        <f t="shared" si="3"/>
        <v>2.067458333333333E-3</v>
      </c>
      <c r="X6" s="62">
        <f t="shared" si="4"/>
        <v>1.8833564814814815E-3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5.4694444444444441E-4</v>
      </c>
      <c r="N7" s="62">
        <f>NK!K16</f>
        <v>8.2777777777777786E-4</v>
      </c>
      <c r="O7" s="62">
        <f>NK!K15</f>
        <v>1.1216666666666666E-3</v>
      </c>
      <c r="P7" s="62">
        <f>NK!K17</f>
        <v>9.1791666666666671E-4</v>
      </c>
      <c r="Q7" s="62">
        <f>NK!K19</f>
        <v>2.1695833333333333E-3</v>
      </c>
      <c r="R7" s="62">
        <f>NK!K18</f>
        <v>1.9655555555555555E-3</v>
      </c>
      <c r="S7" s="62">
        <f t="shared" si="5"/>
        <v>5.4694444444444441E-4</v>
      </c>
      <c r="T7" s="62">
        <f t="shared" si="0"/>
        <v>8.2777777777777786E-4</v>
      </c>
      <c r="U7" s="62">
        <f t="shared" si="1"/>
        <v>1.1216666666666666E-3</v>
      </c>
      <c r="V7" s="62">
        <f t="shared" si="2"/>
        <v>9.1791666666666671E-4</v>
      </c>
      <c r="W7" s="62">
        <f t="shared" si="3"/>
        <v>2.1695833333333333E-3</v>
      </c>
      <c r="X7" s="62">
        <f t="shared" si="4"/>
        <v>1.9655555555555555E-3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5.6041666666666664E-4</v>
      </c>
      <c r="N8" s="62">
        <f>NK!J16</f>
        <v>8.4444444444444443E-4</v>
      </c>
      <c r="O8" s="62">
        <f>NK!J15</f>
        <v>1.1630555555555554E-3</v>
      </c>
      <c r="P8" s="62">
        <f>NK!J17</f>
        <v>9.3833333333333334E-4</v>
      </c>
      <c r="Q8" s="62">
        <f>NK!J19</f>
        <v>2.2183333333333334E-3</v>
      </c>
      <c r="R8" s="62">
        <f>NK!J18</f>
        <v>1.995416666666667E-3</v>
      </c>
      <c r="S8" s="62">
        <f t="shared" si="5"/>
        <v>5.6041666666666664E-4</v>
      </c>
      <c r="T8" s="62">
        <f t="shared" si="0"/>
        <v>8.4444444444444443E-4</v>
      </c>
      <c r="U8" s="62">
        <f t="shared" si="1"/>
        <v>1.1630555555555554E-3</v>
      </c>
      <c r="V8" s="62">
        <f t="shared" si="2"/>
        <v>9.3833333333333334E-4</v>
      </c>
      <c r="W8" s="62">
        <f t="shared" si="3"/>
        <v>2.2183333333333334E-3</v>
      </c>
      <c r="X8" s="62">
        <f t="shared" si="4"/>
        <v>1.995416666666667E-3</v>
      </c>
    </row>
    <row r="9" spans="1:24" x14ac:dyDescent="0.45">
      <c r="A9" s="59" t="s">
        <v>234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5.7291666666666667E-4</v>
      </c>
      <c r="N9" s="62">
        <f>NK!I16</f>
        <v>8.5972222222222222E-4</v>
      </c>
      <c r="O9" s="62">
        <f>NK!I15</f>
        <v>1.2043055555555557E-3</v>
      </c>
      <c r="P9" s="62">
        <f>NK!I17</f>
        <v>9.5722222222222226E-4</v>
      </c>
      <c r="Q9" s="62">
        <f>NK!I19</f>
        <v>2.2669444444444443E-3</v>
      </c>
      <c r="R9" s="62">
        <f>NK!I18</f>
        <v>2.0254166666666663E-3</v>
      </c>
      <c r="S9" s="62">
        <f t="shared" si="5"/>
        <v>5.7291666666666667E-4</v>
      </c>
      <c r="T9" s="62">
        <f t="shared" si="0"/>
        <v>8.5972222222222222E-4</v>
      </c>
      <c r="U9" s="62">
        <f t="shared" si="1"/>
        <v>1.2043055555555557E-3</v>
      </c>
      <c r="V9" s="62">
        <f t="shared" si="2"/>
        <v>9.5722222222222226E-4</v>
      </c>
      <c r="W9" s="62">
        <f t="shared" si="3"/>
        <v>2.2669444444444443E-3</v>
      </c>
      <c r="X9" s="62">
        <f t="shared" si="4"/>
        <v>2.0254166666666663E-3</v>
      </c>
    </row>
    <row r="10" spans="1:24" x14ac:dyDescent="0.45">
      <c r="A10" s="59" t="s">
        <v>272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4.2249999999999997E-4</v>
      </c>
      <c r="N10" s="62">
        <f>NK!$R$16</f>
        <v>6.6895833333333325E-4</v>
      </c>
      <c r="O10" s="62">
        <f>NK!$R$15</f>
        <v>9.0309374999999993E-4</v>
      </c>
      <c r="P10" s="62">
        <f>NK!$R$17</f>
        <v>7.5034374999999982E-4</v>
      </c>
      <c r="Q10" s="62">
        <f>NK!$R$19</f>
        <v>1.8793124999999999E-3</v>
      </c>
      <c r="R10" s="62">
        <f>NK!$R$18</f>
        <v>1.7196562499999998E-3</v>
      </c>
      <c r="S10" s="62">
        <f>M10</f>
        <v>4.2249999999999997E-4</v>
      </c>
      <c r="T10" s="62">
        <f t="shared" ref="T10:T15" si="6">N10</f>
        <v>6.6895833333333325E-4</v>
      </c>
      <c r="U10" s="62">
        <f t="shared" ref="U10:U15" si="7">O10</f>
        <v>9.0309374999999993E-4</v>
      </c>
      <c r="V10" s="62">
        <f t="shared" ref="V10:V15" si="8">P10</f>
        <v>7.5034374999999982E-4</v>
      </c>
      <c r="W10" s="62">
        <f t="shared" ref="W10:W15" si="9">Q10</f>
        <v>1.8793124999999999E-3</v>
      </c>
      <c r="X10" s="62">
        <f t="shared" ref="X10:X15" si="10">R10</f>
        <v>1.7196562499999998E-3</v>
      </c>
    </row>
    <row r="11" spans="1:24" x14ac:dyDescent="0.45">
      <c r="A11" s="59" t="s">
        <v>272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4.1044791666666665E-4</v>
      </c>
      <c r="N11" s="62">
        <f>NK!$S$16</f>
        <v>6.5121875E-4</v>
      </c>
      <c r="O11" s="62">
        <f>NK!$S$15</f>
        <v>8.7438541666666654E-4</v>
      </c>
      <c r="P11" s="62">
        <f>NK!$S$17</f>
        <v>7.2407291666666659E-4</v>
      </c>
      <c r="Q11" s="62">
        <f>NK!$S$19</f>
        <v>1.8610312499999998E-3</v>
      </c>
      <c r="R11" s="62">
        <f>NK!$S$18</f>
        <v>1.6714479166666668E-3</v>
      </c>
      <c r="S11" s="62">
        <f t="shared" ref="S11:S15" si="11">M11</f>
        <v>4.1044791666666665E-4</v>
      </c>
      <c r="T11" s="62">
        <f t="shared" si="6"/>
        <v>6.5121875E-4</v>
      </c>
      <c r="U11" s="62">
        <f t="shared" si="7"/>
        <v>8.7438541666666654E-4</v>
      </c>
      <c r="V11" s="62">
        <f t="shared" si="8"/>
        <v>7.2407291666666659E-4</v>
      </c>
      <c r="W11" s="62">
        <f t="shared" si="9"/>
        <v>1.8610312499999998E-3</v>
      </c>
      <c r="X11" s="62">
        <f t="shared" si="10"/>
        <v>1.6714479166666668E-3</v>
      </c>
    </row>
    <row r="12" spans="1:24" x14ac:dyDescent="0.45">
      <c r="A12" s="59" t="s">
        <v>272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3.9663541666666666E-4</v>
      </c>
      <c r="N12" s="62">
        <f>NK!$T$16</f>
        <v>6.3104166666666658E-4</v>
      </c>
      <c r="O12" s="62">
        <f>NK!$T$15</f>
        <v>8.4147916666666659E-4</v>
      </c>
      <c r="P12" s="62">
        <f>NK!$T$17</f>
        <v>6.9401041666666656E-4</v>
      </c>
      <c r="Q12" s="62">
        <f>NK!$T$19</f>
        <v>1.8044270833333334E-3</v>
      </c>
      <c r="R12" s="62">
        <f>NK!$T$18</f>
        <v>1.6164687499999999E-3</v>
      </c>
      <c r="S12" s="62">
        <f t="shared" si="11"/>
        <v>3.9663541666666666E-4</v>
      </c>
      <c r="T12" s="62">
        <f t="shared" si="6"/>
        <v>6.3104166666666658E-4</v>
      </c>
      <c r="U12" s="62">
        <f t="shared" si="7"/>
        <v>8.4147916666666659E-4</v>
      </c>
      <c r="V12" s="62">
        <f t="shared" si="8"/>
        <v>6.9401041666666656E-4</v>
      </c>
      <c r="W12" s="62">
        <f t="shared" si="9"/>
        <v>1.8044270833333334E-3</v>
      </c>
      <c r="X12" s="62">
        <f t="shared" si="10"/>
        <v>1.6164687499999999E-3</v>
      </c>
    </row>
    <row r="13" spans="1:24" x14ac:dyDescent="0.45">
      <c r="A13" s="59" t="s">
        <v>273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5.2475694444444445E-4</v>
      </c>
      <c r="N13" s="62">
        <f>NK!$X$16</f>
        <v>7.9925578703703712E-4</v>
      </c>
      <c r="O13" s="62">
        <f>NK!$X$15</f>
        <v>1.0714131944444443E-3</v>
      </c>
      <c r="P13" s="62">
        <f>NK!$X$17</f>
        <v>8.8368518518518505E-4</v>
      </c>
      <c r="Q13" s="62">
        <f>NK!$X$19</f>
        <v>2.103159722222222E-3</v>
      </c>
      <c r="R13" s="62">
        <f>NK!$X$18</f>
        <v>1.9194259259259262E-3</v>
      </c>
      <c r="S13" s="62">
        <f t="shared" si="11"/>
        <v>5.2475694444444445E-4</v>
      </c>
      <c r="T13" s="62">
        <f t="shared" si="6"/>
        <v>7.9925578703703712E-4</v>
      </c>
      <c r="U13" s="62">
        <f t="shared" si="7"/>
        <v>1.0714131944444443E-3</v>
      </c>
      <c r="V13" s="62">
        <f t="shared" si="8"/>
        <v>8.8368518518518505E-4</v>
      </c>
      <c r="W13" s="62">
        <f t="shared" si="9"/>
        <v>2.103159722222222E-3</v>
      </c>
      <c r="X13" s="62">
        <f t="shared" si="10"/>
        <v>1.9194259259259262E-3</v>
      </c>
    </row>
    <row r="14" spans="1:24" x14ac:dyDescent="0.45">
      <c r="A14" s="59" t="s">
        <v>273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5.0037847222222215E-4</v>
      </c>
      <c r="N14" s="62">
        <f>NK!$Y$16</f>
        <v>7.6867939814814811E-4</v>
      </c>
      <c r="O14" s="62">
        <f>NK!$Y$15</f>
        <v>1.0229317129629629E-3</v>
      </c>
      <c r="P14" s="62">
        <f>NK!$Y$17</f>
        <v>8.4649768518518516E-4</v>
      </c>
      <c r="Q14" s="62">
        <f>NK!$Y$19</f>
        <v>2.0437974537037035E-3</v>
      </c>
      <c r="R14" s="62">
        <f>NK!$Y$18</f>
        <v>1.8822384259259259E-3</v>
      </c>
      <c r="S14" s="62">
        <f t="shared" si="11"/>
        <v>5.0037847222222215E-4</v>
      </c>
      <c r="T14" s="62">
        <f t="shared" si="6"/>
        <v>7.6867939814814811E-4</v>
      </c>
      <c r="U14" s="62">
        <f t="shared" si="7"/>
        <v>1.0229317129629629E-3</v>
      </c>
      <c r="V14" s="62">
        <f t="shared" si="8"/>
        <v>8.4649768518518516E-4</v>
      </c>
      <c r="W14" s="62">
        <f t="shared" si="9"/>
        <v>2.0437974537037035E-3</v>
      </c>
      <c r="X14" s="62">
        <f t="shared" si="10"/>
        <v>1.8822384259259259E-3</v>
      </c>
    </row>
    <row r="15" spans="1:24" x14ac:dyDescent="0.45">
      <c r="A15" s="59" t="s">
        <v>273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4.8247337962962957E-4</v>
      </c>
      <c r="N15" s="62">
        <f>NK!$Z$16</f>
        <v>7.4636689814814813E-4</v>
      </c>
      <c r="O15" s="62">
        <f>NK!$Z$15</f>
        <v>9.8739699074074073E-4</v>
      </c>
      <c r="P15" s="62">
        <f>NK!$Z$17</f>
        <v>8.192268518518518E-4</v>
      </c>
      <c r="Q15" s="62">
        <f>NK!$Z$19</f>
        <v>2.0004120370370371E-3</v>
      </c>
      <c r="R15" s="62">
        <f>NK!$Z$18</f>
        <v>1.8551053240740739E-3</v>
      </c>
      <c r="S15" s="62">
        <f t="shared" si="11"/>
        <v>4.8247337962962957E-4</v>
      </c>
      <c r="T15" s="62">
        <f t="shared" si="6"/>
        <v>7.4636689814814813E-4</v>
      </c>
      <c r="U15" s="62">
        <f t="shared" si="7"/>
        <v>9.8739699074074073E-4</v>
      </c>
      <c r="V15" s="62">
        <f t="shared" si="8"/>
        <v>8.192268518518518E-4</v>
      </c>
      <c r="W15" s="62">
        <f t="shared" si="9"/>
        <v>2.0004120370370371E-3</v>
      </c>
      <c r="X15" s="62">
        <f t="shared" si="10"/>
        <v>1.8551053240740739E-3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>
    <tabColor theme="3"/>
  </sheetPr>
  <dimension ref="A1:H10"/>
  <sheetViews>
    <sheetView workbookViewId="0">
      <selection activeCell="D11" sqref="D11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240</v>
      </c>
      <c r="B1" t="s">
        <v>241</v>
      </c>
      <c r="C1" t="s">
        <v>242</v>
      </c>
      <c r="D1" t="s">
        <v>243</v>
      </c>
      <c r="E1" t="s">
        <v>244</v>
      </c>
      <c r="F1" t="s">
        <v>250</v>
      </c>
      <c r="G1" t="s">
        <v>246</v>
      </c>
      <c r="H1" t="s">
        <v>245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247</v>
      </c>
      <c r="F2" s="72" t="s">
        <v>251</v>
      </c>
      <c r="G2" t="s">
        <v>248</v>
      </c>
      <c r="H2" t="s">
        <v>249</v>
      </c>
    </row>
    <row r="3" spans="1:8" x14ac:dyDescent="0.45">
      <c r="A3" s="70">
        <v>46075</v>
      </c>
      <c r="C3" s="71">
        <v>0.47916666666666669</v>
      </c>
      <c r="D3" s="71">
        <v>0.65625</v>
      </c>
      <c r="E3" s="72" t="s">
        <v>252</v>
      </c>
      <c r="F3" s="72" t="s">
        <v>253</v>
      </c>
      <c r="G3" t="s">
        <v>248</v>
      </c>
      <c r="H3" t="s">
        <v>254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247</v>
      </c>
      <c r="F4" s="72" t="s">
        <v>251</v>
      </c>
      <c r="G4" t="s">
        <v>248</v>
      </c>
      <c r="H4" t="s">
        <v>249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252</v>
      </c>
      <c r="F5" s="72" t="s">
        <v>255</v>
      </c>
      <c r="G5" t="s">
        <v>248</v>
      </c>
      <c r="H5" t="s">
        <v>254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252</v>
      </c>
      <c r="F6" s="72" t="s">
        <v>256</v>
      </c>
      <c r="G6" t="s">
        <v>257</v>
      </c>
      <c r="H6" t="s">
        <v>254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247</v>
      </c>
      <c r="F7" s="72" t="s">
        <v>258</v>
      </c>
      <c r="G7" t="s">
        <v>248</v>
      </c>
      <c r="H7" t="s">
        <v>249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259</v>
      </c>
      <c r="F8" s="72" t="s">
        <v>260</v>
      </c>
      <c r="G8" t="s">
        <v>261</v>
      </c>
      <c r="H8" t="s">
        <v>254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262</v>
      </c>
      <c r="F9" s="72" t="s">
        <v>263</v>
      </c>
      <c r="G9" t="s">
        <v>264</v>
      </c>
      <c r="H9" t="s">
        <v>265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266</v>
      </c>
      <c r="F10" s="72" t="s">
        <v>267</v>
      </c>
      <c r="G10" t="s">
        <v>268</v>
      </c>
      <c r="H10" t="s">
        <v>269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N5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237</v>
      </c>
      <c r="S4" s="69" t="s">
        <v>238</v>
      </c>
      <c r="T4" s="69" t="s">
        <v>239</v>
      </c>
      <c r="W4" s="63" t="s">
        <v>222</v>
      </c>
      <c r="X4" s="69" t="s">
        <v>237</v>
      </c>
      <c r="Y4" s="69" t="s">
        <v>238</v>
      </c>
      <c r="Z4" s="69" t="s">
        <v>239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270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237</v>
      </c>
      <c r="S13" s="69" t="s">
        <v>238</v>
      </c>
      <c r="T13" s="69" t="s">
        <v>239</v>
      </c>
      <c r="W13" s="63" t="s">
        <v>222</v>
      </c>
      <c r="X13" s="69" t="s">
        <v>237</v>
      </c>
      <c r="Y13" s="69" t="s">
        <v>238</v>
      </c>
      <c r="Z13" s="69" t="s">
        <v>239</v>
      </c>
    </row>
    <row r="14" spans="2:27" x14ac:dyDescent="0.45">
      <c r="B14" s="64" t="s">
        <v>0</v>
      </c>
      <c r="C14" s="65">
        <f>C5*$F14</f>
        <v>4.6353240740740735E-4</v>
      </c>
      <c r="D14" s="65">
        <f t="shared" ref="D14:E14" si="0">D5*$F14</f>
        <v>4.5424537037037037E-4</v>
      </c>
      <c r="E14" s="65">
        <f t="shared" si="0"/>
        <v>4.4045138888888888E-4</v>
      </c>
      <c r="F14">
        <v>1.18</v>
      </c>
      <c r="H14" s="64" t="s">
        <v>0</v>
      </c>
      <c r="I14" s="65">
        <f>I5*$L14</f>
        <v>5.7291666666666667E-4</v>
      </c>
      <c r="J14" s="65">
        <f t="shared" ref="J14:K14" si="1">J5*$L14</f>
        <v>5.6041666666666664E-4</v>
      </c>
      <c r="K14" s="65">
        <f t="shared" si="1"/>
        <v>5.4694444444444441E-4</v>
      </c>
      <c r="L14">
        <v>1.2</v>
      </c>
      <c r="Q14" s="64" t="s">
        <v>0</v>
      </c>
      <c r="R14" s="65">
        <f t="shared" ref="R14:T19" si="2">R5*$U14</f>
        <v>4.2249999999999997E-4</v>
      </c>
      <c r="S14" s="65">
        <f t="shared" si="2"/>
        <v>4.1044791666666665E-4</v>
      </c>
      <c r="T14" s="65">
        <f t="shared" si="2"/>
        <v>3.9663541666666666E-4</v>
      </c>
      <c r="U14">
        <v>1.17</v>
      </c>
      <c r="W14" s="64" t="s">
        <v>0</v>
      </c>
      <c r="X14" s="65">
        <f>X5*$AA14</f>
        <v>5.2475694444444445E-4</v>
      </c>
      <c r="Y14" s="65">
        <f t="shared" ref="Y14:Z14" si="3">Y5*$AA14</f>
        <v>5.0037847222222215E-4</v>
      </c>
      <c r="Z14" s="65">
        <f t="shared" si="3"/>
        <v>4.8247337962962957E-4</v>
      </c>
      <c r="AA14">
        <v>1.19</v>
      </c>
    </row>
    <row r="15" spans="2:27" x14ac:dyDescent="0.45">
      <c r="B15" s="64" t="s">
        <v>223</v>
      </c>
      <c r="C15" s="65">
        <f t="shared" ref="C15:E15" si="4">C6*$F15</f>
        <v>1.0006782407407406E-3</v>
      </c>
      <c r="D15" s="65">
        <f t="shared" si="4"/>
        <v>9.8333333333333324E-4</v>
      </c>
      <c r="E15" s="65">
        <f t="shared" si="4"/>
        <v>9.4522916666666681E-4</v>
      </c>
      <c r="F15">
        <v>1.18</v>
      </c>
      <c r="H15" s="64" t="s">
        <v>223</v>
      </c>
      <c r="I15" s="65">
        <f t="shared" ref="I15:K15" si="5">I6*$L15</f>
        <v>1.2043055555555557E-3</v>
      </c>
      <c r="J15" s="65">
        <f t="shared" si="5"/>
        <v>1.1630555555555554E-3</v>
      </c>
      <c r="K15" s="65">
        <f t="shared" si="5"/>
        <v>1.1216666666666666E-3</v>
      </c>
      <c r="L15">
        <v>1.2</v>
      </c>
      <c r="Q15" s="64" t="s">
        <v>223</v>
      </c>
      <c r="R15" s="65">
        <f t="shared" si="2"/>
        <v>9.0309374999999993E-4</v>
      </c>
      <c r="S15" s="65">
        <f t="shared" si="2"/>
        <v>8.7438541666666654E-4</v>
      </c>
      <c r="T15" s="65">
        <f t="shared" si="2"/>
        <v>8.4147916666666659E-4</v>
      </c>
      <c r="U15">
        <v>1.17</v>
      </c>
      <c r="W15" s="64" t="s">
        <v>223</v>
      </c>
      <c r="X15" s="65">
        <f t="shared" ref="X15:Z15" si="6">X6*$AA15</f>
        <v>1.0714131944444443E-3</v>
      </c>
      <c r="Y15" s="65">
        <f t="shared" si="6"/>
        <v>1.0229317129629629E-3</v>
      </c>
      <c r="Z15" s="65">
        <f t="shared" si="6"/>
        <v>9.8739699074074073E-4</v>
      </c>
      <c r="AA15">
        <v>1.19</v>
      </c>
    </row>
    <row r="16" spans="2:27" x14ac:dyDescent="0.45">
      <c r="B16" s="64" t="s">
        <v>224</v>
      </c>
      <c r="C16" s="65">
        <f t="shared" ref="C16:E16" si="7">C7*$F16</f>
        <v>7.2916898148148146E-4</v>
      </c>
      <c r="D16" s="65">
        <f t="shared" si="7"/>
        <v>7.1551157407407403E-4</v>
      </c>
      <c r="E16" s="65">
        <f t="shared" si="7"/>
        <v>6.9557175925925928E-4</v>
      </c>
      <c r="F16">
        <v>1.18</v>
      </c>
      <c r="H16" s="64" t="s">
        <v>224</v>
      </c>
      <c r="I16" s="65">
        <f t="shared" ref="I16:K16" si="8">I7*$L16</f>
        <v>8.5972222222222222E-4</v>
      </c>
      <c r="J16" s="65">
        <f t="shared" si="8"/>
        <v>8.4444444444444443E-4</v>
      </c>
      <c r="K16" s="65">
        <f t="shared" si="8"/>
        <v>8.2777777777777786E-4</v>
      </c>
      <c r="L16">
        <v>1.2</v>
      </c>
      <c r="Q16" s="64" t="s">
        <v>224</v>
      </c>
      <c r="R16" s="65">
        <f t="shared" si="2"/>
        <v>6.6895833333333325E-4</v>
      </c>
      <c r="S16" s="65">
        <f t="shared" si="2"/>
        <v>6.5121875E-4</v>
      </c>
      <c r="T16" s="65">
        <f t="shared" si="2"/>
        <v>6.3104166666666658E-4</v>
      </c>
      <c r="U16">
        <v>1.17</v>
      </c>
      <c r="W16" s="64" t="s">
        <v>224</v>
      </c>
      <c r="X16" s="65">
        <f t="shared" ref="X16:Z16" si="9">X7*$AA16</f>
        <v>7.9925578703703712E-4</v>
      </c>
      <c r="Y16" s="65">
        <f>Y7*$AA16</f>
        <v>7.6867939814814811E-4</v>
      </c>
      <c r="Z16" s="65">
        <f t="shared" si="9"/>
        <v>7.4636689814814813E-4</v>
      </c>
      <c r="AA16">
        <v>1.19</v>
      </c>
    </row>
    <row r="17" spans="2:27" ht="14.25" customHeight="1" x14ac:dyDescent="0.45">
      <c r="B17" s="64" t="s">
        <v>225</v>
      </c>
      <c r="C17" s="65">
        <f t="shared" ref="C17:E17" si="10">C8*$F17</f>
        <v>8.3952083333333329E-4</v>
      </c>
      <c r="D17" s="65">
        <f t="shared" si="10"/>
        <v>8.1876157407407407E-4</v>
      </c>
      <c r="E17" s="65">
        <f t="shared" si="10"/>
        <v>7.884421296296295E-4</v>
      </c>
      <c r="F17">
        <v>1.18</v>
      </c>
      <c r="H17" s="64" t="s">
        <v>225</v>
      </c>
      <c r="I17" s="65">
        <f t="shared" ref="I17:K17" si="11">I8*$L17</f>
        <v>9.5722222222222226E-4</v>
      </c>
      <c r="J17" s="65">
        <f t="shared" si="11"/>
        <v>9.3833333333333334E-4</v>
      </c>
      <c r="K17" s="65">
        <f t="shared" si="11"/>
        <v>9.1791666666666671E-4</v>
      </c>
      <c r="L17">
        <v>1.2</v>
      </c>
      <c r="Q17" s="64" t="s">
        <v>225</v>
      </c>
      <c r="R17" s="65">
        <f t="shared" si="2"/>
        <v>7.5034374999999982E-4</v>
      </c>
      <c r="S17" s="65">
        <f t="shared" si="2"/>
        <v>7.2407291666666659E-4</v>
      </c>
      <c r="T17" s="65">
        <f t="shared" si="2"/>
        <v>6.9401041666666656E-4</v>
      </c>
      <c r="U17">
        <v>1.17</v>
      </c>
      <c r="W17" s="64" t="s">
        <v>225</v>
      </c>
      <c r="X17" s="65">
        <f t="shared" ref="X17:Z17" si="12">X8*$AA17</f>
        <v>8.8368518518518505E-4</v>
      </c>
      <c r="Y17" s="65">
        <f>Y8*$AA17</f>
        <v>8.4649768518518516E-4</v>
      </c>
      <c r="Z17" s="65">
        <f t="shared" si="12"/>
        <v>8.192268518518518E-4</v>
      </c>
      <c r="AA17">
        <v>1.19</v>
      </c>
    </row>
    <row r="18" spans="2:27" x14ac:dyDescent="0.45">
      <c r="B18" s="64" t="s">
        <v>226</v>
      </c>
      <c r="C18" s="65">
        <f t="shared" ref="C18:E18" si="13">C9*$F18</f>
        <v>1.8833564814814815E-3</v>
      </c>
      <c r="D18" s="65">
        <f t="shared" si="13"/>
        <v>1.8460717592592589E-3</v>
      </c>
      <c r="E18" s="65">
        <f t="shared" si="13"/>
        <v>1.7914421296296294E-3</v>
      </c>
      <c r="F18">
        <v>1.18</v>
      </c>
      <c r="H18" s="64" t="s">
        <v>226</v>
      </c>
      <c r="I18" s="65">
        <f t="shared" ref="I18:K18" si="14">I9*$L18</f>
        <v>2.0254166666666663E-3</v>
      </c>
      <c r="J18" s="65">
        <f t="shared" si="14"/>
        <v>1.995416666666667E-3</v>
      </c>
      <c r="K18" s="65">
        <f t="shared" si="14"/>
        <v>1.9655555555555555E-3</v>
      </c>
      <c r="L18">
        <v>1.2</v>
      </c>
      <c r="Q18" s="64" t="s">
        <v>226</v>
      </c>
      <c r="R18" s="65">
        <f t="shared" si="2"/>
        <v>1.7196562499999998E-3</v>
      </c>
      <c r="S18" s="65">
        <f t="shared" si="2"/>
        <v>1.6714479166666668E-3</v>
      </c>
      <c r="T18" s="65">
        <f t="shared" si="2"/>
        <v>1.6164687499999999E-3</v>
      </c>
      <c r="U18">
        <v>1.17</v>
      </c>
      <c r="W18" s="64" t="s">
        <v>226</v>
      </c>
      <c r="X18" s="65">
        <f t="shared" ref="X18:Z18" si="15">X9*$AA18</f>
        <v>1.9194259259259262E-3</v>
      </c>
      <c r="Y18" s="65">
        <f t="shared" si="15"/>
        <v>1.8822384259259259E-3</v>
      </c>
      <c r="Z18" s="65">
        <f t="shared" si="15"/>
        <v>1.8551053240740739E-3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2.067458333333333E-3</v>
      </c>
      <c r="D19" s="65">
        <f t="shared" si="16"/>
        <v>2.0244374999999998E-3</v>
      </c>
      <c r="E19" s="65">
        <f t="shared" si="16"/>
        <v>1.961340277777778E-3</v>
      </c>
      <c r="F19">
        <v>1.18</v>
      </c>
      <c r="H19" s="64" t="s">
        <v>4</v>
      </c>
      <c r="I19" s="65">
        <f t="shared" ref="I19:K19" si="17">I10*$L19</f>
        <v>2.2669444444444443E-3</v>
      </c>
      <c r="J19" s="65">
        <f t="shared" si="17"/>
        <v>2.2183333333333334E-3</v>
      </c>
      <c r="K19" s="65">
        <f t="shared" si="17"/>
        <v>2.1695833333333333E-3</v>
      </c>
      <c r="L19">
        <v>1.2</v>
      </c>
      <c r="Q19" s="64" t="s">
        <v>4</v>
      </c>
      <c r="R19" s="65">
        <f t="shared" si="2"/>
        <v>1.8793124999999999E-3</v>
      </c>
      <c r="S19" s="65">
        <f t="shared" si="2"/>
        <v>1.8610312499999998E-3</v>
      </c>
      <c r="T19" s="65">
        <f t="shared" si="2"/>
        <v>1.8044270833333334E-3</v>
      </c>
      <c r="U19">
        <v>1.17</v>
      </c>
      <c r="W19" s="64" t="s">
        <v>4</v>
      </c>
      <c r="X19" s="65">
        <f t="shared" ref="X19:Z19" si="18">X10*$AA19</f>
        <v>2.103159722222222E-3</v>
      </c>
      <c r="Y19" s="65">
        <f t="shared" si="18"/>
        <v>2.0437974537037035E-3</v>
      </c>
      <c r="Z19" s="65">
        <f t="shared" si="18"/>
        <v>2.0004120370370371E-3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2026-02-01T22:34:58Z</dcterms:modified>
</cp:coreProperties>
</file>