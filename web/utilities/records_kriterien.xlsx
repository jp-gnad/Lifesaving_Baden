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E5C816CE-D052-4B3B-AAEE-4D217A7C7E20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5" i="13" l="1"/>
  <c r="W5" i="13"/>
  <c r="V5" i="13"/>
  <c r="U5" i="13"/>
  <c r="T5" i="13"/>
  <c r="S5" i="13"/>
  <c r="N9" i="13"/>
  <c r="M9" i="13"/>
  <c r="V9" i="13" s="1"/>
  <c r="K19" i="14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K15" i="14"/>
  <c r="O7" i="13" s="1"/>
  <c r="J15" i="14"/>
  <c r="O8" i="13" s="1"/>
  <c r="I15" i="14"/>
  <c r="O9" i="13" s="1"/>
  <c r="K14" i="14"/>
  <c r="M7" i="13" s="1"/>
  <c r="J14" i="14"/>
  <c r="M8" i="13" s="1"/>
  <c r="I14" i="14"/>
  <c r="E19" i="14"/>
  <c r="Q4" i="13" s="1"/>
  <c r="D19" i="14"/>
  <c r="Q5" i="13" s="1"/>
  <c r="C19" i="14"/>
  <c r="Q6" i="13" s="1"/>
  <c r="P4" i="13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X4" i="13" s="1"/>
  <c r="C14" i="14"/>
  <c r="M6" i="13" s="1"/>
  <c r="X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W9" i="13" l="1"/>
  <c r="X9" i="13"/>
  <c r="V6" i="13"/>
  <c r="S6" i="13"/>
  <c r="T6" i="13"/>
  <c r="U6" i="13"/>
  <c r="W6" i="13"/>
  <c r="X8" i="13"/>
  <c r="W8" i="13"/>
  <c r="V8" i="13"/>
  <c r="U8" i="13"/>
  <c r="T8" i="13"/>
  <c r="S8" i="13"/>
  <c r="T7" i="13"/>
  <c r="S7" i="13"/>
  <c r="X7" i="13"/>
  <c r="W7" i="13"/>
  <c r="V7" i="13"/>
  <c r="U7" i="13"/>
  <c r="S9" i="13"/>
  <c r="T9" i="13"/>
  <c r="U9" i="13"/>
  <c r="S4" i="13"/>
  <c r="T4" i="13"/>
  <c r="U4" i="13"/>
  <c r="V4" i="13"/>
  <c r="W4" i="13"/>
  <c r="G4" i="6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<sst xmlns="http://schemas.openxmlformats.org/spreadsheetml/2006/main" count="662" uniqueCount="236">
  <si>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</si>
  <si>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</si>
  <si>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</si>
  <si>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</si>
  <si>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</si>
  <si>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</si>
  <si>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</si>
  <si>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</si>
  <si>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</si>
  <si>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</si>
  <si>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</si>
  <si>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</si>
  <si>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</si>
  <si>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</si>
  <si>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</si>
  <si>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</si>
  <si>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</si>
  <si>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</si>
  <si>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</si>
  <si>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</si>
  <si>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</si>
  <si>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</si>
  <si>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</si>
  <si>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</si>
  <si>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</si>
  <si>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</si>
  <si>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</si>
  <si>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</si>
  <si>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</si>
  <si>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</si>
  <si>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</si>
  <si>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</si>
  <si>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</si>
  <si>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</si>
  <si>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</si>
  <si>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</si>
  <si>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</si>
  <si>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</si>
  <si>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</si>
  <si>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</si>
  <si>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</si>
  <si>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</si>
  <si>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</si>
  <si>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</si>
  <si>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</si>
  <si>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</si>
  <si>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</si>
  <si>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</si>
  <si>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</si>
  <si>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</si>
  <si>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</si>
  <si>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</si>
  <si>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</si>
  <si>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</si>
  <si>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</si>
  <si>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</si>
  <si>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</si>
  <si>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</si>
  <si>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</si>
  <si>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</si>
  <si>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</si>
  <si>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</si>
  <si>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</si>
  <si>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</si>
  <si>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</si>
  <si>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</si>
  <si>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</si>
  <si>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</si>
  <si>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</si>
  <si>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</si>
  <si>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</si>
  <si>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</si>
  <si>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</si>
  <si>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</si>
  <si>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</si>
  <si>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</si>
  <si>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</si>
  <si>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</si>
  <si>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</si>
  <si>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</si>
  <si>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</si>
  <si>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</si>
  <si>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</si>
  <si>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</si>
  <si>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</si>
  <si>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</si>
  <si>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</si>
  <si>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</si>
  <si>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</si>
  <si>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</si>
  <si>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</si>
  <si>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</si>
  <si>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</si>
  <si>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</si>
  <si>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</si>
  <si>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</si>
  <si>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</si>
  <si>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</si>
  <si>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</si>
  <si>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</si>
  <si>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</si>
  <si>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</si>
  <si>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</si>
  <si>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</si>
  <si>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</si>
  <si>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</si>
  <si>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</si>
  <si>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</si>
  <si>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</si>
  <si>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</si>
  <si>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</si>
  <si>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</si>
  <si>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</si>
  <si>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</si>
  <si>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</si>
  <si>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</si>
  <si>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</si>
  <si>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</si>
  <si>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</si>
  <si>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</si>
  <si>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</si>
  <si>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</si>
  <si>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</si>
  <si>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</si>
  <si>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</si>
  <si>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</si>
  <si>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</si>
  <si>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</si>
  <si>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</si>
  <si>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</si>
  <si>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</si>
  <si>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</si>
  <si>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</si>
  <si>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</si>
  <si>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</si>
  <si>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</si>
  <si>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</si>
  <si>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</si>
  <si>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</si>
  <si>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</si>
  <si>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</si>
  <si>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</si>
  <si>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</si>
  <si>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</si>
  <si>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</si>
  <si>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</si>
  <si>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</si>
  <si>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</si>
  <si>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</si>
  <si>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</si>
  <si>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</si>
  <si>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</si>
  <si>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</si>
  <si>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</si>
  <si>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</si>
  <si>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</si>
  <si>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</si>
  <si>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</si>
  <si>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</si>
  <si>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</si>
  <si>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</si>
  <si>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</si>
  <si>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</si>
  <si>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</si>
  <si>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</si>
  <si>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</si>
  <si>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</si>
  <si>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</si>
  <si>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</si>
  <si>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</si>
  <si>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</si>
  <si>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</si>
  <si>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</si>
  <si>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</si>
  <si>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</si>
  <si>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</si>
  <si>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</si>
  <si>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</si>
  <si>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</si>
  <si>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</si>
  <si>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</si>
  <si>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</si>
  <si>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</si>
  <si>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</si>
  <si>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</si>
  <si>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</si>
  <si>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</si>
  <si>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</si>
  <si>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</si>
  <si>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</si>
  <si>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</si>
  <si>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</si>
  <si>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</si>
  <si>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</si>
  <si>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</si>
  <si>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</si>
  <si>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</si>
  <si>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</si>
  <si>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</si>
  <si>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</si>
  <si>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</si>
  <si>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</si>
  <si>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</si>
  <si>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</si>
  <si>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</si>
  <si>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</si>
  <si>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</si>
  <si>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</si>
  <si>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</si>
  <si>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</si>
  <si>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</si>
  <si>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</si>
  <si>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</si>
  <si>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</si>
  <si>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</si>
  <si>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</si>
  <si>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</si>
  <si>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</si>
  <si>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</si>
  <si>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</si>
  <si>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</si>
  <si>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</si>
  <si>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</si>
  <si>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</si>
  <si>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</si>
  <si>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</si>
  <si>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</si>
  <si>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</si>
  <si>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</si>
  <si>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</si>
  <si>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</si>
  <si>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200m Super Lifesaver</t>
  </si>
  <si>
    <t>NK2 Orginal W</t>
  </si>
  <si>
    <t>NK2 +10% W</t>
  </si>
  <si>
    <t>NK2-M (15%Test)</t>
  </si>
  <si>
    <t>NK2-W (15%Test)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</si>
</sst>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C9" sqref="C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234</v>
      </c>
      <c r="B4" s="59" t="s">
        <v>182</v>
      </c>
      <c r="C4" s="59">
        <v>18</v>
      </c>
      <c r="D4" s="59">
        <v>18</v>
      </c>
      <c r="E4" s="61">
        <v>45658</v>
      </c>
      <c r="F4" s="61">
        <v>46387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4.2113425925925923E-4</v>
      </c>
      <c r="N4" s="62">
        <f>Tabelle1!E16</f>
        <v>6.6617476851851842E-4</v>
      </c>
      <c r="O4" s="62">
        <f>Tabelle1!E15</f>
        <v>9.0495949074074057E-4</v>
      </c>
      <c r="P4" s="62">
        <f>Tabelle1!E17</f>
        <v>7.5894675925925923E-4</v>
      </c>
      <c r="Q4" s="62">
        <f>Tabelle1!E19</f>
        <v>1.8763368055555554E-3</v>
      </c>
      <c r="R4" s="62">
        <f>Tabelle1!E18</f>
        <v>1.7167476851851849E-3</v>
      </c>
      <c r="S4" s="62">
        <f>JRP_konfig[[#This Row],[PZ1 - 50m Retten]]</f>
        <v>4.2113425925925923E-4</v>
      </c>
      <c r="T4" s="62">
        <f>JRP_konfig[[#This Row],[PZ1 - 50m Retten]]</f>
        <v>4.2113425925925923E-4</v>
      </c>
      <c r="U4" s="62">
        <f>JRP_konfig[[#This Row],[PZ1 - 50m Retten]]</f>
        <v>4.2113425925925923E-4</v>
      </c>
      <c r="V4" s="62">
        <f>JRP_konfig[[#This Row],[PZ1 - 50m Retten]]</f>
        <v>4.2113425925925923E-4</v>
      </c>
      <c r="W4" s="62">
        <f>JRP_konfig[[#This Row],[PZ1 - 50m Retten]]</f>
        <v>4.2113425925925923E-4</v>
      </c>
      <c r="X4" s="62">
        <f>JRP_konfig[[#This Row],[PZ1 - 50m Retten]]</f>
        <v>4.2113425925925923E-4</v>
      </c>
    </row>
    <row r="5" spans="1:24" x14ac:dyDescent="0.45">
      <c r="A5" s="59" t="s">
        <v>234</v>
      </c>
      <c r="B5" s="59" t="s">
        <v>182</v>
      </c>
      <c r="C5" s="59">
        <v>17</v>
      </c>
      <c r="D5" s="59">
        <v>17</v>
      </c>
      <c r="E5" s="61">
        <v>45658</v>
      </c>
      <c r="F5" s="61">
        <v>46387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4.2579282407407404E-4</v>
      </c>
      <c r="N5" s="62">
        <f>Tabelle1!D16</f>
        <v>6.7269675925925928E-4</v>
      </c>
      <c r="O5" s="62">
        <f>Tabelle1!D15</f>
        <v>9.1813657407407404E-4</v>
      </c>
      <c r="P5" s="62">
        <f>Tabelle1!D17</f>
        <v>7.7531828703703703E-4</v>
      </c>
      <c r="Q5" s="62">
        <f>Tabelle1!D19</f>
        <v>1.8985648148148143E-3</v>
      </c>
      <c r="R5" s="62">
        <f>Tabelle1!D18</f>
        <v>1.7369791666666664E-3</v>
      </c>
      <c r="S5" s="62">
        <f>JRP_konfig[[#This Row],[PZ1 - 50m Retten]]</f>
        <v>4.2579282407407404E-4</v>
      </c>
      <c r="T5" s="62">
        <f>JRP_konfig[[#This Row],[PZ1 - 50m Retten]]</f>
        <v>4.2579282407407404E-4</v>
      </c>
      <c r="U5" s="62">
        <f>JRP_konfig[[#This Row],[PZ1 - 50m Retten]]</f>
        <v>4.2579282407407404E-4</v>
      </c>
      <c r="V5" s="62">
        <f>JRP_konfig[[#This Row],[PZ1 - 50m Retten]]</f>
        <v>4.2579282407407404E-4</v>
      </c>
      <c r="W5" s="62">
        <f>JRP_konfig[[#This Row],[PZ1 - 50m Retten]]</f>
        <v>4.2579282407407404E-4</v>
      </c>
      <c r="X5" s="62">
        <f>JRP_konfig[[#This Row],[PZ1 - 50m Retten]]</f>
        <v>4.2579282407407404E-4</v>
      </c>
    </row>
    <row r="6" spans="1:24" x14ac:dyDescent="0.45">
      <c r="A6" s="59" t="s">
        <v>234</v>
      </c>
      <c r="B6" s="59" t="s">
        <v>182</v>
      </c>
      <c r="C6" s="59">
        <v>14</v>
      </c>
      <c r="D6" s="59">
        <v>16</v>
      </c>
      <c r="E6" s="61">
        <v>45658</v>
      </c>
      <c r="F6" s="61">
        <v>46387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4.2991898148148143E-4</v>
      </c>
      <c r="N6" s="62">
        <f>Tabelle1!C16</f>
        <v>6.7881944444444435E-4</v>
      </c>
      <c r="O6" s="62">
        <f>Tabelle1!C15</f>
        <v>9.3038194444444451E-4</v>
      </c>
      <c r="P6" s="62">
        <f>Tabelle1!C17</f>
        <v>7.9035879629629627E-4</v>
      </c>
      <c r="Q6" s="62">
        <f>Tabelle1!C19</f>
        <v>1.9191956018518516E-3</v>
      </c>
      <c r="R6" s="62">
        <f>Tabelle1!C18</f>
        <v>1.7556134259259259E-3</v>
      </c>
      <c r="S6" s="62">
        <f>JRP_konfig[[#This Row],[PZ1 - 50m Retten]]</f>
        <v>4.2991898148148143E-4</v>
      </c>
      <c r="T6" s="62">
        <f>JRP_konfig[[#This Row],[PZ1 - 50m Retten]]</f>
        <v>4.2991898148148143E-4</v>
      </c>
      <c r="U6" s="62">
        <f>JRP_konfig[[#This Row],[PZ1 - 50m Retten]]</f>
        <v>4.2991898148148143E-4</v>
      </c>
      <c r="V6" s="62">
        <f>JRP_konfig[[#This Row],[PZ1 - 50m Retten]]</f>
        <v>4.2991898148148143E-4</v>
      </c>
      <c r="W6" s="62">
        <f>JRP_konfig[[#This Row],[PZ1 - 50m Retten]]</f>
        <v>4.2991898148148143E-4</v>
      </c>
      <c r="X6" s="62">
        <f>JRP_konfig[[#This Row],[PZ1 - 50m Retten]]</f>
        <v>4.2991898148148143E-4</v>
      </c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46387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5.2096064814814811E-4</v>
      </c>
      <c r="N7" s="62">
        <f>Tabelle1!K16</f>
        <v>7.8396990740740738E-4</v>
      </c>
      <c r="O7" s="62">
        <f>Tabelle1!K15</f>
        <v>1.0602893518518518E-3</v>
      </c>
      <c r="P7" s="62">
        <f>Tabelle1!K17</f>
        <v>8.7075231481481476E-4</v>
      </c>
      <c r="Q7" s="62">
        <f>Tabelle1!K19</f>
        <v>2.0524305555555552E-3</v>
      </c>
      <c r="R7" s="62">
        <f>Tabelle1!K18</f>
        <v>1.8642245370370368E-3</v>
      </c>
      <c r="S7" s="62">
        <f>JRP_konfig[[#This Row],[PZ1 - 50m Retten]]</f>
        <v>5.2096064814814811E-4</v>
      </c>
      <c r="T7" s="62">
        <f>JRP_konfig[[#This Row],[PZ1 - 50m Retten]]</f>
        <v>5.2096064814814811E-4</v>
      </c>
      <c r="U7" s="62">
        <f>JRP_konfig[[#This Row],[PZ1 - 50m Retten]]</f>
        <v>5.2096064814814811E-4</v>
      </c>
      <c r="V7" s="62">
        <f>JRP_konfig[[#This Row],[PZ1 - 50m Retten]]</f>
        <v>5.2096064814814811E-4</v>
      </c>
      <c r="W7" s="62">
        <f>JRP_konfig[[#This Row],[PZ1 - 50m Retten]]</f>
        <v>5.2096064814814811E-4</v>
      </c>
      <c r="X7" s="62">
        <f>JRP_konfig[[#This Row],[PZ1 - 50m Retten]]</f>
        <v>5.2096064814814811E-4</v>
      </c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46387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5.3147569444444444E-4</v>
      </c>
      <c r="N8" s="62">
        <f>Tabelle1!J16</f>
        <v>7.9288773148148144E-4</v>
      </c>
      <c r="O8" s="62">
        <f>Tabelle1!J15</f>
        <v>1.0793229166666666E-3</v>
      </c>
      <c r="P8" s="62">
        <f>Tabelle1!J17</f>
        <v>8.8353009259259244E-4</v>
      </c>
      <c r="Q8" s="62">
        <f>Tabelle1!J19</f>
        <v>2.0676041666666664E-3</v>
      </c>
      <c r="R8" s="62">
        <f>Tabelle1!J18</f>
        <v>1.871278935185185E-3</v>
      </c>
      <c r="S8" s="62">
        <f>JRP_konfig[[#This Row],[PZ1 - 50m Retten]]</f>
        <v>5.3147569444444444E-4</v>
      </c>
      <c r="T8" s="62">
        <f>JRP_konfig[[#This Row],[PZ1 - 50m Retten]]</f>
        <v>5.3147569444444444E-4</v>
      </c>
      <c r="U8" s="62">
        <f>JRP_konfig[[#This Row],[PZ1 - 50m Retten]]</f>
        <v>5.3147569444444444E-4</v>
      </c>
      <c r="V8" s="62">
        <f>JRP_konfig[[#This Row],[PZ1 - 50m Retten]]</f>
        <v>5.3147569444444444E-4</v>
      </c>
      <c r="W8" s="62">
        <f>JRP_konfig[[#This Row],[PZ1 - 50m Retten]]</f>
        <v>5.3147569444444444E-4</v>
      </c>
      <c r="X8" s="62">
        <f>JRP_konfig[[#This Row],[PZ1 - 50m Retten]]</f>
        <v>5.3147569444444444E-4</v>
      </c>
    </row>
    <row r="9" spans="1:24" x14ac:dyDescent="0.45">
      <c r="A9" s="59" t="s">
        <v>235</v>
      </c>
      <c r="B9" s="59" t="s">
        <v>164</v>
      </c>
      <c r="C9" s="59">
        <v>14</v>
      </c>
      <c r="D9" s="59">
        <v>16</v>
      </c>
      <c r="E9" s="61">
        <v>45658</v>
      </c>
      <c r="F9" s="61">
        <v>46387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5.4145833333333324E-4</v>
      </c>
      <c r="N9" s="62">
        <f>Tabelle1!I16</f>
        <v>8.0114004629629621E-4</v>
      </c>
      <c r="O9" s="62">
        <f>Tabelle1!I15</f>
        <v>1.096892361111111E-3</v>
      </c>
      <c r="P9" s="62">
        <f>Tabelle1!I17</f>
        <v>8.9524305555555559E-4</v>
      </c>
      <c r="Q9" s="62">
        <f>Tabelle1!I19</f>
        <v>2.0817129629629627E-3</v>
      </c>
      <c r="R9" s="62">
        <f>Tabelle1!I18</f>
        <v>1.8778009259259256E-3</v>
      </c>
      <c r="S9" s="62">
        <f>JRP_konfig[[#This Row],[PZ1 - 50m Retten]]</f>
        <v>5.4145833333333324E-4</v>
      </c>
      <c r="T9" s="62">
        <f>JRP_konfig[[#This Row],[PZ1 - 50m Retten]]</f>
        <v>5.4145833333333324E-4</v>
      </c>
      <c r="U9" s="62">
        <f>JRP_konfig[[#This Row],[PZ1 - 50m Retten]]</f>
        <v>5.4145833333333324E-4</v>
      </c>
      <c r="V9" s="62">
        <f>JRP_konfig[[#This Row],[PZ1 - 50m Retten]]</f>
        <v>5.4145833333333324E-4</v>
      </c>
      <c r="W9" s="62">
        <f>JRP_konfig[[#This Row],[PZ1 - 50m Retten]]</f>
        <v>5.4145833333333324E-4</v>
      </c>
      <c r="X9" s="62">
        <f>JRP_konfig[[#This Row],[PZ1 - 50m Retten]]</f>
        <v>5.4145833333333324E-4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L13" sqref="L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232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231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1.1499999999999999</v>
      </c>
      <c r="H12" t="s">
        <v>233</v>
      </c>
      <c r="L12">
        <v>1.1499999999999999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4.2991898148148143E-4</v>
      </c>
      <c r="D14" s="65">
        <f t="shared" ref="D14:E14" si="0">D5*$F$12</f>
        <v>4.2579282407407404E-4</v>
      </c>
      <c r="E14" s="65">
        <f t="shared" si="0"/>
        <v>4.2113425925925923E-4</v>
      </c>
      <c r="H14" s="64" t="s">
        <v>0</v>
      </c>
      <c r="I14" s="65">
        <f>I5*$L$12</f>
        <v>5.4145833333333324E-4</v>
      </c>
      <c r="J14" s="65">
        <f t="shared" ref="J14:K14" si="1">J5*$L$12</f>
        <v>5.3147569444444444E-4</v>
      </c>
      <c r="K14" s="65">
        <f t="shared" si="1"/>
        <v>5.2096064814814811E-4</v>
      </c>
    </row>
    <row r="15" spans="2:12" x14ac:dyDescent="0.45">
      <c r="B15" s="64" t="s">
        <v>225</v>
      </c>
      <c r="C15" s="65">
        <f t="shared" ref="C15:E15" si="2">C6*$F$12</f>
        <v>9.3038194444444451E-4</v>
      </c>
      <c r="D15" s="65">
        <f t="shared" si="2"/>
        <v>9.1813657407407404E-4</v>
      </c>
      <c r="E15" s="65">
        <f t="shared" si="2"/>
        <v>9.0495949074074057E-4</v>
      </c>
      <c r="H15" s="64" t="s">
        <v>225</v>
      </c>
      <c r="I15" s="65">
        <f t="shared" ref="I15:K15" si="3">I6*$L$12</f>
        <v>1.096892361111111E-3</v>
      </c>
      <c r="J15" s="65">
        <f t="shared" si="3"/>
        <v>1.0793229166666666E-3</v>
      </c>
      <c r="K15" s="65">
        <f t="shared" si="3"/>
        <v>1.0602893518518518E-3</v>
      </c>
    </row>
    <row r="16" spans="2:12" x14ac:dyDescent="0.45">
      <c r="B16" s="64" t="s">
        <v>226</v>
      </c>
      <c r="C16" s="65">
        <f t="shared" ref="C16:E16" si="4">C7*$F$12</f>
        <v>6.7881944444444435E-4</v>
      </c>
      <c r="D16" s="65">
        <f t="shared" si="4"/>
        <v>6.7269675925925928E-4</v>
      </c>
      <c r="E16" s="65">
        <f t="shared" si="4"/>
        <v>6.6617476851851842E-4</v>
      </c>
      <c r="H16" s="64" t="s">
        <v>226</v>
      </c>
      <c r="I16" s="65">
        <f t="shared" ref="I16:K16" si="5">I7*$L$12</f>
        <v>8.0114004629629621E-4</v>
      </c>
      <c r="J16" s="65">
        <f t="shared" si="5"/>
        <v>7.9288773148148144E-4</v>
      </c>
      <c r="K16" s="65">
        <f t="shared" si="5"/>
        <v>7.8396990740740738E-4</v>
      </c>
    </row>
    <row r="17" spans="2:11" x14ac:dyDescent="0.45">
      <c r="B17" s="64" t="s">
        <v>227</v>
      </c>
      <c r="C17" s="65">
        <f t="shared" ref="C17:E17" si="6">C8*$F$12</f>
        <v>7.9035879629629627E-4</v>
      </c>
      <c r="D17" s="65">
        <f t="shared" si="6"/>
        <v>7.7531828703703703E-4</v>
      </c>
      <c r="E17" s="65">
        <f t="shared" si="6"/>
        <v>7.5894675925925923E-4</v>
      </c>
      <c r="H17" s="64" t="s">
        <v>227</v>
      </c>
      <c r="I17" s="65">
        <f t="shared" ref="I17:K17" si="7">I8*$L$12</f>
        <v>8.9524305555555559E-4</v>
      </c>
      <c r="J17" s="65">
        <f t="shared" si="7"/>
        <v>8.8353009259259244E-4</v>
      </c>
      <c r="K17" s="65">
        <f t="shared" si="7"/>
        <v>8.7075231481481476E-4</v>
      </c>
    </row>
    <row r="18" spans="2:11" x14ac:dyDescent="0.45">
      <c r="B18" s="64" t="s">
        <v>228</v>
      </c>
      <c r="C18" s="65">
        <f t="shared" ref="C18:E19" si="8">C9*$F$12</f>
        <v>1.7556134259259259E-3</v>
      </c>
      <c r="D18" s="65">
        <f t="shared" si="8"/>
        <v>1.7369791666666664E-3</v>
      </c>
      <c r="E18" s="65">
        <f t="shared" si="8"/>
        <v>1.7167476851851849E-3</v>
      </c>
      <c r="H18" s="64" t="s">
        <v>228</v>
      </c>
      <c r="I18" s="65">
        <f t="shared" ref="I18:K18" si="9">I9*$L$12</f>
        <v>1.8778009259259256E-3</v>
      </c>
      <c r="J18" s="65">
        <f t="shared" si="9"/>
        <v>1.871278935185185E-3</v>
      </c>
      <c r="K18" s="65">
        <f t="shared" si="9"/>
        <v>1.8642245370370368E-3</v>
      </c>
    </row>
    <row r="19" spans="2:11" x14ac:dyDescent="0.45">
      <c r="B19" s="64" t="s">
        <v>4</v>
      </c>
      <c r="C19" s="65">
        <f t="shared" si="8"/>
        <v>1.9191956018518516E-3</v>
      </c>
      <c r="D19" s="65">
        <f t="shared" si="8"/>
        <v>1.8985648148148143E-3</v>
      </c>
      <c r="E19" s="65">
        <f t="shared" si="8"/>
        <v>1.8763368055555554E-3</v>
      </c>
      <c r="H19" s="64" t="s">
        <v>4</v>
      </c>
      <c r="I19" s="65">
        <f t="shared" ref="I19:K19" si="10">I10*$L$12</f>
        <v>2.0817129629629627E-3</v>
      </c>
      <c r="J19" s="65">
        <f t="shared" si="10"/>
        <v>2.0676041666666664E-3</v>
      </c>
      <c r="K19" s="65">
        <f t="shared" si="10"/>
        <v>2.0524305555555552E-3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2026-01-20T05:11:23Z</dcterms:modified>
</cp:coreProperties>
</file>