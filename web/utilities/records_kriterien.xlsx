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41B09332-87BC-4217-AEA0-B5D173C28EC1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<sst xmlns="http://schemas.openxmlformats.org/spreadsheetml/2006/main" count="678" uniqueCount="238">
  <si>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</si>
  <si>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</si>
  <si>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</si>
  <si>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</si>
  <si>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</si>
  <si>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</si>
  <si>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</si>
  <si>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</si>
  <si>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</si>
  <si>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</si>
  <si>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</si>
  <si>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</si>
  <si>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</si>
  <si>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</si>
  <si>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</si>
  <si>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</si>
  <si>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</si>
  <si>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</si>
  <si>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</si>
  <si>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</si>
  <si>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</si>
  <si>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</si>
  <si>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</si>
  <si>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</si>
  <si>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</si>
  <si>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</si>
  <si>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</si>
  <si>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</si>
  <si>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</si>
  <si>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</si>
  <si>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</si>
  <si>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</si>
  <si>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</si>
  <si>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</si>
  <si>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</si>
  <si>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</si>
  <si>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</si>
  <si>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</si>
  <si>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</si>
  <si>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</si>
  <si>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</si>
  <si>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</si>
  <si>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</si>
  <si>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</si>
  <si>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</si>
  <si>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</si>
  <si>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</si>
  <si>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</si>
  <si>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</si>
  <si>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</si>
  <si>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</si>
  <si>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</si>
  <si>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</si>
  <si>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</si>
  <si>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</si>
  <si>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</si>
  <si>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</si>
  <si>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</si>
  <si>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</si>
  <si>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</si>
  <si>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</si>
  <si>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</si>
  <si>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</si>
  <si>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</si>
  <si>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</si>
  <si>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</si>
  <si>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</si>
  <si>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</si>
  <si>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</si>
  <si>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</si>
  <si>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</si>
  <si>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</si>
  <si>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</si>
  <si>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</si>
  <si>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</si>
  <si>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</si>
  <si>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</si>
  <si>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</si>
  <si>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</si>
  <si>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</si>
  <si>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</si>
  <si>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</si>
  <si>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</si>
  <si>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</si>
  <si>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</si>
  <si>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</si>
  <si>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</si>
  <si>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</si>
  <si>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</si>
  <si>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</si>
  <si>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</si>
  <si>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</si>
  <si>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</si>
  <si>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</si>
  <si>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</si>
  <si>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</si>
  <si>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</si>
  <si>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</si>
  <si>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</si>
  <si>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</si>
  <si>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</si>
  <si>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</si>
  <si>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</si>
  <si>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</si>
  <si>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</si>
  <si>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</si>
  <si>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</si>
  <si>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</si>
  <si>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</si>
  <si>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</si>
  <si>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</si>
  <si>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</si>
  <si>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</si>
  <si>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</si>
  <si>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</si>
  <si>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</si>
  <si>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</si>
  <si>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</si>
  <si>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</si>
  <si>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</si>
  <si>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</si>
  <si>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</si>
  <si>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</si>
  <si>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</si>
  <si>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</si>
  <si>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</si>
  <si>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</si>
  <si>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</si>
  <si>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</si>
  <si>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</si>
  <si>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</si>
  <si>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</si>
  <si>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</si>
  <si>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</si>
  <si>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</si>
  <si>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</si>
  <si>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</si>
  <si>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</si>
  <si>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</si>
  <si>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</si>
  <si>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</si>
  <si>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</si>
  <si>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</si>
  <si>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</si>
  <si>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</si>
  <si>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</si>
  <si>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</si>
  <si>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</si>
  <si>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</si>
  <si>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</si>
  <si>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</si>
  <si>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</si>
  <si>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</si>
  <si>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</si>
  <si>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</si>
  <si>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</si>
  <si>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</si>
  <si>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</si>
  <si>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</si>
  <si>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</si>
  <si>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</si>
  <si>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</si>
  <si>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</si>
  <si>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</si>
  <si>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</si>
  <si>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</si>
  <si>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</si>
  <si>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</si>
  <si>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</si>
  <si>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</si>
  <si>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</si>
  <si>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</si>
  <si>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</si>
  <si>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</si>
  <si>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</si>
  <si>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</si>
  <si>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</si>
  <si>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</si>
  <si>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</si>
  <si>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</si>
  <si>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</si>
  <si>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</si>
  <si>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</si>
  <si>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</si>
  <si>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</si>
  <si>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</si>
  <si>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</si>
  <si>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</si>
  <si>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</si>
  <si>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</si>
  <si>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</si>
  <si>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</si>
  <si>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</si>
  <si>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</si>
  <si>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</si>
  <si>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</si>
  <si>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</si>
  <si>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</si>
  <si>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</si>
  <si>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</si>
  <si>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</si>
  <si>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</si>
  <si>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</si>
  <si>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</si>
  <si>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</si>
  <si>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</si>
  <si>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</si>
  <si>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</si>
  <si>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</si>
  <si>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</si>
  <si>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</si>
  <si>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</si>
  <si>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</si>
  <si>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</si>
  <si>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</si>
  <si>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</si>
  <si>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</si>
  <si>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</si>
  <si>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</si>
  <si>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</si>
  <si>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</si>
  <si>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</si>
  <si>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</si>
  <si>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</si>
  <si>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</si>
  <si>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</si>
  <si>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</si>
  <si>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</si>
  <si>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</si>
  <si>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</si>
  <si>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</si>
  <si>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</si>
  <si>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</si>
  <si>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</si>
  <si>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+17,5% Mäner</t>
  </si>
  <si>
    <t>NK2 +17,5% Frauen</t>
  </si>
  <si>
    <t>NK1 + 10% Frauen</t>
  </si>
  <si>
    <t>NK1 + 10% Männer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</si>
</sst>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3" totalsRowShown="0" headerRowDxfId="43" dataDxfId="42">
  <autoFilter ref="A1:X1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3"/>
  <sheetViews>
    <sheetView topLeftCell="G1" workbookViewId="0">
      <selection activeCell="D7" sqref="D7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M4</f>
        <v>4.3944444444444445E-4</v>
      </c>
      <c r="T4" s="62">
        <f t="shared" ref="T4:T9" si="0">N4</f>
        <v>6.951388888888888E-4</v>
      </c>
      <c r="U4" s="62">
        <f t="shared" ref="U4:U9" si="1">O4</f>
        <v>9.4430555555555544E-4</v>
      </c>
      <c r="V4" s="62">
        <f t="shared" ref="V4:V9" si="2">P4</f>
        <v>7.919444444444444E-4</v>
      </c>
      <c r="W4" s="62">
        <f t="shared" ref="W4:W9" si="3">Q4</f>
        <v>1.9579166666666664E-3</v>
      </c>
      <c r="X4" s="62">
        <f t="shared" ref="X4:X9" si="4">R4</f>
        <v>1.7913888888888886E-3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 t="shared" ref="S5:S9" si="5">M5</f>
        <v>4.4430555555555553E-4</v>
      </c>
      <c r="T5" s="62">
        <f t="shared" si="0"/>
        <v>7.0194444444444449E-4</v>
      </c>
      <c r="U5" s="62">
        <f t="shared" si="1"/>
        <v>9.5805555555555553E-4</v>
      </c>
      <c r="V5" s="62">
        <f t="shared" si="2"/>
        <v>8.0902777777777776E-4</v>
      </c>
      <c r="W5" s="62">
        <f t="shared" si="3"/>
        <v>1.9811111111111106E-3</v>
      </c>
      <c r="X5" s="62">
        <f t="shared" si="4"/>
        <v>1.8124999999999999E-3</v>
      </c>
    </row>
    <row r="6" spans="1:24" x14ac:dyDescent="0.45">
      <c r="A6" s="59" t="s">
        <v>234</v>
      </c>
      <c r="B6" s="59" t="s">
        <v>182</v>
      </c>
      <c r="C6" s="59">
        <v>12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 t="shared" si="5"/>
        <v>4.4861111111111105E-4</v>
      </c>
      <c r="T6" s="62">
        <f t="shared" si="0"/>
        <v>7.0833333333333328E-4</v>
      </c>
      <c r="U6" s="62">
        <f t="shared" si="1"/>
        <v>9.7083333333333342E-4</v>
      </c>
      <c r="V6" s="62">
        <f t="shared" si="2"/>
        <v>8.2472222222222224E-4</v>
      </c>
      <c r="W6" s="62">
        <f t="shared" si="3"/>
        <v>2.0026388888888889E-3</v>
      </c>
      <c r="X6" s="62">
        <f t="shared" si="4"/>
        <v>1.8319444444444444E-3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 t="shared" si="5"/>
        <v>5.4361111111111114E-4</v>
      </c>
      <c r="T7" s="62">
        <f t="shared" si="0"/>
        <v>8.1805555555555548E-4</v>
      </c>
      <c r="U7" s="62">
        <f t="shared" si="1"/>
        <v>1.1063888888888887E-3</v>
      </c>
      <c r="V7" s="62">
        <f t="shared" si="2"/>
        <v>9.0861111111111101E-4</v>
      </c>
      <c r="W7" s="62">
        <f t="shared" si="3"/>
        <v>2.1416666666666663E-3</v>
      </c>
      <c r="X7" s="62">
        <f t="shared" si="4"/>
        <v>1.9452777777777775E-3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 t="shared" si="5"/>
        <v>5.5458333333333336E-4</v>
      </c>
      <c r="T8" s="62">
        <f t="shared" si="0"/>
        <v>8.2736111111111118E-4</v>
      </c>
      <c r="U8" s="62">
        <f t="shared" si="1"/>
        <v>1.1262500000000001E-3</v>
      </c>
      <c r="V8" s="62">
        <f t="shared" si="2"/>
        <v>9.2194444444444431E-4</v>
      </c>
      <c r="W8" s="62">
        <f t="shared" si="3"/>
        <v>2.1574999999999997E-3</v>
      </c>
      <c r="X8" s="62">
        <f t="shared" si="4"/>
        <v>1.9526388888888887E-3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 t="shared" si="5"/>
        <v>5.6499999999999996E-4</v>
      </c>
      <c r="T9" s="62">
        <f t="shared" si="0"/>
        <v>8.3597222222222222E-4</v>
      </c>
      <c r="U9" s="62">
        <f t="shared" si="1"/>
        <v>1.1445833333333332E-3</v>
      </c>
      <c r="V9" s="62">
        <f t="shared" si="2"/>
        <v>9.341666666666667E-4</v>
      </c>
      <c r="W9" s="62">
        <f t="shared" si="3"/>
        <v>2.1722222222222221E-3</v>
      </c>
      <c r="X9" s="62">
        <f t="shared" si="4"/>
        <v>1.9594444444444442E-3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 t="s">
        <v>236</v>
      </c>
      <c r="B12" s="59" t="s">
        <v>164</v>
      </c>
      <c r="C12" s="59">
        <v>12</v>
      </c>
      <c r="D12" s="59">
        <v>18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  <row r="13" spans="1:24" x14ac:dyDescent="0.45">
      <c r="A13" s="59" t="s">
        <v>237</v>
      </c>
      <c r="B13" s="59" t="s">
        <v>182</v>
      </c>
      <c r="C13" s="59">
        <v>12</v>
      </c>
      <c r="D13" s="59">
        <v>18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abSelected="1" workbookViewId="0">
      <selection activeCell="L14" sqref="L14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4.4861111111111105E-4</v>
      </c>
      <c r="D14" s="65">
        <f t="shared" ref="D14:E14" si="2">D5*$F14</f>
        <v>4.4430555555555553E-4</v>
      </c>
      <c r="E14" s="65">
        <f t="shared" si="2"/>
        <v>4.3944444444444445E-4</v>
      </c>
      <c r="F14">
        <v>1.2</v>
      </c>
      <c r="H14" s="64" t="s">
        <v>0</v>
      </c>
      <c r="I14" s="65">
        <f>I5*$L14</f>
        <v>5.6499999999999996E-4</v>
      </c>
      <c r="J14" s="65">
        <f t="shared" ref="J14:K14" si="3">J5*$L14</f>
        <v>5.5458333333333336E-4</v>
      </c>
      <c r="K14" s="65">
        <f t="shared" si="3"/>
        <v>5.4361111111111114E-4</v>
      </c>
      <c r="L14">
        <v>1.2</v>
      </c>
    </row>
    <row r="15" spans="2:17" x14ac:dyDescent="0.45">
      <c r="B15" s="64" t="s">
        <v>225</v>
      </c>
      <c r="C15" s="65">
        <f t="shared" ref="C15:E15" si="4">C6*$F15</f>
        <v>9.7083333333333342E-4</v>
      </c>
      <c r="D15" s="65">
        <f t="shared" si="4"/>
        <v>9.5805555555555553E-4</v>
      </c>
      <c r="E15" s="65">
        <f t="shared" si="4"/>
        <v>9.4430555555555544E-4</v>
      </c>
      <c r="F15">
        <v>1.2</v>
      </c>
      <c r="H15" s="64" t="s">
        <v>225</v>
      </c>
      <c r="I15" s="65">
        <f t="shared" ref="I15:K15" si="5">I6*$L15</f>
        <v>1.1445833333333332E-3</v>
      </c>
      <c r="J15" s="65">
        <f t="shared" si="5"/>
        <v>1.1262500000000001E-3</v>
      </c>
      <c r="K15" s="65">
        <f t="shared" si="5"/>
        <v>1.1063888888888887E-3</v>
      </c>
      <c r="L15">
        <v>1.2</v>
      </c>
    </row>
    <row r="16" spans="2:17" x14ac:dyDescent="0.45">
      <c r="B16" s="64" t="s">
        <v>226</v>
      </c>
      <c r="C16" s="65">
        <f t="shared" ref="C16:E16" si="6">C7*$F16</f>
        <v>7.0833333333333328E-4</v>
      </c>
      <c r="D16" s="65">
        <f t="shared" si="6"/>
        <v>7.0194444444444449E-4</v>
      </c>
      <c r="E16" s="65">
        <f t="shared" si="6"/>
        <v>6.951388888888888E-4</v>
      </c>
      <c r="F16">
        <v>1.2</v>
      </c>
      <c r="H16" s="64" t="s">
        <v>226</v>
      </c>
      <c r="I16" s="65">
        <f t="shared" ref="I16:K16" si="7">I7*$L16</f>
        <v>8.3597222222222222E-4</v>
      </c>
      <c r="J16" s="65">
        <f t="shared" si="7"/>
        <v>8.2736111111111118E-4</v>
      </c>
      <c r="K16" s="65">
        <f t="shared" si="7"/>
        <v>8.1805555555555548E-4</v>
      </c>
      <c r="L16">
        <v>1.2</v>
      </c>
    </row>
    <row r="17" spans="2:12" x14ac:dyDescent="0.45">
      <c r="B17" s="64" t="s">
        <v>227</v>
      </c>
      <c r="C17" s="65">
        <f t="shared" ref="C17:E17" si="8">C8*$F17</f>
        <v>8.2472222222222224E-4</v>
      </c>
      <c r="D17" s="65">
        <f t="shared" si="8"/>
        <v>8.0902777777777776E-4</v>
      </c>
      <c r="E17" s="65">
        <f t="shared" si="8"/>
        <v>7.919444444444444E-4</v>
      </c>
      <c r="F17">
        <v>1.2</v>
      </c>
      <c r="H17" s="64" t="s">
        <v>227</v>
      </c>
      <c r="I17" s="65">
        <f t="shared" ref="I17:K17" si="9">I8*$L17</f>
        <v>9.341666666666667E-4</v>
      </c>
      <c r="J17" s="65">
        <f t="shared" si="9"/>
        <v>9.2194444444444431E-4</v>
      </c>
      <c r="K17" s="65">
        <f t="shared" si="9"/>
        <v>9.0861111111111101E-4</v>
      </c>
      <c r="L17">
        <v>1.2</v>
      </c>
    </row>
    <row r="18" spans="2:12" x14ac:dyDescent="0.45">
      <c r="B18" s="64" t="s">
        <v>228</v>
      </c>
      <c r="C18" s="65">
        <f t="shared" ref="C18:E18" si="10">C9*$F18</f>
        <v>1.8319444444444444E-3</v>
      </c>
      <c r="D18" s="65">
        <f t="shared" si="10"/>
        <v>1.8124999999999999E-3</v>
      </c>
      <c r="E18" s="65">
        <f t="shared" si="10"/>
        <v>1.7913888888888886E-3</v>
      </c>
      <c r="F18">
        <v>1.2</v>
      </c>
      <c r="H18" s="64" t="s">
        <v>228</v>
      </c>
      <c r="I18" s="65">
        <f t="shared" ref="I18:K18" si="11">I9*$L18</f>
        <v>1.9594444444444442E-3</v>
      </c>
      <c r="J18" s="65">
        <f t="shared" si="11"/>
        <v>1.9526388888888887E-3</v>
      </c>
      <c r="K18" s="65">
        <f t="shared" si="11"/>
        <v>1.9452777777777775E-3</v>
      </c>
      <c r="L18">
        <v>1.2</v>
      </c>
    </row>
    <row r="19" spans="2:12" x14ac:dyDescent="0.45">
      <c r="B19" s="64" t="s">
        <v>4</v>
      </c>
      <c r="C19" s="65">
        <f t="shared" ref="C19:E19" si="12">C10*$F19</f>
        <v>2.0026388888888889E-3</v>
      </c>
      <c r="D19" s="65">
        <f t="shared" si="12"/>
        <v>1.9811111111111106E-3</v>
      </c>
      <c r="E19" s="65">
        <f t="shared" si="12"/>
        <v>1.9579166666666664E-3</v>
      </c>
      <c r="F19">
        <v>1.2</v>
      </c>
      <c r="H19" s="64" t="s">
        <v>4</v>
      </c>
      <c r="I19" s="65">
        <f t="shared" ref="I19:K19" si="13">I10*$L19</f>
        <v>2.1722222222222221E-3</v>
      </c>
      <c r="J19" s="65">
        <f t="shared" si="13"/>
        <v>2.1574999999999997E-3</v>
      </c>
      <c r="K19" s="65">
        <f t="shared" si="13"/>
        <v>2.1416666666666663E-3</v>
      </c>
      <c r="L19">
        <v>1.2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2026-01-22T21:43:05Z</dcterms:modified>
</cp:coreProperties>
</file>