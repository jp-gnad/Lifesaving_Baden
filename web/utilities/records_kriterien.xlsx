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4C16D5C-1865-4967-A48A-24ADA1B5F7CD}" xr6:coauthVersionLast="47" xr6:coauthVersionMax="47" xr10:uidLastSave="{00000000-0000-0000-0000-000000000000}"/>
  <bookViews>
    <workbookView xWindow="-98" yWindow="-98" windowWidth="21795" windowHeight="12975" tabRatio="687" firstSheet="1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<sst xmlns="http://schemas.openxmlformats.org/spreadsheetml/2006/main" count="728" uniqueCount="274">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</sst>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8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9" borderId="0" xfId="0" applyFont="1" applyFill="1" applyBorder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0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/>
    </xf>
    <xf numFmtId="0" fontId="17" fillId="8" borderId="0" xfId="0" applyFont="1" applyFill="1" applyBorder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0" xfId="0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164" fontId="19" fillId="0" borderId="0" xfId="0" applyNumberFormat="1" applyFont="1" applyBorder="1" applyAlignment="1">
      <alignment horizontal="center" vertical="center" wrapText="1"/>
    </xf>
    <xf numFmtId="0" fontId="17" fillId="3" borderId="17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/>
    </xf>
    <xf numFmtId="0" fontId="17" fillId="7" borderId="17" xfId="0" applyFont="1" applyFill="1" applyBorder="1" applyAlignment="1">
      <alignment horizontal="center" vertic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Border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9" borderId="0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Border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Border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Border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abSelected="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255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255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255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256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255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255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255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zoomScale="83" workbookViewId="0">
      <selection activeCell="C17" sqref="C17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254</v>
      </c>
      <c r="G3" t="s">
        <v>233</v>
      </c>
      <c r="H3" t="s">
        <v>238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239</v>
      </c>
      <c r="G5" t="s">
        <v>233</v>
      </c>
      <c r="H5" t="s">
        <v>238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240</v>
      </c>
      <c r="G6" t="s">
        <v>241</v>
      </c>
      <c r="H6" t="s">
        <v>238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242</v>
      </c>
      <c r="G7" t="s">
        <v>233</v>
      </c>
      <c r="H7" t="s">
        <v>234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243</v>
      </c>
      <c r="F8" s="72" t="s">
        <v>244</v>
      </c>
      <c r="G8" t="s">
        <v>245</v>
      </c>
      <c r="H8" t="s">
        <v>238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246</v>
      </c>
      <c r="F9" s="72" t="s">
        <v>247</v>
      </c>
      <c r="G9" t="s">
        <v>248</v>
      </c>
      <c r="H9" t="s">
        <v>249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250</v>
      </c>
      <c r="F10" s="72" t="s">
        <v>251</v>
      </c>
      <c r="G10" t="s">
        <v>252</v>
      </c>
      <c r="H10" t="s">
        <v>253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332031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7" customFormat="1" ht="18" customHeight="1" x14ac:dyDescent="0.5">
      <c r="A1" s="177">
        <v>2025</v>
      </c>
      <c r="B1" s="82" t="str">
        <f ca="1">CONCATENATE("in: ",YEAR(TODAY())-1," für: ", YEAR(TODAY()))</f>
        <v>in: 2025 für: 2026</v>
      </c>
      <c r="C1" s="86" t="s">
        <v>257</v>
      </c>
      <c r="D1" s="86"/>
      <c r="E1" s="87"/>
      <c r="F1" s="103" t="s">
        <v>258</v>
      </c>
      <c r="G1" s="88"/>
      <c r="H1" s="88"/>
      <c r="I1" s="88"/>
      <c r="J1" s="89"/>
      <c r="K1" s="118" t="s">
        <v>262</v>
      </c>
      <c r="L1" s="119"/>
      <c r="M1" s="119"/>
      <c r="N1" s="120"/>
      <c r="O1" s="91" t="s">
        <v>259</v>
      </c>
      <c r="P1" s="91"/>
      <c r="Q1" s="92"/>
      <c r="R1" s="105" t="s">
        <v>260</v>
      </c>
      <c r="S1" s="93"/>
      <c r="T1" s="93"/>
      <c r="U1" s="93"/>
      <c r="V1" s="94"/>
      <c r="W1" s="123" t="s">
        <v>263</v>
      </c>
      <c r="X1" s="124"/>
      <c r="Y1" s="124"/>
      <c r="Z1" s="129"/>
      <c r="AA1"/>
      <c r="AB1" s="82" t="str">
        <f ca="1">CONCATENATE("in: ",YEAR(TODAY())-1," für: ", YEAR(TODAY()))</f>
        <v>in: 2025 für: 2026</v>
      </c>
      <c r="AC1" s="149" t="s">
        <v>264</v>
      </c>
      <c r="AD1" s="149"/>
      <c r="AE1" s="150"/>
      <c r="AF1" s="151" t="s">
        <v>265</v>
      </c>
      <c r="AG1" s="152"/>
      <c r="AH1" s="152"/>
      <c r="AI1" s="152"/>
      <c r="AJ1" s="153"/>
      <c r="AK1" s="154" t="s">
        <v>266</v>
      </c>
      <c r="AL1" s="155"/>
      <c r="AM1" s="155"/>
      <c r="AN1" s="156"/>
      <c r="AO1" s="157" t="s">
        <v>267</v>
      </c>
      <c r="AP1" s="158"/>
      <c r="AQ1" s="159"/>
      <c r="AR1" s="160" t="s">
        <v>268</v>
      </c>
      <c r="AS1" s="161"/>
      <c r="AT1" s="161"/>
      <c r="AU1" s="161"/>
      <c r="AV1" s="162"/>
      <c r="AW1" s="163" t="s">
        <v>269</v>
      </c>
      <c r="AX1" s="164"/>
      <c r="AY1" s="164"/>
      <c r="AZ1" s="165"/>
      <c r="BB1" s="82" t="str">
        <f ca="1">CONCATENATE("in: ",YEAR(TODAY())-1," für: ", YEAR(TODAY()))</f>
        <v>in: 2025 für: 2026</v>
      </c>
      <c r="BC1" s="86" t="s">
        <v>270</v>
      </c>
      <c r="BD1" s="86"/>
      <c r="BE1" s="87"/>
      <c r="BF1" s="103" t="s">
        <v>271</v>
      </c>
      <c r="BG1" s="88"/>
      <c r="BH1" s="88"/>
      <c r="BI1" s="88"/>
      <c r="BJ1" s="89"/>
      <c r="BK1" s="118" t="s">
        <v>272</v>
      </c>
      <c r="BL1" s="119"/>
      <c r="BM1" s="119"/>
      <c r="BN1" s="120"/>
      <c r="BO1" s="91" t="s">
        <v>259</v>
      </c>
      <c r="BP1" s="91"/>
      <c r="BQ1" s="92"/>
      <c r="BR1" s="105" t="s">
        <v>260</v>
      </c>
      <c r="BS1" s="93"/>
      <c r="BT1" s="93"/>
      <c r="BU1" s="93"/>
      <c r="BV1" s="94"/>
      <c r="BW1" s="123" t="s">
        <v>273</v>
      </c>
      <c r="BX1" s="124"/>
      <c r="BY1" s="124"/>
      <c r="BZ1" s="129"/>
    </row>
    <row r="2" spans="1:78" s="148" customFormat="1" ht="21.4" thickBot="1" x14ac:dyDescent="0.55000000000000004">
      <c r="A2" s="177"/>
      <c r="B2" s="83" t="s">
        <v>261</v>
      </c>
      <c r="C2" s="78" t="str">
        <f ca="1">CONCATENATE("≤",YEAR(TODAY())-15-1)</f>
        <v>≤2010</v>
      </c>
      <c r="D2" s="78">
        <f ca="1">YEAR(TODAY())-16-1</f>
        <v>2009</v>
      </c>
      <c r="E2" s="85">
        <f ca="1">YEAR(TODAY())-17-1</f>
        <v>2008</v>
      </c>
      <c r="F2" s="79">
        <f ca="1">YEAR(TODAY())-16-1</f>
        <v>2009</v>
      </c>
      <c r="G2" s="79">
        <f ca="1">YEAR(TODAY())-17-1</f>
        <v>2008</v>
      </c>
      <c r="H2" s="79">
        <f ca="1">YEAR(TODAY())-18-1</f>
        <v>2007</v>
      </c>
      <c r="I2" s="104" t="str">
        <f ca="1">CONCATENATE(YEAR(TODAY())-1-19,"-",YEAR(TODAY())-1-21)</f>
        <v>2006-2004</v>
      </c>
      <c r="J2" s="104" t="str">
        <f ca="1">CONCATENATE(YEAR(TODAY())-1-22,"-",YEAR(TODAY())-1-23)</f>
        <v>2003-2002</v>
      </c>
      <c r="K2" s="121" t="str">
        <f ca="1">CONCATENATE(YEAR(TODAY())-1-15,"-",YEAR(TODAY())-1-19)</f>
        <v>2010-2006</v>
      </c>
      <c r="L2" s="122">
        <f ca="1">YEAR(TODAY())-20-1</f>
        <v>2005</v>
      </c>
      <c r="M2" s="122" t="str">
        <f ca="1">CONCATENATE(YEAR(TODAY())-1-21,"-",YEAR(TODAY())-1-23)</f>
        <v>2004-2002</v>
      </c>
      <c r="N2" s="122" t="str">
        <f ca="1">CONCATENATE(YEAR(TODAY())-1-24,"-",YEAR(TODAY())-40-1)</f>
        <v>2001-1985</v>
      </c>
      <c r="O2" s="130" t="str">
        <f ca="1">CONCATENATE("≤",YEAR(TODAY())-15-1)</f>
        <v>≤2010</v>
      </c>
      <c r="P2" s="80">
        <f ca="1">YEAR(TODAY())-16-1</f>
        <v>2009</v>
      </c>
      <c r="Q2" s="90">
        <f ca="1">YEAR(TODAY())-17-1</f>
        <v>2008</v>
      </c>
      <c r="R2" s="81">
        <f ca="1">YEAR(TODAY())-16-1</f>
        <v>2009</v>
      </c>
      <c r="S2" s="81">
        <f ca="1">YEAR(TODAY())-17-1</f>
        <v>2008</v>
      </c>
      <c r="T2" s="81">
        <f ca="1">YEAR(TODAY())-18-1</f>
        <v>2007</v>
      </c>
      <c r="U2" s="112" t="str">
        <f ca="1">CONCATENATE(YEAR(TODAY())-1-19,"-",YEAR(TODAY())-1-21)</f>
        <v>2006-2004</v>
      </c>
      <c r="V2" s="113" t="str">
        <f ca="1">CONCATENATE(YEAR(TODAY())-1-22,"-",YEAR(TODAY())-1-23)</f>
        <v>2003-2002</v>
      </c>
      <c r="W2" s="127" t="str">
        <f ca="1">CONCATENATE(YEAR(TODAY())-1-15,"-",YEAR(TODAY())-1-19)</f>
        <v>2010-2006</v>
      </c>
      <c r="X2" s="125">
        <f ca="1">YEAR(TODAY())-20-1</f>
        <v>2005</v>
      </c>
      <c r="Y2" s="127" t="str">
        <f ca="1">CONCATENATE(YEAR(TODAY())-1-21,"-",YEAR(TODAY())-1-23)</f>
        <v>2004-2002</v>
      </c>
      <c r="Z2" s="128" t="str">
        <f ca="1">CONCATENATE(YEAR(TODAY())-1-24,"-",YEAR(TODAY())-40-1)</f>
        <v>2001-1985</v>
      </c>
      <c r="AA2"/>
      <c r="AB2" s="83" t="s">
        <v>261</v>
      </c>
      <c r="AC2" s="134" t="str">
        <f ca="1">CONCATENATE("≤",YEAR(TODAY())-15)</f>
        <v>≤2011</v>
      </c>
      <c r="AD2" s="134">
        <f ca="1">YEAR(TODAY())-16</f>
        <v>2010</v>
      </c>
      <c r="AE2" s="135">
        <f ca="1">YEAR(TODAY())-17</f>
        <v>2009</v>
      </c>
      <c r="AF2" s="136">
        <f ca="1">YEAR(TODAY())-16</f>
        <v>2010</v>
      </c>
      <c r="AG2" s="136">
        <f ca="1">YEAR(TODAY())-17</f>
        <v>2009</v>
      </c>
      <c r="AH2" s="136">
        <f ca="1">YEAR(TODAY())-18</f>
        <v>2008</v>
      </c>
      <c r="AI2" s="136" t="str">
        <f ca="1">CONCATENATE(YEAR(TODAY())-19,"-",YEAR(TODAY())-21)</f>
        <v>2007-2005</v>
      </c>
      <c r="AJ2" s="136" t="str">
        <f ca="1">CONCATENATE(YEAR(TODAY())-22,"-",YEAR(TODAY())-50)</f>
        <v>2004-1976</v>
      </c>
      <c r="AK2" s="137" t="str">
        <f ca="1">CONCATENATE(YEAR(TODAY())-15,"-",YEAR(TODAY())-19)</f>
        <v>2011-2007</v>
      </c>
      <c r="AL2" s="138">
        <f ca="1">YEAR(TODAY())-20</f>
        <v>2006</v>
      </c>
      <c r="AM2" s="138" t="str">
        <f ca="1">CONCATENATE(YEAR(TODAY())-21,"-",YEAR(TODAY())-23)</f>
        <v>2005-2003</v>
      </c>
      <c r="AN2" s="139" t="str">
        <f ca="1">CONCATENATE(YEAR(TODAY())-24,"-",YEAR(TODAY())-40)</f>
        <v>2002-1986</v>
      </c>
      <c r="AO2" s="140" t="str">
        <f ca="1">CONCATENATE("≤",YEAR(TODAY())-15)</f>
        <v>≤2011</v>
      </c>
      <c r="AP2" s="140">
        <f ca="1">YEAR(TODAY())-16</f>
        <v>2010</v>
      </c>
      <c r="AQ2" s="141">
        <f ca="1">YEAR(TODAY())-17</f>
        <v>2009</v>
      </c>
      <c r="AR2" s="131">
        <f ca="1">YEAR(TODAY())-16</f>
        <v>2010</v>
      </c>
      <c r="AS2" s="131">
        <f ca="1">YEAR(TODAY())-17</f>
        <v>2009</v>
      </c>
      <c r="AT2" s="131">
        <f ca="1">YEAR(TODAY())-18</f>
        <v>2008</v>
      </c>
      <c r="AU2" s="131" t="str">
        <f ca="1">CONCATENATE(YEAR(TODAY())-19,"-",YEAR(TODAY())-21)</f>
        <v>2007-2005</v>
      </c>
      <c r="AV2" s="132" t="str">
        <f ca="1">CONCATENATE(YEAR(TODAY())-22,"-",YEAR(TODAY())-50)</f>
        <v>2004-1976</v>
      </c>
      <c r="AW2" s="142" t="str">
        <f ca="1">CONCATENATE(YEAR(TODAY())-15,"-",YEAR(TODAY())-19)</f>
        <v>2011-2007</v>
      </c>
      <c r="AX2" s="142">
        <f ca="1">YEAR(TODAY())-20</f>
        <v>2006</v>
      </c>
      <c r="AY2" s="142" t="str">
        <f ca="1">CONCATENATE(YEAR(TODAY())-21,"-",YEAR(TODAY())-23)</f>
        <v>2005-2003</v>
      </c>
      <c r="AZ2" s="133" t="str">
        <f ca="1">CONCATENATE(YEAR(TODAY())-24,"-",YEAR(TODAY())-40)</f>
        <v>2002-1986</v>
      </c>
      <c r="BB2" s="83" t="s">
        <v>261</v>
      </c>
      <c r="BC2" s="106" t="str">
        <f ca="1">CONCATENATE("≤",YEAR(TODAY())-15-1)</f>
        <v>≤2010</v>
      </c>
      <c r="BD2" s="106">
        <f ca="1">YEAR(TODAY())-16-1</f>
        <v>2009</v>
      </c>
      <c r="BE2" s="107">
        <f ca="1">YEAR(TODAY())-17-1</f>
        <v>2008</v>
      </c>
      <c r="BF2" s="108">
        <f ca="1">YEAR(TODAY())-16-1</f>
        <v>2009</v>
      </c>
      <c r="BG2" s="108">
        <f ca="1">YEAR(TODAY())-17-1</f>
        <v>2008</v>
      </c>
      <c r="BH2" s="108">
        <f ca="1">YEAR(TODAY())-18-1</f>
        <v>2007</v>
      </c>
      <c r="BI2" s="143" t="str">
        <f ca="1">CONCATENATE(YEAR(TODAY())-1-19,"-",YEAR(TODAY())-1-21)</f>
        <v>2006-2004</v>
      </c>
      <c r="BJ2" s="143" t="str">
        <f ca="1">CONCATENATE(YEAR(TODAY())-1-22,"-",YEAR(TODAY())-1-50)</f>
        <v>2003-1975</v>
      </c>
      <c r="BK2" s="144" t="str">
        <f ca="1">CONCATENATE(YEAR(TODAY())-1-15,"-",YEAR(TODAY())-1-19)</f>
        <v>2010-2006</v>
      </c>
      <c r="BL2" s="145">
        <f ca="1">YEAR(TODAY())-20-1</f>
        <v>2005</v>
      </c>
      <c r="BM2" s="145" t="str">
        <f ca="1">CONCATENATE(YEAR(TODAY())-1-21,"-",YEAR(TODAY())-1-23)</f>
        <v>2004-2002</v>
      </c>
      <c r="BN2" s="145" t="str">
        <f ca="1">CONCATENATE(YEAR(TODAY())-1-24,"-",YEAR(TODAY())-40-1)</f>
        <v>2001-1985</v>
      </c>
      <c r="BO2" s="176" t="str">
        <f ca="1">CONCATENATE("≤",YEAR(TODAY())-15-1)</f>
        <v>≤2010</v>
      </c>
      <c r="BP2" s="109">
        <f ca="1">YEAR(TODAY())-16-1</f>
        <v>2009</v>
      </c>
      <c r="BQ2" s="110">
        <f ca="1">YEAR(TODAY())-17-1</f>
        <v>2008</v>
      </c>
      <c r="BR2" s="111">
        <f ca="1">YEAR(TODAY())-16-1</f>
        <v>2009</v>
      </c>
      <c r="BS2" s="111">
        <f ca="1">YEAR(TODAY())-17-1</f>
        <v>2008</v>
      </c>
      <c r="BT2" s="111">
        <f ca="1">YEAR(TODAY())-18-1</f>
        <v>2007</v>
      </c>
      <c r="BU2" s="112" t="str">
        <f ca="1">CONCATENATE(YEAR(TODAY())-1-19,"-",YEAR(TODAY())-1-21)</f>
        <v>2006-2004</v>
      </c>
      <c r="BV2" s="113" t="str">
        <f ca="1">CONCATENATE(YEAR(TODAY())-1-22,"-",YEAR(TODAY())-1-50)</f>
        <v>2003-1975</v>
      </c>
      <c r="BW2" s="126" t="str">
        <f ca="1">CONCATENATE(YEAR(TODAY())-1-15,"-",YEAR(TODAY())-1-19)</f>
        <v>2010-2006</v>
      </c>
      <c r="BX2" s="147">
        <f ca="1">YEAR(TODAY())-20-1</f>
        <v>2005</v>
      </c>
      <c r="BY2" s="126" t="str">
        <f ca="1">CONCATENATE(YEAR(TODAY())-1-21,"-",YEAR(TODAY())-1-23)</f>
        <v>2004-2002</v>
      </c>
      <c r="BZ2" s="128" t="str">
        <f ca="1">CONCATENATE(YEAR(TODAY())-1-24,"-",YEAR(TODAY())-40-1)</f>
        <v>2001-1985</v>
      </c>
    </row>
    <row r="3" spans="1:78" ht="14.65" thickTop="1" x14ac:dyDescent="0.45">
      <c r="A3" s="177"/>
      <c r="B3" s="84" t="s">
        <v>0</v>
      </c>
      <c r="C3" s="96">
        <v>3.7384259259259255E-4</v>
      </c>
      <c r="D3" s="97">
        <v>3.7025462962962961E-4</v>
      </c>
      <c r="E3" s="98">
        <v>3.6620370370370371E-4</v>
      </c>
      <c r="F3" s="97">
        <v>3.6863425925925925E-4</v>
      </c>
      <c r="G3" s="97">
        <v>3.6469907407407409E-4</v>
      </c>
      <c r="H3" s="97">
        <v>3.6111111111111109E-4</v>
      </c>
      <c r="I3" s="97">
        <v>3.5787037037037037E-4</v>
      </c>
      <c r="J3" s="98">
        <v>3.4803240740740742E-4</v>
      </c>
      <c r="K3" s="102">
        <v>3.5381944444444447E-4</v>
      </c>
      <c r="L3" s="102">
        <v>3.5092592592592592E-4</v>
      </c>
      <c r="M3" s="102">
        <v>3.4745370370370372E-4</v>
      </c>
      <c r="N3" s="98">
        <v>3.4629629629629632E-4</v>
      </c>
      <c r="O3" s="97">
        <v>4.708333333333333E-4</v>
      </c>
      <c r="P3" s="97">
        <v>4.621527777777778E-4</v>
      </c>
      <c r="Q3" s="98">
        <v>4.5300925925925928E-4</v>
      </c>
      <c r="R3" s="114">
        <v>4.586805555555556E-4</v>
      </c>
      <c r="S3" s="115">
        <v>4.4942129629629629E-4</v>
      </c>
      <c r="T3" s="97">
        <v>4.4097222222222226E-4</v>
      </c>
      <c r="U3" s="97">
        <v>4.3379629629629627E-4</v>
      </c>
      <c r="V3" s="117">
        <v>4.1157407407407408E-4</v>
      </c>
      <c r="W3" s="97">
        <v>4.2465277777777776E-4</v>
      </c>
      <c r="X3" s="97">
        <v>4.1805555555555552E-4</v>
      </c>
      <c r="Y3" s="97">
        <v>4.1030092592592594E-4</v>
      </c>
      <c r="Z3" s="98">
        <v>4.0763888888888886E-4</v>
      </c>
      <c r="AA3" s="69"/>
      <c r="AB3" s="84" t="s">
        <v>0</v>
      </c>
      <c r="AC3" s="175">
        <v>0.2</v>
      </c>
      <c r="AD3" s="166">
        <v>0.2</v>
      </c>
      <c r="AE3" s="167">
        <v>0.2</v>
      </c>
      <c r="AF3" s="166">
        <v>0</v>
      </c>
      <c r="AG3" s="166">
        <v>0</v>
      </c>
      <c r="AH3" s="166">
        <v>0.16</v>
      </c>
      <c r="AI3" s="166">
        <v>0.16</v>
      </c>
      <c r="AJ3" s="167">
        <v>0.16</v>
      </c>
      <c r="AK3" s="168">
        <v>0</v>
      </c>
      <c r="AL3" s="168">
        <v>0</v>
      </c>
      <c r="AM3" s="168">
        <v>0</v>
      </c>
      <c r="AN3" s="167">
        <v>0</v>
      </c>
      <c r="AO3" s="166">
        <v>0.18</v>
      </c>
      <c r="AP3" s="166">
        <v>0.18</v>
      </c>
      <c r="AQ3" s="167">
        <v>0.18</v>
      </c>
      <c r="AR3" s="166">
        <v>0</v>
      </c>
      <c r="AS3" s="169">
        <v>0</v>
      </c>
      <c r="AT3" s="166">
        <v>0.17</v>
      </c>
      <c r="AU3" s="166">
        <v>0.17</v>
      </c>
      <c r="AV3" s="170">
        <v>0.17</v>
      </c>
      <c r="AW3" s="166">
        <v>0</v>
      </c>
      <c r="AX3" s="166">
        <v>0</v>
      </c>
      <c r="AY3" s="166">
        <v>0</v>
      </c>
      <c r="AZ3" s="167">
        <v>0</v>
      </c>
      <c r="BB3" s="84" t="s">
        <v>0</v>
      </c>
      <c r="BC3" s="96">
        <f>IF(AC3=0,"",C3+C3*AC3)</f>
        <v>4.4861111111111105E-4</v>
      </c>
      <c r="BD3" s="97">
        <f t="shared" ref="BD3:BD8" si="0">IF(AD3=0,"",D3+D3*AD3)</f>
        <v>4.4430555555555553E-4</v>
      </c>
      <c r="BE3" s="98">
        <f t="shared" ref="BE3:BE8" si="1">IF(AE3=0,"",E3+E3*AE3)</f>
        <v>4.3944444444444445E-4</v>
      </c>
      <c r="BF3" s="97" t="str">
        <f t="shared" ref="BF3:BF8" si="2">IF(AF3=0,"",F3+F3*AF3)</f>
        <v/>
      </c>
      <c r="BG3" s="97" t="str">
        <f t="shared" ref="BG3:BG8" si="3">IF(AG3=0,"",G3+G3*AG3)</f>
        <v/>
      </c>
      <c r="BH3" s="97">
        <f t="shared" ref="BH3:BH8" si="4">IF(AH3=0,"",H3+H3*AH3)</f>
        <v>4.1888888888888889E-4</v>
      </c>
      <c r="BI3" s="97">
        <f t="shared" ref="BI3:BI8" si="5">IF(AI3=0,"",I3+I3*AI3)</f>
        <v>4.1512962962962966E-4</v>
      </c>
      <c r="BJ3" s="98">
        <f t="shared" ref="BJ3:BJ8" si="6">IF(AJ3=0,"",J3+J3*AJ3)</f>
        <v>4.0371759259259262E-4</v>
      </c>
      <c r="BK3" s="102" t="str">
        <f t="shared" ref="BK3:BK8" si="7">IF(AK3=0,"",K3+K3*AK3)</f>
        <v/>
      </c>
      <c r="BL3" s="102" t="str">
        <f t="shared" ref="BL3:BL8" si="8">IF(AL3=0,"",L3+L3*AL3)</f>
        <v/>
      </c>
      <c r="BM3" s="102" t="str">
        <f t="shared" ref="BM3:BM8" si="9">IF(AM3=0,"",M3+M3*AM3)</f>
        <v/>
      </c>
      <c r="BN3" s="98" t="str">
        <f t="shared" ref="BN3:BN8" si="10">IF(AN3=0,"",N3+N3*AN3)</f>
        <v/>
      </c>
      <c r="BO3" s="97">
        <f t="shared" ref="BO3:BO8" si="11">IF(AO3=0,"",O3+O3*AO3)</f>
        <v>5.5558333333333328E-4</v>
      </c>
      <c r="BP3" s="97">
        <f t="shared" ref="BP3:BP8" si="12">IF(AP3=0,"",P3+P3*AP3)</f>
        <v>5.4534027777777784E-4</v>
      </c>
      <c r="BQ3" s="98">
        <f t="shared" ref="BQ3:BQ8" si="13">IF(AQ3=0,"",Q3+Q3*AQ3)</f>
        <v>5.3455092592592595E-4</v>
      </c>
      <c r="BR3" s="114" t="str">
        <f t="shared" ref="BR3:BR8" si="14">IF(AR3=0,"",R3+R3*AR3)</f>
        <v/>
      </c>
      <c r="BS3" s="115" t="str">
        <f t="shared" ref="BS3:BS8" si="15">IF(AS3=0,"",S3+S3*AS3)</f>
        <v/>
      </c>
      <c r="BT3" s="97">
        <f t="shared" ref="BT3:BT8" si="16">IF(AT3=0,"",T3+T3*AT3)</f>
        <v>5.1593750000000001E-4</v>
      </c>
      <c r="BU3" s="97">
        <f t="shared" ref="BU3:BU8" si="17">IF(AU3=0,"",U3+U3*AU3)</f>
        <v>5.0754166666666667E-4</v>
      </c>
      <c r="BV3" s="117">
        <f t="shared" ref="BV3:BV8" si="18">IF(AV3=0,"",V3+V3*AV3)</f>
        <v>4.8154166666666668E-4</v>
      </c>
      <c r="BW3" s="97" t="str">
        <f t="shared" ref="BW3:BW8" si="19">IF(AW3=0,"",W3+W3*AW3)</f>
        <v/>
      </c>
      <c r="BX3" s="97" t="str">
        <f t="shared" ref="BX3:BX8" si="20">IF(AX3=0,"",X3+X3*AX3)</f>
        <v/>
      </c>
      <c r="BY3" s="97" t="str">
        <f t="shared" ref="BY3:BY8" si="21">IF(AY3=0,"",Y3+Y3*AY3)</f>
        <v/>
      </c>
      <c r="BZ3" s="98" t="str">
        <f t="shared" ref="BZ3:BZ8" si="22">IF(AZ3=0,"",Z3+Z3*AZ3)</f>
        <v/>
      </c>
    </row>
    <row r="4" spans="1:78" x14ac:dyDescent="0.45">
      <c r="A4" s="177"/>
      <c r="B4" s="84" t="s">
        <v>219</v>
      </c>
      <c r="C4" s="97">
        <v>8.0902777777777787E-4</v>
      </c>
      <c r="D4" s="97">
        <v>7.9837962962962968E-4</v>
      </c>
      <c r="E4" s="98">
        <v>7.869212962962962E-4</v>
      </c>
      <c r="F4" s="97">
        <v>7.9398148148148145E-4</v>
      </c>
      <c r="G4" s="97">
        <v>7.8252314814814818E-4</v>
      </c>
      <c r="H4" s="97">
        <v>7.7187499999999999E-4</v>
      </c>
      <c r="I4" s="97">
        <v>7.6273148148148153E-4</v>
      </c>
      <c r="J4" s="98">
        <v>7.3425925925925926E-4</v>
      </c>
      <c r="K4" s="102">
        <v>7.5104166666666668E-4</v>
      </c>
      <c r="L4" s="102">
        <v>7.4259259259259254E-4</v>
      </c>
      <c r="M4" s="102">
        <v>7.326388888888889E-4</v>
      </c>
      <c r="N4" s="98">
        <v>7.2928240740740733E-4</v>
      </c>
      <c r="O4" s="97">
        <v>9.5381944444444442E-4</v>
      </c>
      <c r="P4" s="97">
        <v>9.3854166666666673E-4</v>
      </c>
      <c r="Q4" s="98">
        <v>9.2199074074074069E-4</v>
      </c>
      <c r="R4" s="116">
        <v>9.3217592592592582E-4</v>
      </c>
      <c r="S4" s="102">
        <v>9.1562499999999999E-4</v>
      </c>
      <c r="T4" s="97">
        <v>9.0034722222222209E-4</v>
      </c>
      <c r="U4" s="97">
        <v>8.8726851851851846E-4</v>
      </c>
      <c r="V4" s="98">
        <v>8.4699074074074082E-4</v>
      </c>
      <c r="W4" s="97">
        <v>8.7071759259259264E-4</v>
      </c>
      <c r="X4" s="97">
        <v>8.587962962962963E-4</v>
      </c>
      <c r="Y4" s="97">
        <v>8.4456018518518517E-4</v>
      </c>
      <c r="Z4" s="98">
        <v>8.3981481481481483E-4</v>
      </c>
      <c r="AB4" s="84" t="s">
        <v>219</v>
      </c>
      <c r="AC4" s="166">
        <v>0.2</v>
      </c>
      <c r="AD4" s="166">
        <v>0.2</v>
      </c>
      <c r="AE4" s="167">
        <v>0.2</v>
      </c>
      <c r="AF4" s="166">
        <v>0</v>
      </c>
      <c r="AG4" s="166">
        <v>0</v>
      </c>
      <c r="AH4" s="166">
        <v>0.16</v>
      </c>
      <c r="AI4" s="166">
        <v>0.16</v>
      </c>
      <c r="AJ4" s="167">
        <v>0.16</v>
      </c>
      <c r="AK4" s="168">
        <v>0</v>
      </c>
      <c r="AL4" s="168">
        <v>0</v>
      </c>
      <c r="AM4" s="168">
        <v>0</v>
      </c>
      <c r="AN4" s="167">
        <v>0</v>
      </c>
      <c r="AO4" s="166">
        <v>0.18</v>
      </c>
      <c r="AP4" s="166">
        <v>0.18</v>
      </c>
      <c r="AQ4" s="167">
        <v>0.18</v>
      </c>
      <c r="AR4" s="171">
        <v>0</v>
      </c>
      <c r="AS4" s="168">
        <v>0</v>
      </c>
      <c r="AT4" s="166">
        <v>0.17</v>
      </c>
      <c r="AU4" s="166">
        <v>0.17</v>
      </c>
      <c r="AV4" s="167">
        <v>0.17</v>
      </c>
      <c r="AW4" s="166">
        <v>0</v>
      </c>
      <c r="AX4" s="166">
        <v>0</v>
      </c>
      <c r="AY4" s="166">
        <v>0</v>
      </c>
      <c r="AZ4" s="167">
        <v>0</v>
      </c>
      <c r="BB4" s="84" t="s">
        <v>219</v>
      </c>
      <c r="BC4" s="97">
        <f t="shared" ref="BC4:BC8" si="23">IF(AC4=0,"",C4+C4*AC4)</f>
        <v>9.7083333333333342E-4</v>
      </c>
      <c r="BD4" s="97">
        <f t="shared" si="0"/>
        <v>9.5805555555555564E-4</v>
      </c>
      <c r="BE4" s="98">
        <f t="shared" si="1"/>
        <v>9.4430555555555544E-4</v>
      </c>
      <c r="BF4" s="97" t="str">
        <f t="shared" si="2"/>
        <v/>
      </c>
      <c r="BG4" s="97" t="str">
        <f t="shared" si="3"/>
        <v/>
      </c>
      <c r="BH4" s="97">
        <f t="shared" si="4"/>
        <v>8.9537500000000001E-4</v>
      </c>
      <c r="BI4" s="97">
        <f t="shared" si="5"/>
        <v>8.8476851851851856E-4</v>
      </c>
      <c r="BJ4" s="98">
        <f t="shared" si="6"/>
        <v>8.517407407407408E-4</v>
      </c>
      <c r="BK4" s="102" t="str">
        <f t="shared" si="7"/>
        <v/>
      </c>
      <c r="BL4" s="102" t="str">
        <f t="shared" si="8"/>
        <v/>
      </c>
      <c r="BM4" s="102" t="str">
        <f t="shared" si="9"/>
        <v/>
      </c>
      <c r="BN4" s="98" t="str">
        <f t="shared" si="10"/>
        <v/>
      </c>
      <c r="BO4" s="97">
        <f t="shared" si="11"/>
        <v>1.1255069444444444E-3</v>
      </c>
      <c r="BP4" s="97">
        <f t="shared" si="12"/>
        <v>1.1074791666666668E-3</v>
      </c>
      <c r="BQ4" s="98">
        <f t="shared" si="13"/>
        <v>1.0879490740740741E-3</v>
      </c>
      <c r="BR4" s="116" t="str">
        <f t="shared" si="14"/>
        <v/>
      </c>
      <c r="BS4" s="102" t="str">
        <f t="shared" si="15"/>
        <v/>
      </c>
      <c r="BT4" s="97">
        <f t="shared" si="16"/>
        <v>1.0534062499999999E-3</v>
      </c>
      <c r="BU4" s="97">
        <f t="shared" si="17"/>
        <v>1.0381041666666666E-3</v>
      </c>
      <c r="BV4" s="98">
        <f t="shared" si="18"/>
        <v>9.909791666666667E-4</v>
      </c>
      <c r="BW4" s="97" t="str">
        <f t="shared" si="19"/>
        <v/>
      </c>
      <c r="BX4" s="97" t="str">
        <f t="shared" si="20"/>
        <v/>
      </c>
      <c r="BY4" s="97" t="str">
        <f t="shared" si="21"/>
        <v/>
      </c>
      <c r="BZ4" s="98" t="str">
        <f t="shared" si="22"/>
        <v/>
      </c>
    </row>
    <row r="5" spans="1:78" x14ac:dyDescent="0.45">
      <c r="A5" s="177"/>
      <c r="B5" s="84" t="s">
        <v>220</v>
      </c>
      <c r="C5" s="97">
        <v>5.9027777777777778E-4</v>
      </c>
      <c r="D5" s="97">
        <v>5.8495370370370374E-4</v>
      </c>
      <c r="E5" s="98">
        <v>5.7928240740740737E-4</v>
      </c>
      <c r="F5" s="97">
        <v>5.8275462962962968E-4</v>
      </c>
      <c r="G5" s="97">
        <v>5.7708333333333331E-4</v>
      </c>
      <c r="H5" s="97">
        <v>5.7175925925925927E-4</v>
      </c>
      <c r="I5" s="97">
        <v>5.6712962962962967E-4</v>
      </c>
      <c r="J5" s="98">
        <v>5.5266203703703705E-4</v>
      </c>
      <c r="K5" s="102">
        <v>5.6111111111111108E-4</v>
      </c>
      <c r="L5" s="102">
        <v>5.5694444444444444E-4</v>
      </c>
      <c r="M5" s="102">
        <v>5.5185185185185187E-4</v>
      </c>
      <c r="N5" s="98">
        <v>5.5011574074074077E-4</v>
      </c>
      <c r="O5" s="97">
        <v>6.9664351851851853E-4</v>
      </c>
      <c r="P5" s="97">
        <v>6.8946759259259265E-4</v>
      </c>
      <c r="Q5" s="98">
        <v>6.8171296296296296E-4</v>
      </c>
      <c r="R5" s="116">
        <v>6.8657407407407404E-4</v>
      </c>
      <c r="S5" s="102">
        <v>6.7881944444444446E-4</v>
      </c>
      <c r="T5" s="97">
        <v>6.7164351851851857E-4</v>
      </c>
      <c r="U5" s="97">
        <v>6.653935185185185E-4</v>
      </c>
      <c r="V5" s="98">
        <v>6.4606481481481481E-4</v>
      </c>
      <c r="W5" s="97">
        <v>6.5740740740740733E-4</v>
      </c>
      <c r="X5" s="97">
        <v>6.5173611111111118E-4</v>
      </c>
      <c r="Y5" s="97">
        <v>6.4490740740740741E-4</v>
      </c>
      <c r="Z5" s="98">
        <v>6.4259259259259261E-4</v>
      </c>
      <c r="AB5" s="84" t="s">
        <v>220</v>
      </c>
      <c r="AC5" s="166">
        <v>0.2</v>
      </c>
      <c r="AD5" s="166">
        <v>0.2</v>
      </c>
      <c r="AE5" s="167">
        <v>0.2</v>
      </c>
      <c r="AF5" s="166">
        <v>0</v>
      </c>
      <c r="AG5" s="166">
        <v>0</v>
      </c>
      <c r="AH5" s="166">
        <v>0.16</v>
      </c>
      <c r="AI5" s="166">
        <v>0.16</v>
      </c>
      <c r="AJ5" s="167">
        <v>0.16</v>
      </c>
      <c r="AK5" s="168">
        <v>0</v>
      </c>
      <c r="AL5" s="168">
        <v>0</v>
      </c>
      <c r="AM5" s="168">
        <v>0</v>
      </c>
      <c r="AN5" s="167">
        <v>0</v>
      </c>
      <c r="AO5" s="166">
        <v>0.18</v>
      </c>
      <c r="AP5" s="166">
        <v>0.18</v>
      </c>
      <c r="AQ5" s="167">
        <v>0.18</v>
      </c>
      <c r="AR5" s="171">
        <v>0</v>
      </c>
      <c r="AS5" s="168">
        <v>0</v>
      </c>
      <c r="AT5" s="166">
        <v>0.17</v>
      </c>
      <c r="AU5" s="166">
        <v>0.17</v>
      </c>
      <c r="AV5" s="167">
        <v>0.17</v>
      </c>
      <c r="AW5" s="166">
        <v>0</v>
      </c>
      <c r="AX5" s="166">
        <v>0</v>
      </c>
      <c r="AY5" s="166">
        <v>0</v>
      </c>
      <c r="AZ5" s="167">
        <v>0</v>
      </c>
      <c r="BB5" s="84" t="s">
        <v>220</v>
      </c>
      <c r="BC5" s="97">
        <f t="shared" si="23"/>
        <v>7.0833333333333338E-4</v>
      </c>
      <c r="BD5" s="97">
        <f t="shared" si="0"/>
        <v>7.0194444444444449E-4</v>
      </c>
      <c r="BE5" s="98">
        <f t="shared" si="1"/>
        <v>6.951388888888888E-4</v>
      </c>
      <c r="BF5" s="97" t="str">
        <f t="shared" si="2"/>
        <v/>
      </c>
      <c r="BG5" s="97" t="str">
        <f t="shared" si="3"/>
        <v/>
      </c>
      <c r="BH5" s="97">
        <f t="shared" si="4"/>
        <v>6.6324074074074072E-4</v>
      </c>
      <c r="BI5" s="97">
        <f t="shared" si="5"/>
        <v>6.578703703703704E-4</v>
      </c>
      <c r="BJ5" s="98">
        <f t="shared" si="6"/>
        <v>6.4108796296296299E-4</v>
      </c>
      <c r="BK5" s="102" t="str">
        <f t="shared" si="7"/>
        <v/>
      </c>
      <c r="BL5" s="102" t="str">
        <f t="shared" si="8"/>
        <v/>
      </c>
      <c r="BM5" s="102" t="str">
        <f t="shared" si="9"/>
        <v/>
      </c>
      <c r="BN5" s="98" t="str">
        <f t="shared" si="10"/>
        <v/>
      </c>
      <c r="BO5" s="97">
        <f t="shared" si="11"/>
        <v>8.220393518518519E-4</v>
      </c>
      <c r="BP5" s="97">
        <f t="shared" si="12"/>
        <v>8.1357175925925933E-4</v>
      </c>
      <c r="BQ5" s="98">
        <f t="shared" si="13"/>
        <v>8.0442129629629635E-4</v>
      </c>
      <c r="BR5" s="116" t="str">
        <f t="shared" si="14"/>
        <v/>
      </c>
      <c r="BS5" s="102" t="str">
        <f t="shared" si="15"/>
        <v/>
      </c>
      <c r="BT5" s="97">
        <f t="shared" si="16"/>
        <v>7.8582291666666677E-4</v>
      </c>
      <c r="BU5" s="97">
        <f t="shared" si="17"/>
        <v>7.7851041666666672E-4</v>
      </c>
      <c r="BV5" s="98">
        <f t="shared" si="18"/>
        <v>7.5589583333333335E-4</v>
      </c>
      <c r="BW5" s="97" t="str">
        <f t="shared" si="19"/>
        <v/>
      </c>
      <c r="BX5" s="97" t="str">
        <f t="shared" si="20"/>
        <v/>
      </c>
      <c r="BY5" s="97" t="str">
        <f t="shared" si="21"/>
        <v/>
      </c>
      <c r="BZ5" s="98" t="str">
        <f t="shared" si="22"/>
        <v/>
      </c>
    </row>
    <row r="6" spans="1:78" x14ac:dyDescent="0.45">
      <c r="A6" s="177"/>
      <c r="B6" s="84" t="s">
        <v>221</v>
      </c>
      <c r="C6" s="97">
        <v>6.8726851851851859E-4</v>
      </c>
      <c r="D6" s="97">
        <v>6.7418981481481486E-4</v>
      </c>
      <c r="E6" s="98">
        <v>6.5995370370370372E-4</v>
      </c>
      <c r="F6" s="97">
        <v>6.6874999999999997E-4</v>
      </c>
      <c r="G6" s="97">
        <v>6.5451388888888883E-4</v>
      </c>
      <c r="H6" s="97">
        <v>6.4131944444444436E-4</v>
      </c>
      <c r="I6" s="97">
        <v>6.3020833333333331E-4</v>
      </c>
      <c r="J6" s="98">
        <v>5.9594907407407405E-4</v>
      </c>
      <c r="K6" s="102">
        <v>6.1608796296296292E-4</v>
      </c>
      <c r="L6" s="102">
        <v>6.0601851851851854E-4</v>
      </c>
      <c r="M6" s="102">
        <v>5.9398148148148147E-4</v>
      </c>
      <c r="N6" s="98">
        <v>5.8993055555555556E-4</v>
      </c>
      <c r="O6" s="97">
        <v>7.7847222222222228E-4</v>
      </c>
      <c r="P6" s="97">
        <v>7.6828703703703694E-4</v>
      </c>
      <c r="Q6" s="98">
        <v>7.571759259259259E-4</v>
      </c>
      <c r="R6" s="116">
        <v>7.6400462962962967E-4</v>
      </c>
      <c r="S6" s="102">
        <v>7.5289351851851852E-4</v>
      </c>
      <c r="T6" s="97">
        <v>7.4259259259259254E-4</v>
      </c>
      <c r="U6" s="97">
        <v>7.3368055555555556E-4</v>
      </c>
      <c r="V6" s="98">
        <v>7.0625000000000006E-4</v>
      </c>
      <c r="W6" s="97">
        <v>7.2233796296296293E-4</v>
      </c>
      <c r="X6" s="97">
        <v>7.1435185185185187E-4</v>
      </c>
      <c r="Y6" s="97">
        <v>7.046296296296297E-4</v>
      </c>
      <c r="Z6" s="98">
        <v>7.0138888888888887E-4</v>
      </c>
      <c r="AB6" s="84" t="s">
        <v>221</v>
      </c>
      <c r="AC6" s="166">
        <v>0.2</v>
      </c>
      <c r="AD6" s="166">
        <v>0.2</v>
      </c>
      <c r="AE6" s="167">
        <v>0.2</v>
      </c>
      <c r="AF6" s="166">
        <v>0</v>
      </c>
      <c r="AG6" s="166">
        <v>0</v>
      </c>
      <c r="AH6" s="166">
        <v>0.16</v>
      </c>
      <c r="AI6" s="166">
        <v>0.16</v>
      </c>
      <c r="AJ6" s="167">
        <v>0.16</v>
      </c>
      <c r="AK6" s="168">
        <v>0</v>
      </c>
      <c r="AL6" s="168">
        <v>0</v>
      </c>
      <c r="AM6" s="168">
        <v>0</v>
      </c>
      <c r="AN6" s="167">
        <v>0</v>
      </c>
      <c r="AO6" s="166">
        <v>0.18</v>
      </c>
      <c r="AP6" s="166">
        <v>0.18</v>
      </c>
      <c r="AQ6" s="167">
        <v>0.18</v>
      </c>
      <c r="AR6" s="171">
        <v>0</v>
      </c>
      <c r="AS6" s="168">
        <v>0</v>
      </c>
      <c r="AT6" s="166">
        <v>0.17</v>
      </c>
      <c r="AU6" s="166">
        <v>0.17</v>
      </c>
      <c r="AV6" s="167">
        <v>0.17</v>
      </c>
      <c r="AW6" s="166">
        <v>0</v>
      </c>
      <c r="AX6" s="166">
        <v>0</v>
      </c>
      <c r="AY6" s="166">
        <v>0</v>
      </c>
      <c r="AZ6" s="167">
        <v>0</v>
      </c>
      <c r="BB6" s="84" t="s">
        <v>221</v>
      </c>
      <c r="BC6" s="97">
        <f t="shared" si="23"/>
        <v>8.2472222222222235E-4</v>
      </c>
      <c r="BD6" s="97">
        <f t="shared" si="0"/>
        <v>8.0902777777777787E-4</v>
      </c>
      <c r="BE6" s="98">
        <f t="shared" si="1"/>
        <v>7.9194444444444451E-4</v>
      </c>
      <c r="BF6" s="97" t="str">
        <f t="shared" si="2"/>
        <v/>
      </c>
      <c r="BG6" s="97" t="str">
        <f t="shared" si="3"/>
        <v/>
      </c>
      <c r="BH6" s="97">
        <f t="shared" si="4"/>
        <v>7.439305555555554E-4</v>
      </c>
      <c r="BI6" s="97">
        <f t="shared" si="5"/>
        <v>7.3104166666666662E-4</v>
      </c>
      <c r="BJ6" s="98">
        <f t="shared" si="6"/>
        <v>6.9130092592592594E-4</v>
      </c>
      <c r="BK6" s="102" t="str">
        <f t="shared" si="7"/>
        <v/>
      </c>
      <c r="BL6" s="102" t="str">
        <f t="shared" si="8"/>
        <v/>
      </c>
      <c r="BM6" s="102" t="str">
        <f t="shared" si="9"/>
        <v/>
      </c>
      <c r="BN6" s="98" t="str">
        <f t="shared" si="10"/>
        <v/>
      </c>
      <c r="BO6" s="97">
        <f t="shared" si="11"/>
        <v>9.1859722222222234E-4</v>
      </c>
      <c r="BP6" s="97">
        <f t="shared" si="12"/>
        <v>9.065787037037036E-4</v>
      </c>
      <c r="BQ6" s="98">
        <f t="shared" si="13"/>
        <v>8.9346759259259262E-4</v>
      </c>
      <c r="BR6" s="116" t="str">
        <f t="shared" si="14"/>
        <v/>
      </c>
      <c r="BS6" s="102" t="str">
        <f t="shared" si="15"/>
        <v/>
      </c>
      <c r="BT6" s="97">
        <f t="shared" si="16"/>
        <v>8.6883333333333322E-4</v>
      </c>
      <c r="BU6" s="97">
        <f t="shared" si="17"/>
        <v>8.5840625000000001E-4</v>
      </c>
      <c r="BV6" s="98">
        <f t="shared" si="18"/>
        <v>8.2631250000000012E-4</v>
      </c>
      <c r="BW6" s="97" t="str">
        <f t="shared" si="19"/>
        <v/>
      </c>
      <c r="BX6" s="97" t="str">
        <f t="shared" si="20"/>
        <v/>
      </c>
      <c r="BY6" s="97" t="str">
        <f t="shared" si="21"/>
        <v/>
      </c>
      <c r="BZ6" s="98" t="str">
        <f t="shared" si="22"/>
        <v/>
      </c>
    </row>
    <row r="7" spans="1:78" x14ac:dyDescent="0.45">
      <c r="A7" s="177"/>
      <c r="B7" s="84" t="s">
        <v>222</v>
      </c>
      <c r="C7" s="97">
        <v>1.5266203703703705E-3</v>
      </c>
      <c r="D7" s="97">
        <v>1.5104166666666666E-3</v>
      </c>
      <c r="E7" s="98">
        <v>1.4928240740740739E-3</v>
      </c>
      <c r="F7" s="97">
        <v>1.5037037037037035E-3</v>
      </c>
      <c r="G7" s="97">
        <v>1.4859953703703702E-3</v>
      </c>
      <c r="H7" s="97">
        <v>1.4697916666666666E-3</v>
      </c>
      <c r="I7" s="97">
        <v>1.4555555555555556E-3</v>
      </c>
      <c r="J7" s="98">
        <v>1.411574074074074E-3</v>
      </c>
      <c r="K7" s="102">
        <v>1.4375E-3</v>
      </c>
      <c r="L7" s="102">
        <v>1.4245370370370371E-3</v>
      </c>
      <c r="M7" s="102">
        <v>1.4090277777777777E-3</v>
      </c>
      <c r="N7" s="98">
        <v>1.4038194444444445E-3</v>
      </c>
      <c r="O7" s="97">
        <v>1.6328703703703702E-3</v>
      </c>
      <c r="P7" s="97">
        <v>1.6271990740740741E-3</v>
      </c>
      <c r="Q7" s="98">
        <v>1.6210648148148148E-3</v>
      </c>
      <c r="R7" s="116">
        <v>1.6247685185185184E-3</v>
      </c>
      <c r="S7" s="102">
        <v>1.6186342592592591E-3</v>
      </c>
      <c r="T7" s="97">
        <v>1.6129629629629632E-3</v>
      </c>
      <c r="U7" s="97">
        <v>1.6078703703703706E-3</v>
      </c>
      <c r="V7" s="98">
        <v>1.5918981481481481E-3</v>
      </c>
      <c r="W7" s="97">
        <v>1.6012731481481481E-3</v>
      </c>
      <c r="X7" s="97">
        <v>1.5966435185185183E-3</v>
      </c>
      <c r="Y7" s="97">
        <v>1.5909722222222224E-3</v>
      </c>
      <c r="Z7" s="98">
        <v>1.5891203703703705E-3</v>
      </c>
      <c r="AB7" s="84" t="s">
        <v>222</v>
      </c>
      <c r="AC7" s="166">
        <v>0.2</v>
      </c>
      <c r="AD7" s="166">
        <v>0.2</v>
      </c>
      <c r="AE7" s="167">
        <v>0.2</v>
      </c>
      <c r="AF7" s="166">
        <v>0</v>
      </c>
      <c r="AG7" s="166">
        <v>0</v>
      </c>
      <c r="AH7" s="166">
        <v>0.16</v>
      </c>
      <c r="AI7" s="166">
        <v>0.16</v>
      </c>
      <c r="AJ7" s="167">
        <v>0.16</v>
      </c>
      <c r="AK7" s="168">
        <v>0</v>
      </c>
      <c r="AL7" s="168">
        <v>0</v>
      </c>
      <c r="AM7" s="168">
        <v>0</v>
      </c>
      <c r="AN7" s="167">
        <v>0</v>
      </c>
      <c r="AO7" s="166">
        <v>0.18</v>
      </c>
      <c r="AP7" s="166">
        <v>0.18</v>
      </c>
      <c r="AQ7" s="167">
        <v>0.18</v>
      </c>
      <c r="AR7" s="171">
        <v>0</v>
      </c>
      <c r="AS7" s="168">
        <v>0</v>
      </c>
      <c r="AT7" s="166">
        <v>0.17</v>
      </c>
      <c r="AU7" s="166">
        <v>0.17</v>
      </c>
      <c r="AV7" s="167">
        <v>0.17</v>
      </c>
      <c r="AW7" s="166">
        <v>0</v>
      </c>
      <c r="AX7" s="166">
        <v>0</v>
      </c>
      <c r="AY7" s="166">
        <v>0</v>
      </c>
      <c r="AZ7" s="167">
        <v>0</v>
      </c>
      <c r="BB7" s="84" t="s">
        <v>222</v>
      </c>
      <c r="BC7" s="97">
        <f t="shared" si="23"/>
        <v>1.8319444444444446E-3</v>
      </c>
      <c r="BD7" s="97">
        <f t="shared" si="0"/>
        <v>1.8124999999999999E-3</v>
      </c>
      <c r="BE7" s="98">
        <f t="shared" si="1"/>
        <v>1.7913888888888888E-3</v>
      </c>
      <c r="BF7" s="97" t="str">
        <f t="shared" si="2"/>
        <v/>
      </c>
      <c r="BG7" s="97" t="str">
        <f t="shared" si="3"/>
        <v/>
      </c>
      <c r="BH7" s="97">
        <f t="shared" si="4"/>
        <v>1.7049583333333333E-3</v>
      </c>
      <c r="BI7" s="97">
        <f t="shared" si="5"/>
        <v>1.6884444444444445E-3</v>
      </c>
      <c r="BJ7" s="98">
        <f t="shared" si="6"/>
        <v>1.6374259259259259E-3</v>
      </c>
      <c r="BK7" s="102" t="str">
        <f t="shared" si="7"/>
        <v/>
      </c>
      <c r="BL7" s="102" t="str">
        <f t="shared" si="8"/>
        <v/>
      </c>
      <c r="BM7" s="102" t="str">
        <f t="shared" si="9"/>
        <v/>
      </c>
      <c r="BN7" s="98" t="str">
        <f t="shared" si="10"/>
        <v/>
      </c>
      <c r="BO7" s="97">
        <f t="shared" si="11"/>
        <v>1.9267870370370367E-3</v>
      </c>
      <c r="BP7" s="97">
        <f t="shared" si="12"/>
        <v>1.9200949074074075E-3</v>
      </c>
      <c r="BQ7" s="98">
        <f t="shared" si="13"/>
        <v>1.9128564814814815E-3</v>
      </c>
      <c r="BR7" s="116" t="str">
        <f t="shared" si="14"/>
        <v/>
      </c>
      <c r="BS7" s="102" t="str">
        <f t="shared" si="15"/>
        <v/>
      </c>
      <c r="BT7" s="97">
        <f t="shared" si="16"/>
        <v>1.887166666666667E-3</v>
      </c>
      <c r="BU7" s="97">
        <f t="shared" si="17"/>
        <v>1.8812083333333337E-3</v>
      </c>
      <c r="BV7" s="98">
        <f t="shared" si="18"/>
        <v>1.8625208333333332E-3</v>
      </c>
      <c r="BW7" s="97" t="str">
        <f t="shared" si="19"/>
        <v/>
      </c>
      <c r="BX7" s="97" t="str">
        <f t="shared" si="20"/>
        <v/>
      </c>
      <c r="BY7" s="97" t="str">
        <f t="shared" si="21"/>
        <v/>
      </c>
      <c r="BZ7" s="98" t="str">
        <f t="shared" si="22"/>
        <v/>
      </c>
    </row>
    <row r="8" spans="1:78" ht="14.65" thickBot="1" x14ac:dyDescent="0.5">
      <c r="A8" s="177"/>
      <c r="B8" s="95" t="s">
        <v>4</v>
      </c>
      <c r="C8" s="99">
        <v>1.6688657407407407E-3</v>
      </c>
      <c r="D8" s="99">
        <v>1.6509259259259257E-3</v>
      </c>
      <c r="E8" s="100">
        <v>1.6315972222222222E-3</v>
      </c>
      <c r="F8" s="101">
        <v>1.6435185185185185E-3</v>
      </c>
      <c r="G8" s="99">
        <v>1.6241898148148146E-3</v>
      </c>
      <c r="H8" s="99">
        <v>1.60625E-3</v>
      </c>
      <c r="I8" s="99">
        <v>1.590625E-3</v>
      </c>
      <c r="J8" s="100">
        <v>1.5422453703703705E-3</v>
      </c>
      <c r="K8" s="99">
        <v>1.5707175925925927E-3</v>
      </c>
      <c r="L8" s="99">
        <v>1.5564814814814814E-3</v>
      </c>
      <c r="M8" s="99">
        <v>1.5393518518518519E-3</v>
      </c>
      <c r="N8" s="99">
        <v>1.5336805555555555E-3</v>
      </c>
      <c r="O8" s="101">
        <v>1.8101851851851853E-3</v>
      </c>
      <c r="P8" s="99">
        <v>1.7979166666666666E-3</v>
      </c>
      <c r="Q8" s="100">
        <v>1.784722222222222E-3</v>
      </c>
      <c r="R8" s="99">
        <v>1.7928240740740741E-3</v>
      </c>
      <c r="S8" s="99">
        <v>1.7796296296296295E-3</v>
      </c>
      <c r="T8" s="99">
        <v>1.767361111111111E-3</v>
      </c>
      <c r="U8" s="99">
        <v>1.7564814814814815E-3</v>
      </c>
      <c r="V8" s="100">
        <v>1.7228009259259258E-3</v>
      </c>
      <c r="W8" s="101">
        <v>1.7425925925925927E-3</v>
      </c>
      <c r="X8" s="99">
        <v>1.7327546296296297E-3</v>
      </c>
      <c r="Y8" s="99">
        <v>1.7208333333333333E-3</v>
      </c>
      <c r="Z8" s="100">
        <v>1.7168981481481482E-3</v>
      </c>
      <c r="AB8" s="95" t="s">
        <v>4</v>
      </c>
      <c r="AC8" s="172">
        <v>0.2</v>
      </c>
      <c r="AD8" s="172">
        <v>0.2</v>
      </c>
      <c r="AE8" s="173">
        <v>0.2</v>
      </c>
      <c r="AF8" s="174">
        <v>0</v>
      </c>
      <c r="AG8" s="172">
        <v>0</v>
      </c>
      <c r="AH8" s="172">
        <v>0.16</v>
      </c>
      <c r="AI8" s="172">
        <v>0.16</v>
      </c>
      <c r="AJ8" s="173">
        <v>0.16</v>
      </c>
      <c r="AK8" s="172">
        <v>0</v>
      </c>
      <c r="AL8" s="172">
        <v>0</v>
      </c>
      <c r="AM8" s="172">
        <v>0</v>
      </c>
      <c r="AN8" s="172">
        <v>0</v>
      </c>
      <c r="AO8" s="174">
        <v>0.18</v>
      </c>
      <c r="AP8" s="172">
        <v>0.18</v>
      </c>
      <c r="AQ8" s="173">
        <v>0.18</v>
      </c>
      <c r="AR8" s="172">
        <v>0</v>
      </c>
      <c r="AS8" s="172">
        <v>0</v>
      </c>
      <c r="AT8" s="172">
        <v>0.17</v>
      </c>
      <c r="AU8" s="172">
        <v>0.17</v>
      </c>
      <c r="AV8" s="173">
        <v>0.17</v>
      </c>
      <c r="AW8" s="174">
        <v>0</v>
      </c>
      <c r="AX8" s="172">
        <v>0</v>
      </c>
      <c r="AY8" s="172">
        <v>0</v>
      </c>
      <c r="AZ8" s="173">
        <v>0</v>
      </c>
      <c r="BB8" s="95" t="s">
        <v>4</v>
      </c>
      <c r="BC8" s="99">
        <f t="shared" si="23"/>
        <v>2.0026388888888889E-3</v>
      </c>
      <c r="BD8" s="99">
        <f t="shared" si="0"/>
        <v>1.981111111111111E-3</v>
      </c>
      <c r="BE8" s="100">
        <f t="shared" si="1"/>
        <v>1.9579166666666668E-3</v>
      </c>
      <c r="BF8" s="101" t="str">
        <f t="shared" si="2"/>
        <v/>
      </c>
      <c r="BG8" s="99" t="str">
        <f t="shared" si="3"/>
        <v/>
      </c>
      <c r="BH8" s="99">
        <f t="shared" si="4"/>
        <v>1.8632500000000001E-3</v>
      </c>
      <c r="BI8" s="99">
        <f t="shared" si="5"/>
        <v>1.845125E-3</v>
      </c>
      <c r="BJ8" s="100">
        <f t="shared" si="6"/>
        <v>1.7890046296296298E-3</v>
      </c>
      <c r="BK8" s="99" t="str">
        <f t="shared" si="7"/>
        <v/>
      </c>
      <c r="BL8" s="99" t="str">
        <f t="shared" si="8"/>
        <v/>
      </c>
      <c r="BM8" s="99" t="str">
        <f t="shared" si="9"/>
        <v/>
      </c>
      <c r="BN8" s="99" t="str">
        <f t="shared" si="10"/>
        <v/>
      </c>
      <c r="BO8" s="101">
        <f t="shared" si="11"/>
        <v>2.1360185185185189E-3</v>
      </c>
      <c r="BP8" s="99">
        <f t="shared" si="12"/>
        <v>2.1215416666666665E-3</v>
      </c>
      <c r="BQ8" s="100">
        <f t="shared" si="13"/>
        <v>2.1059722222222222E-3</v>
      </c>
      <c r="BR8" s="99" t="str">
        <f t="shared" si="14"/>
        <v/>
      </c>
      <c r="BS8" s="99" t="str">
        <f t="shared" si="15"/>
        <v/>
      </c>
      <c r="BT8" s="99">
        <f t="shared" si="16"/>
        <v>2.0678124999999998E-3</v>
      </c>
      <c r="BU8" s="99">
        <f t="shared" si="17"/>
        <v>2.0550833333333332E-3</v>
      </c>
      <c r="BV8" s="100">
        <f t="shared" si="18"/>
        <v>2.0156770833333333E-3</v>
      </c>
      <c r="BW8" s="101" t="str">
        <f t="shared" si="19"/>
        <v/>
      </c>
      <c r="BX8" s="99" t="str">
        <f t="shared" si="20"/>
        <v/>
      </c>
      <c r="BY8" s="99" t="str">
        <f t="shared" si="21"/>
        <v/>
      </c>
      <c r="BZ8" s="100" t="str">
        <f t="shared" si="22"/>
        <v/>
      </c>
    </row>
    <row r="9" spans="1:78" ht="14.65" thickTop="1" x14ac:dyDescent="0.45"/>
    <row r="10" spans="1:78" ht="18" x14ac:dyDescent="0.45">
      <c r="A10" s="177">
        <v>2026</v>
      </c>
      <c r="B10" s="82" t="str">
        <f ca="1">CONCATENATE("in: ",YEAR(TODAY())," für: ", YEAR(TODAY())+1)</f>
        <v>in: 2026 für: 2027</v>
      </c>
      <c r="C10" s="86" t="s">
        <v>257</v>
      </c>
      <c r="D10" s="86"/>
      <c r="E10" s="87"/>
      <c r="F10" s="103" t="s">
        <v>258</v>
      </c>
      <c r="G10" s="88"/>
      <c r="H10" s="88"/>
      <c r="I10" s="88"/>
      <c r="J10" s="89"/>
      <c r="K10" s="118" t="s">
        <v>262</v>
      </c>
      <c r="L10" s="119"/>
      <c r="M10" s="119"/>
      <c r="N10" s="120"/>
      <c r="O10" s="91" t="s">
        <v>259</v>
      </c>
      <c r="P10" s="91"/>
      <c r="Q10" s="92"/>
      <c r="R10" s="105" t="s">
        <v>260</v>
      </c>
      <c r="S10" s="93"/>
      <c r="T10" s="93"/>
      <c r="U10" s="93"/>
      <c r="V10" s="94"/>
      <c r="W10" s="123" t="s">
        <v>263</v>
      </c>
      <c r="X10" s="124"/>
      <c r="Y10" s="124"/>
      <c r="Z10" s="129"/>
      <c r="AB10" s="82" t="str">
        <f ca="1">CONCATENATE("in: ",YEAR(TODAY())," für: ", YEAR(TODAY())+1)</f>
        <v>in: 2026 für: 2027</v>
      </c>
      <c r="AC10" s="149" t="s">
        <v>264</v>
      </c>
      <c r="AD10" s="149"/>
      <c r="AE10" s="150"/>
      <c r="AF10" s="151" t="s">
        <v>265</v>
      </c>
      <c r="AG10" s="152"/>
      <c r="AH10" s="152"/>
      <c r="AI10" s="152"/>
      <c r="AJ10" s="153"/>
      <c r="AK10" s="154" t="s">
        <v>266</v>
      </c>
      <c r="AL10" s="155"/>
      <c r="AM10" s="155"/>
      <c r="AN10" s="156"/>
      <c r="AO10" s="157" t="s">
        <v>267</v>
      </c>
      <c r="AP10" s="158"/>
      <c r="AQ10" s="159"/>
      <c r="AR10" s="160" t="s">
        <v>268</v>
      </c>
      <c r="AS10" s="161"/>
      <c r="AT10" s="161"/>
      <c r="AU10" s="161"/>
      <c r="AV10" s="162"/>
      <c r="AW10" s="163" t="s">
        <v>269</v>
      </c>
      <c r="AX10" s="164"/>
      <c r="AY10" s="164"/>
      <c r="AZ10" s="165"/>
      <c r="BB10" s="82" t="str">
        <f ca="1">CONCATENATE("in: ",YEAR(TODAY())," für: ", YEAR(TODAY())+1)</f>
        <v>in: 2026 für: 2027</v>
      </c>
      <c r="BC10" s="86" t="s">
        <v>270</v>
      </c>
      <c r="BD10" s="86"/>
      <c r="BE10" s="87"/>
      <c r="BF10" s="103" t="s">
        <v>271</v>
      </c>
      <c r="BG10" s="88"/>
      <c r="BH10" s="88"/>
      <c r="BI10" s="88"/>
      <c r="BJ10" s="89"/>
      <c r="BK10" s="118" t="s">
        <v>272</v>
      </c>
      <c r="BL10" s="119"/>
      <c r="BM10" s="119"/>
      <c r="BN10" s="120"/>
      <c r="BO10" s="91" t="s">
        <v>259</v>
      </c>
      <c r="BP10" s="91"/>
      <c r="BQ10" s="92"/>
      <c r="BR10" s="105" t="s">
        <v>260</v>
      </c>
      <c r="BS10" s="93"/>
      <c r="BT10" s="93"/>
      <c r="BU10" s="93"/>
      <c r="BV10" s="94"/>
      <c r="BW10" s="123" t="s">
        <v>273</v>
      </c>
      <c r="BX10" s="124"/>
      <c r="BY10" s="124"/>
      <c r="BZ10" s="129"/>
    </row>
    <row r="11" spans="1:78" ht="21.4" thickBot="1" x14ac:dyDescent="0.5">
      <c r="A11" s="177"/>
      <c r="B11" s="83" t="s">
        <v>261</v>
      </c>
      <c r="C11" s="106" t="str">
        <f ca="1">CONCATENATE("≤",YEAR(TODAY())-15)</f>
        <v>≤2011</v>
      </c>
      <c r="D11" s="106">
        <f ca="1">YEAR(TODAY())-16</f>
        <v>2010</v>
      </c>
      <c r="E11" s="107">
        <f ca="1">YEAR(TODAY())-17</f>
        <v>2009</v>
      </c>
      <c r="F11" s="108">
        <f ca="1">YEAR(TODAY())-16</f>
        <v>2010</v>
      </c>
      <c r="G11" s="108">
        <f ca="1">YEAR(TODAY())-17</f>
        <v>2009</v>
      </c>
      <c r="H11" s="108">
        <f ca="1">YEAR(TODAY())-18</f>
        <v>2008</v>
      </c>
      <c r="I11" s="143" t="str">
        <f ca="1">CONCATENATE(YEAR(TODAY())-19,"-",YEAR(TODAY())-21)</f>
        <v>2007-2005</v>
      </c>
      <c r="J11" s="143" t="str">
        <f ca="1">CONCATENATE(YEAR(TODAY())-22,"-",YEAR(TODAY())-23)</f>
        <v>2004-2003</v>
      </c>
      <c r="K11" s="144" t="str">
        <f ca="1">CONCATENATE(YEAR(TODAY())-15,"-",YEAR(TODAY())-19)</f>
        <v>2011-2007</v>
      </c>
      <c r="L11" s="145">
        <f ca="1">YEAR(TODAY())-20</f>
        <v>2006</v>
      </c>
      <c r="M11" s="145" t="str">
        <f ca="1">CONCATENATE(YEAR(TODAY())-21,"-",YEAR(TODAY())-23)</f>
        <v>2005-2003</v>
      </c>
      <c r="N11" s="146" t="str">
        <f ca="1">CONCATENATE(YEAR(TODAY())-24,"-",YEAR(TODAY())-40)</f>
        <v>2002-1986</v>
      </c>
      <c r="O11" s="109" t="str">
        <f ca="1">CONCATENATE("≤",YEAR(TODAY())-15)</f>
        <v>≤2011</v>
      </c>
      <c r="P11" s="109">
        <f ca="1">YEAR(TODAY())-16</f>
        <v>2010</v>
      </c>
      <c r="Q11" s="110">
        <f ca="1">YEAR(TODAY())-17</f>
        <v>2009</v>
      </c>
      <c r="R11" s="111">
        <f ca="1">YEAR(TODAY())-16</f>
        <v>2010</v>
      </c>
      <c r="S11" s="111">
        <f ca="1">YEAR(TODAY())-17</f>
        <v>2009</v>
      </c>
      <c r="T11" s="111">
        <f ca="1">YEAR(TODAY())-18</f>
        <v>2008</v>
      </c>
      <c r="U11" s="112" t="str">
        <f ca="1">CONCATENATE(YEAR(TODAY())-19,"-",YEAR(TODAY())-21)</f>
        <v>2007-2005</v>
      </c>
      <c r="V11" s="113" t="str">
        <f ca="1">CONCATENATE(YEAR(TODAY())-22,"-",YEAR(TODAY())-23)</f>
        <v>2004-2003</v>
      </c>
      <c r="W11" s="126" t="str">
        <f ca="1">CONCATENATE(YEAR(TODAY())-15,"-",YEAR(TODAY())-19)</f>
        <v>2011-2007</v>
      </c>
      <c r="X11" s="147">
        <f ca="1">YEAR(TODAY())-20</f>
        <v>2006</v>
      </c>
      <c r="Y11" s="126" t="str">
        <f ca="1">CONCATENATE(YEAR(TODAY())-21,"-",YEAR(TODAY())-23)</f>
        <v>2005-2003</v>
      </c>
      <c r="Z11" s="128" t="str">
        <f ca="1">CONCATENATE(YEAR(TODAY())-24,"-",YEAR(TODAY())-40)</f>
        <v>2002-1986</v>
      </c>
      <c r="AA11" s="76"/>
      <c r="AB11" s="83" t="s">
        <v>261</v>
      </c>
      <c r="AC11" s="134" t="str">
        <f ca="1">CONCATENATE("≤",YEAR(TODAY())-15)</f>
        <v>≤2011</v>
      </c>
      <c r="AD11" s="134">
        <f ca="1">YEAR(TODAY())-16</f>
        <v>2010</v>
      </c>
      <c r="AE11" s="135">
        <f ca="1">YEAR(TODAY())-17</f>
        <v>2009</v>
      </c>
      <c r="AF11" s="136">
        <f ca="1">YEAR(TODAY())-16</f>
        <v>2010</v>
      </c>
      <c r="AG11" s="136">
        <f ca="1">YEAR(TODAY())-17</f>
        <v>2009</v>
      </c>
      <c r="AH11" s="136">
        <f ca="1">YEAR(TODAY())-18</f>
        <v>2008</v>
      </c>
      <c r="AI11" s="136" t="str">
        <f ca="1">CONCATENATE(YEAR(TODAY())-19,"-",YEAR(TODAY())-21)</f>
        <v>2007-2005</v>
      </c>
      <c r="AJ11" s="136" t="str">
        <f ca="1">CONCATENATE(YEAR(TODAY())-22,"-",YEAR(TODAY())-50)</f>
        <v>2004-1976</v>
      </c>
      <c r="AK11" s="137" t="str">
        <f ca="1">CONCATENATE(YEAR(TODAY())-15,"-",YEAR(TODAY())-19)</f>
        <v>2011-2007</v>
      </c>
      <c r="AL11" s="138">
        <f ca="1">YEAR(TODAY())-20</f>
        <v>2006</v>
      </c>
      <c r="AM11" s="138" t="str">
        <f ca="1">CONCATENATE(YEAR(TODAY())-21,"-",YEAR(TODAY())-23)</f>
        <v>2005-2003</v>
      </c>
      <c r="AN11" s="139" t="str">
        <f ca="1">CONCATENATE(YEAR(TODAY())-24,"-",YEAR(TODAY())-40)</f>
        <v>2002-1986</v>
      </c>
      <c r="AO11" s="140" t="str">
        <f ca="1">CONCATENATE("≤",YEAR(TODAY())-15)</f>
        <v>≤2011</v>
      </c>
      <c r="AP11" s="140">
        <f ca="1">YEAR(TODAY())-16</f>
        <v>2010</v>
      </c>
      <c r="AQ11" s="141">
        <f ca="1">YEAR(TODAY())-17</f>
        <v>2009</v>
      </c>
      <c r="AR11" s="131">
        <f ca="1">YEAR(TODAY())-16</f>
        <v>2010</v>
      </c>
      <c r="AS11" s="131">
        <f ca="1">YEAR(TODAY())-17</f>
        <v>2009</v>
      </c>
      <c r="AT11" s="131">
        <f ca="1">YEAR(TODAY())-18</f>
        <v>2008</v>
      </c>
      <c r="AU11" s="131" t="str">
        <f ca="1">CONCATENATE(YEAR(TODAY())-19,"-",YEAR(TODAY())-21)</f>
        <v>2007-2005</v>
      </c>
      <c r="AV11" s="132" t="str">
        <f ca="1">CONCATENATE(YEAR(TODAY())-22,"-",YEAR(TODAY())-50)</f>
        <v>2004-1976</v>
      </c>
      <c r="AW11" s="142" t="str">
        <f ca="1">CONCATENATE(YEAR(TODAY())-15,"-",YEAR(TODAY())-19)</f>
        <v>2011-2007</v>
      </c>
      <c r="AX11" s="142">
        <f ca="1">YEAR(TODAY())-20</f>
        <v>2006</v>
      </c>
      <c r="AY11" s="142" t="str">
        <f ca="1">CONCATENATE(YEAR(TODAY())-21,"-",YEAR(TODAY())-23)</f>
        <v>2005-2003</v>
      </c>
      <c r="AZ11" s="133" t="str">
        <f ca="1">CONCATENATE(YEAR(TODAY())-24,"-",YEAR(TODAY())-40)</f>
        <v>2002-1986</v>
      </c>
      <c r="BB11" s="83" t="s">
        <v>261</v>
      </c>
      <c r="BC11" s="106" t="str">
        <f ca="1">CONCATENATE("≤",YEAR(TODAY())-15-1)</f>
        <v>≤2010</v>
      </c>
      <c r="BD11" s="106">
        <f ca="1">YEAR(TODAY())-16-1</f>
        <v>2009</v>
      </c>
      <c r="BE11" s="107">
        <f ca="1">YEAR(TODAY())-17-1</f>
        <v>2008</v>
      </c>
      <c r="BF11" s="108">
        <f ca="1">YEAR(TODAY())-16-1</f>
        <v>2009</v>
      </c>
      <c r="BG11" s="108">
        <f ca="1">YEAR(TODAY())-17-1</f>
        <v>2008</v>
      </c>
      <c r="BH11" s="108">
        <f ca="1">YEAR(TODAY())-18-1</f>
        <v>2007</v>
      </c>
      <c r="BI11" s="143" t="str">
        <f ca="1">CONCATENATE(YEAR(TODAY())-1-19,"-",YEAR(TODAY())-1-21)</f>
        <v>2006-2004</v>
      </c>
      <c r="BJ11" s="143" t="str">
        <f ca="1">CONCATENATE(YEAR(TODAY())-1-22,"-",YEAR(TODAY())-1-50)</f>
        <v>2003-1975</v>
      </c>
      <c r="BK11" s="144" t="str">
        <f ca="1">CONCATENATE(YEAR(TODAY())-1-15,"-",YEAR(TODAY())-1-19)</f>
        <v>2010-2006</v>
      </c>
      <c r="BL11" s="145">
        <f ca="1">YEAR(TODAY())-20-1</f>
        <v>2005</v>
      </c>
      <c r="BM11" s="145" t="str">
        <f ca="1">CONCATENATE(YEAR(TODAY())-1-21,"-",YEAR(TODAY())-1-23)</f>
        <v>2004-2002</v>
      </c>
      <c r="BN11" s="145" t="str">
        <f ca="1">CONCATENATE(YEAR(TODAY())-1-24,"-",YEAR(TODAY())-40-1)</f>
        <v>2001-1985</v>
      </c>
      <c r="BO11" s="176" t="str">
        <f ca="1">CONCATENATE("≤",YEAR(TODAY())-15-1)</f>
        <v>≤2010</v>
      </c>
      <c r="BP11" s="109">
        <f ca="1">YEAR(TODAY())-16-1</f>
        <v>2009</v>
      </c>
      <c r="BQ11" s="110">
        <f ca="1">YEAR(TODAY())-17-1</f>
        <v>2008</v>
      </c>
      <c r="BR11" s="111">
        <f ca="1">YEAR(TODAY())-16-1</f>
        <v>2009</v>
      </c>
      <c r="BS11" s="111">
        <f ca="1">YEAR(TODAY())-17-1</f>
        <v>2008</v>
      </c>
      <c r="BT11" s="111">
        <f ca="1">YEAR(TODAY())-18-1</f>
        <v>2007</v>
      </c>
      <c r="BU11" s="112" t="str">
        <f ca="1">CONCATENATE(YEAR(TODAY())-1-19,"-",YEAR(TODAY())-1-21)</f>
        <v>2006-2004</v>
      </c>
      <c r="BV11" s="113" t="str">
        <f ca="1">CONCATENATE(YEAR(TODAY())-1-22,"-",YEAR(TODAY())-1-50)</f>
        <v>2003-1975</v>
      </c>
      <c r="BW11" s="126" t="str">
        <f ca="1">CONCATENATE(YEAR(TODAY())-1-15,"-",YEAR(TODAY())-1-19)</f>
        <v>2010-2006</v>
      </c>
      <c r="BX11" s="147">
        <f ca="1">YEAR(TODAY())-20-1</f>
        <v>2005</v>
      </c>
      <c r="BY11" s="126" t="str">
        <f ca="1">CONCATENATE(YEAR(TODAY())-1-21,"-",YEAR(TODAY())-1-23)</f>
        <v>2004-2002</v>
      </c>
      <c r="BZ11" s="128" t="str">
        <f ca="1">CONCATENATE(YEAR(TODAY())-1-24,"-",YEAR(TODAY())-40-1)</f>
        <v>2001-1985</v>
      </c>
    </row>
    <row r="12" spans="1:78" ht="14.65" thickTop="1" x14ac:dyDescent="0.45">
      <c r="A12" s="177"/>
      <c r="B12" s="84" t="s">
        <v>0</v>
      </c>
      <c r="C12" s="96">
        <v>3.9282407407407403E-4</v>
      </c>
      <c r="D12" s="97">
        <v>3.8495370370370371E-4</v>
      </c>
      <c r="E12" s="98">
        <v>3.7326388888888891E-4</v>
      </c>
      <c r="F12" s="97">
        <v>3.7430555555555562E-4</v>
      </c>
      <c r="G12" s="97">
        <v>3.6747685185185185E-4</v>
      </c>
      <c r="H12" s="97">
        <v>3.6111111111111109E-4</v>
      </c>
      <c r="I12" s="97">
        <v>3.5081018518518518E-4</v>
      </c>
      <c r="J12" s="98">
        <v>3.3900462962962964E-4</v>
      </c>
      <c r="K12" s="102">
        <v>3.488425925925926E-4</v>
      </c>
      <c r="L12" s="102">
        <v>3.4386574074074077E-4</v>
      </c>
      <c r="M12" s="102">
        <v>3.3796296296296298E-4</v>
      </c>
      <c r="N12" s="98">
        <v>3.359953703703704E-4</v>
      </c>
      <c r="O12" s="97">
        <v>4.7743055555555554E-4</v>
      </c>
      <c r="P12" s="97">
        <v>4.6701388888888888E-4</v>
      </c>
      <c r="Q12" s="98">
        <v>4.5578703703703704E-4</v>
      </c>
      <c r="R12" s="114">
        <v>4.586805555555556E-4</v>
      </c>
      <c r="S12" s="115">
        <v>4.5138888888888887E-4</v>
      </c>
      <c r="T12" s="97">
        <v>4.4097222222222226E-4</v>
      </c>
      <c r="U12" s="97">
        <v>4.2048611111111111E-4</v>
      </c>
      <c r="V12" s="117">
        <v>4.054398148148148E-4</v>
      </c>
      <c r="W12" s="97">
        <v>4.2118055555555555E-4</v>
      </c>
      <c r="X12" s="97">
        <v>4.1331018518518518E-4</v>
      </c>
      <c r="Y12" s="97">
        <v>4.0381944444444444E-4</v>
      </c>
      <c r="Z12" s="98">
        <v>4.0069444444444441E-4</v>
      </c>
      <c r="AB12" s="84" t="s">
        <v>0</v>
      </c>
      <c r="AC12" s="175">
        <v>0.2</v>
      </c>
      <c r="AD12" s="166">
        <v>0.2</v>
      </c>
      <c r="AE12" s="167">
        <v>0.2</v>
      </c>
      <c r="AF12" s="166">
        <v>0</v>
      </c>
      <c r="AG12" s="166">
        <v>0</v>
      </c>
      <c r="AH12" s="166">
        <v>0.16</v>
      </c>
      <c r="AI12" s="166">
        <v>0.16</v>
      </c>
      <c r="AJ12" s="167">
        <v>0.16</v>
      </c>
      <c r="AK12" s="168">
        <v>0</v>
      </c>
      <c r="AL12" s="168">
        <v>0</v>
      </c>
      <c r="AM12" s="168">
        <v>0</v>
      </c>
      <c r="AN12" s="167">
        <v>0</v>
      </c>
      <c r="AO12" s="166">
        <v>0.18</v>
      </c>
      <c r="AP12" s="166">
        <v>0.18</v>
      </c>
      <c r="AQ12" s="167">
        <v>0.18</v>
      </c>
      <c r="AR12" s="166">
        <v>0</v>
      </c>
      <c r="AS12" s="169">
        <v>0</v>
      </c>
      <c r="AT12" s="166">
        <v>0.17</v>
      </c>
      <c r="AU12" s="166">
        <v>0.17</v>
      </c>
      <c r="AV12" s="170">
        <v>0.17</v>
      </c>
      <c r="AW12" s="166">
        <v>0</v>
      </c>
      <c r="AX12" s="166">
        <v>0</v>
      </c>
      <c r="AY12" s="166">
        <v>0</v>
      </c>
      <c r="AZ12" s="167">
        <v>0</v>
      </c>
      <c r="BB12" s="84" t="s">
        <v>0</v>
      </c>
      <c r="BC12" s="96">
        <f>IF(AC12=0,"",C12+C12*AC12)</f>
        <v>4.7138888888888881E-4</v>
      </c>
      <c r="BD12" s="97">
        <f t="shared" ref="BD12:BD17" si="24">IF(AD12=0,"",D12+D12*AD12)</f>
        <v>4.6194444444444446E-4</v>
      </c>
      <c r="BE12" s="98">
        <f t="shared" ref="BE12:BE17" si="25">IF(AE12=0,"",E12+E12*AE12)</f>
        <v>4.4791666666666667E-4</v>
      </c>
      <c r="BF12" s="97" t="str">
        <f t="shared" ref="BF12:BF17" si="26">IF(AF12=0,"",F12+F12*AF12)</f>
        <v/>
      </c>
      <c r="BG12" s="97" t="str">
        <f t="shared" ref="BG12:BG17" si="27">IF(AG12=0,"",G12+G12*AG12)</f>
        <v/>
      </c>
      <c r="BH12" s="97">
        <f t="shared" ref="BH12:BH17" si="28">IF(AH12=0,"",H12+H12*AH12)</f>
        <v>4.1888888888888889E-4</v>
      </c>
      <c r="BI12" s="97">
        <f t="shared" ref="BI12:BI17" si="29">IF(AI12=0,"",I12+I12*AI12)</f>
        <v>4.0693981481481478E-4</v>
      </c>
      <c r="BJ12" s="98">
        <f t="shared" ref="BJ12:BJ17" si="30">IF(AJ12=0,"",J12+J12*AJ12)</f>
        <v>3.9324537037037041E-4</v>
      </c>
      <c r="BK12" s="102" t="str">
        <f t="shared" ref="BK12:BK17" si="31">IF(AK12=0,"",K12+K12*AK12)</f>
        <v/>
      </c>
      <c r="BL12" s="102" t="str">
        <f t="shared" ref="BL12:BL17" si="32">IF(AL12=0,"",L12+L12*AL12)</f>
        <v/>
      </c>
      <c r="BM12" s="102" t="str">
        <f t="shared" ref="BM12:BM17" si="33">IF(AM12=0,"",M12+M12*AM12)</f>
        <v/>
      </c>
      <c r="BN12" s="98" t="str">
        <f t="shared" ref="BN12:BN17" si="34">IF(AN12=0,"",N12+N12*AN12)</f>
        <v/>
      </c>
      <c r="BO12" s="97">
        <f t="shared" ref="BO12:BO17" si="35">IF(AO12=0,"",O12+O12*AO12)</f>
        <v>5.6336805555555556E-4</v>
      </c>
      <c r="BP12" s="97">
        <f t="shared" ref="BP12:BP17" si="36">IF(AP12=0,"",P12+P12*AP12)</f>
        <v>5.5107638888888893E-4</v>
      </c>
      <c r="BQ12" s="98">
        <f t="shared" ref="BQ12:BQ17" si="37">IF(AQ12=0,"",Q12+Q12*AQ12)</f>
        <v>5.3782870370370367E-4</v>
      </c>
      <c r="BR12" s="114" t="str">
        <f t="shared" ref="BR12:BR17" si="38">IF(AR12=0,"",R12+R12*AR12)</f>
        <v/>
      </c>
      <c r="BS12" s="115" t="str">
        <f t="shared" ref="BS12:BS17" si="39">IF(AS12=0,"",S12+S12*AS12)</f>
        <v/>
      </c>
      <c r="BT12" s="97">
        <f t="shared" ref="BT12:BT17" si="40">IF(AT12=0,"",T12+T12*AT12)</f>
        <v>5.1593750000000001E-4</v>
      </c>
      <c r="BU12" s="97">
        <f t="shared" ref="BU12:BU17" si="41">IF(AU12=0,"",U12+U12*AU12)</f>
        <v>4.9196875E-4</v>
      </c>
      <c r="BV12" s="117">
        <f t="shared" ref="BV12:BV17" si="42">IF(AV12=0,"",V12+V12*AV12)</f>
        <v>4.7436458333333331E-4</v>
      </c>
      <c r="BW12" s="97" t="str">
        <f t="shared" ref="BW12:BW17" si="43">IF(AW12=0,"",W12+W12*AW12)</f>
        <v/>
      </c>
      <c r="BX12" s="97" t="str">
        <f t="shared" ref="BX12:BX17" si="44">IF(AX12=0,"",X12+X12*AX12)</f>
        <v/>
      </c>
      <c r="BY12" s="97" t="str">
        <f t="shared" ref="BY12:BY17" si="45">IF(AY12=0,"",Y12+Y12*AY12)</f>
        <v/>
      </c>
      <c r="BZ12" s="98" t="str">
        <f t="shared" ref="BZ12:BZ17" si="46">IF(AZ12=0,"",Z12+Z12*AZ12)</f>
        <v/>
      </c>
    </row>
    <row r="13" spans="1:78" x14ac:dyDescent="0.45">
      <c r="A13" s="177"/>
      <c r="B13" s="84" t="s">
        <v>219</v>
      </c>
      <c r="C13" s="97">
        <v>8.4803240740740737E-4</v>
      </c>
      <c r="D13" s="97">
        <v>8.3333333333333339E-4</v>
      </c>
      <c r="E13" s="98">
        <v>8.0104166666666681E-4</v>
      </c>
      <c r="F13" s="97">
        <v>8.0358796296296309E-4</v>
      </c>
      <c r="G13" s="97">
        <v>7.8715277777777779E-4</v>
      </c>
      <c r="H13" s="97">
        <v>7.7187499999999999E-4</v>
      </c>
      <c r="I13" s="97">
        <v>7.4733796296296289E-4</v>
      </c>
      <c r="J13" s="98">
        <v>7.1921296296296295E-4</v>
      </c>
      <c r="K13" s="102">
        <v>7.4259259259259254E-4</v>
      </c>
      <c r="L13" s="102">
        <v>7.309027777777778E-4</v>
      </c>
      <c r="M13" s="102">
        <v>7.1678240740740741E-4</v>
      </c>
      <c r="N13" s="98">
        <v>7.1215277777777781E-4</v>
      </c>
      <c r="O13" s="97">
        <v>1.0035879629629631E-3</v>
      </c>
      <c r="P13" s="97">
        <v>9.6921296296296295E-4</v>
      </c>
      <c r="Q13" s="98">
        <v>9.3472222222222231E-4</v>
      </c>
      <c r="R13" s="116">
        <v>9.4340277777777782E-4</v>
      </c>
      <c r="S13" s="102">
        <v>9.2094907407407403E-4</v>
      </c>
      <c r="T13" s="97">
        <v>9.0034722222222209E-4</v>
      </c>
      <c r="U13" s="97">
        <v>8.5960648148148148E-4</v>
      </c>
      <c r="V13" s="98">
        <v>8.2974537037037034E-4</v>
      </c>
      <c r="W13" s="97">
        <v>8.6111111111111121E-4</v>
      </c>
      <c r="X13" s="97">
        <v>8.4548611111111109E-4</v>
      </c>
      <c r="Y13" s="97">
        <v>8.2662037037037036E-4</v>
      </c>
      <c r="Z13" s="98">
        <v>8.2037037037037029E-4</v>
      </c>
      <c r="AB13" s="84" t="s">
        <v>219</v>
      </c>
      <c r="AC13" s="166">
        <v>0.2</v>
      </c>
      <c r="AD13" s="166">
        <v>0.2</v>
      </c>
      <c r="AE13" s="167">
        <v>0.2</v>
      </c>
      <c r="AF13" s="166">
        <v>0</v>
      </c>
      <c r="AG13" s="166">
        <v>0</v>
      </c>
      <c r="AH13" s="166">
        <v>0.16</v>
      </c>
      <c r="AI13" s="166">
        <v>0.16</v>
      </c>
      <c r="AJ13" s="167">
        <v>0.16</v>
      </c>
      <c r="AK13" s="168">
        <v>0</v>
      </c>
      <c r="AL13" s="168">
        <v>0</v>
      </c>
      <c r="AM13" s="168">
        <v>0</v>
      </c>
      <c r="AN13" s="167">
        <v>0</v>
      </c>
      <c r="AO13" s="166">
        <v>0.18</v>
      </c>
      <c r="AP13" s="166">
        <v>0.18</v>
      </c>
      <c r="AQ13" s="167">
        <v>0.18</v>
      </c>
      <c r="AR13" s="171">
        <v>0</v>
      </c>
      <c r="AS13" s="168">
        <v>0</v>
      </c>
      <c r="AT13" s="166">
        <v>0.17</v>
      </c>
      <c r="AU13" s="166">
        <v>0.17</v>
      </c>
      <c r="AV13" s="167">
        <v>0.17</v>
      </c>
      <c r="AW13" s="166">
        <v>0</v>
      </c>
      <c r="AX13" s="166">
        <v>0</v>
      </c>
      <c r="AY13" s="166">
        <v>0</v>
      </c>
      <c r="AZ13" s="167">
        <v>0</v>
      </c>
      <c r="BB13" s="84" t="s">
        <v>219</v>
      </c>
      <c r="BC13" s="97">
        <f t="shared" ref="BC13:BC17" si="47">IF(AC13=0,"",C13+C13*AC13)</f>
        <v>1.0176388888888889E-3</v>
      </c>
      <c r="BD13" s="97">
        <f t="shared" si="24"/>
        <v>1E-3</v>
      </c>
      <c r="BE13" s="98">
        <f t="shared" si="25"/>
        <v>9.6125000000000019E-4</v>
      </c>
      <c r="BF13" s="97" t="str">
        <f t="shared" si="26"/>
        <v/>
      </c>
      <c r="BG13" s="97" t="str">
        <f t="shared" si="27"/>
        <v/>
      </c>
      <c r="BH13" s="97">
        <f t="shared" si="28"/>
        <v>8.9537500000000001E-4</v>
      </c>
      <c r="BI13" s="97">
        <f t="shared" si="29"/>
        <v>8.6691203703703691E-4</v>
      </c>
      <c r="BJ13" s="98">
        <f t="shared" si="30"/>
        <v>8.3428703703703703E-4</v>
      </c>
      <c r="BK13" s="102" t="str">
        <f t="shared" si="31"/>
        <v/>
      </c>
      <c r="BL13" s="102" t="str">
        <f t="shared" si="32"/>
        <v/>
      </c>
      <c r="BM13" s="102" t="str">
        <f t="shared" si="33"/>
        <v/>
      </c>
      <c r="BN13" s="98" t="str">
        <f t="shared" si="34"/>
        <v/>
      </c>
      <c r="BO13" s="97">
        <f t="shared" si="35"/>
        <v>1.1842337962962965E-3</v>
      </c>
      <c r="BP13" s="97">
        <f t="shared" si="36"/>
        <v>1.1436712962962963E-3</v>
      </c>
      <c r="BQ13" s="98">
        <f t="shared" si="37"/>
        <v>1.1029722222222222E-3</v>
      </c>
      <c r="BR13" s="116" t="str">
        <f t="shared" si="38"/>
        <v/>
      </c>
      <c r="BS13" s="102" t="str">
        <f t="shared" si="39"/>
        <v/>
      </c>
      <c r="BT13" s="97">
        <f t="shared" si="40"/>
        <v>1.0534062499999999E-3</v>
      </c>
      <c r="BU13" s="97">
        <f t="shared" si="41"/>
        <v>1.0057395833333333E-3</v>
      </c>
      <c r="BV13" s="98">
        <f t="shared" si="42"/>
        <v>9.7080208333333328E-4</v>
      </c>
      <c r="BW13" s="97" t="str">
        <f t="shared" si="43"/>
        <v/>
      </c>
      <c r="BX13" s="97" t="str">
        <f t="shared" si="44"/>
        <v/>
      </c>
      <c r="BY13" s="97" t="str">
        <f t="shared" si="45"/>
        <v/>
      </c>
      <c r="BZ13" s="98" t="str">
        <f t="shared" si="46"/>
        <v/>
      </c>
    </row>
    <row r="14" spans="1:78" x14ac:dyDescent="0.45">
      <c r="A14" s="177"/>
      <c r="B14" s="84" t="s">
        <v>220</v>
      </c>
      <c r="C14" s="97">
        <v>6.1793981481481487E-4</v>
      </c>
      <c r="D14" s="97">
        <v>6.0636574074074076E-4</v>
      </c>
      <c r="E14" s="98">
        <v>5.894675925925926E-4</v>
      </c>
      <c r="F14" s="97">
        <v>5.9097222222222222E-4</v>
      </c>
      <c r="G14" s="97">
        <v>5.8101851851851858E-4</v>
      </c>
      <c r="H14" s="97">
        <v>5.7175925925925927E-4</v>
      </c>
      <c r="I14" s="97">
        <v>5.5659722222222222E-4</v>
      </c>
      <c r="J14" s="98">
        <v>5.3935185185185184E-4</v>
      </c>
      <c r="K14" s="102">
        <v>5.5381944444444445E-4</v>
      </c>
      <c r="L14" s="102">
        <v>5.4652777777777772E-4</v>
      </c>
      <c r="M14" s="102">
        <v>5.3796296296296296E-4</v>
      </c>
      <c r="N14" s="98">
        <v>5.3506944444444446E-4</v>
      </c>
      <c r="O14" s="97">
        <v>7.1643518518518519E-4</v>
      </c>
      <c r="P14" s="97">
        <v>7.0370370370370367E-4</v>
      </c>
      <c r="Q14" s="98">
        <v>6.8981481481481487E-4</v>
      </c>
      <c r="R14" s="116">
        <v>6.9837962962962963E-4</v>
      </c>
      <c r="S14" s="102">
        <v>6.8449074074074072E-4</v>
      </c>
      <c r="T14" s="97">
        <v>6.7164351851851857E-4</v>
      </c>
      <c r="U14" s="97">
        <v>6.4594907407407407E-4</v>
      </c>
      <c r="V14" s="98">
        <v>6.2719907407407407E-4</v>
      </c>
      <c r="W14" s="97">
        <v>6.4699074074074073E-4</v>
      </c>
      <c r="X14" s="97">
        <v>6.3703703703703698E-4</v>
      </c>
      <c r="Y14" s="97">
        <v>6.2523148148148149E-4</v>
      </c>
      <c r="Z14" s="98">
        <v>6.2129629629629633E-4</v>
      </c>
      <c r="AB14" s="84" t="s">
        <v>220</v>
      </c>
      <c r="AC14" s="166">
        <v>0.2</v>
      </c>
      <c r="AD14" s="166">
        <v>0.2</v>
      </c>
      <c r="AE14" s="167">
        <v>0.2</v>
      </c>
      <c r="AF14" s="166">
        <v>0</v>
      </c>
      <c r="AG14" s="166">
        <v>0</v>
      </c>
      <c r="AH14" s="166">
        <v>0.16</v>
      </c>
      <c r="AI14" s="166">
        <v>0.16</v>
      </c>
      <c r="AJ14" s="167">
        <v>0.16</v>
      </c>
      <c r="AK14" s="168">
        <v>0</v>
      </c>
      <c r="AL14" s="168">
        <v>0</v>
      </c>
      <c r="AM14" s="168">
        <v>0</v>
      </c>
      <c r="AN14" s="167">
        <v>0</v>
      </c>
      <c r="AO14" s="166">
        <v>0.18</v>
      </c>
      <c r="AP14" s="166">
        <v>0.18</v>
      </c>
      <c r="AQ14" s="167">
        <v>0.18</v>
      </c>
      <c r="AR14" s="171">
        <v>0</v>
      </c>
      <c r="AS14" s="168">
        <v>0</v>
      </c>
      <c r="AT14" s="166">
        <v>0.17</v>
      </c>
      <c r="AU14" s="166">
        <v>0.17</v>
      </c>
      <c r="AV14" s="167">
        <v>0.17</v>
      </c>
      <c r="AW14" s="166">
        <v>0</v>
      </c>
      <c r="AX14" s="166">
        <v>0</v>
      </c>
      <c r="AY14" s="166">
        <v>0</v>
      </c>
      <c r="AZ14" s="167">
        <v>0</v>
      </c>
      <c r="BB14" s="84" t="s">
        <v>220</v>
      </c>
      <c r="BC14" s="97">
        <f t="shared" si="47"/>
        <v>7.415277777777778E-4</v>
      </c>
      <c r="BD14" s="97">
        <f t="shared" si="24"/>
        <v>7.2763888888888889E-4</v>
      </c>
      <c r="BE14" s="98">
        <f t="shared" si="25"/>
        <v>7.0736111111111108E-4</v>
      </c>
      <c r="BF14" s="97" t="str">
        <f t="shared" si="26"/>
        <v/>
      </c>
      <c r="BG14" s="97" t="str">
        <f t="shared" si="27"/>
        <v/>
      </c>
      <c r="BH14" s="97">
        <f t="shared" si="28"/>
        <v>6.6324074074074072E-4</v>
      </c>
      <c r="BI14" s="97">
        <f t="shared" si="29"/>
        <v>6.4565277777777776E-4</v>
      </c>
      <c r="BJ14" s="98">
        <f t="shared" si="30"/>
        <v>6.2564814814814818E-4</v>
      </c>
      <c r="BK14" s="102" t="str">
        <f t="shared" si="31"/>
        <v/>
      </c>
      <c r="BL14" s="102" t="str">
        <f t="shared" si="32"/>
        <v/>
      </c>
      <c r="BM14" s="102" t="str">
        <f t="shared" si="33"/>
        <v/>
      </c>
      <c r="BN14" s="98" t="str">
        <f t="shared" si="34"/>
        <v/>
      </c>
      <c r="BO14" s="97">
        <f t="shared" si="35"/>
        <v>8.4539351851851854E-4</v>
      </c>
      <c r="BP14" s="97">
        <f t="shared" si="36"/>
        <v>8.3037037037037031E-4</v>
      </c>
      <c r="BQ14" s="98">
        <f t="shared" si="37"/>
        <v>8.139814814814815E-4</v>
      </c>
      <c r="BR14" s="116" t="str">
        <f t="shared" si="38"/>
        <v/>
      </c>
      <c r="BS14" s="102" t="str">
        <f t="shared" si="39"/>
        <v/>
      </c>
      <c r="BT14" s="97">
        <f t="shared" si="40"/>
        <v>7.8582291666666677E-4</v>
      </c>
      <c r="BU14" s="97">
        <f t="shared" si="41"/>
        <v>7.5576041666666662E-4</v>
      </c>
      <c r="BV14" s="98">
        <f t="shared" si="42"/>
        <v>7.3382291666666669E-4</v>
      </c>
      <c r="BW14" s="97" t="str">
        <f t="shared" si="43"/>
        <v/>
      </c>
      <c r="BX14" s="97" t="str">
        <f t="shared" si="44"/>
        <v/>
      </c>
      <c r="BY14" s="97" t="str">
        <f t="shared" si="45"/>
        <v/>
      </c>
      <c r="BZ14" s="98" t="str">
        <f t="shared" si="46"/>
        <v/>
      </c>
    </row>
    <row r="15" spans="1:78" x14ac:dyDescent="0.45">
      <c r="A15" s="177"/>
      <c r="B15" s="84" t="s">
        <v>221</v>
      </c>
      <c r="C15" s="97">
        <v>7.1145833333333337E-4</v>
      </c>
      <c r="D15" s="97">
        <v>6.9386574074074077E-4</v>
      </c>
      <c r="E15" s="98">
        <v>6.6817129629629626E-4</v>
      </c>
      <c r="F15" s="97">
        <v>6.7048611111111107E-4</v>
      </c>
      <c r="G15" s="97">
        <v>6.5532407407407401E-4</v>
      </c>
      <c r="H15" s="97">
        <v>6.4131944444444436E-4</v>
      </c>
      <c r="I15" s="97">
        <v>6.1886574074074068E-4</v>
      </c>
      <c r="J15" s="98">
        <v>5.9317129629629629E-4</v>
      </c>
      <c r="K15" s="102">
        <v>6.145833333333333E-4</v>
      </c>
      <c r="L15" s="102">
        <v>6.0393518518518522E-4</v>
      </c>
      <c r="M15" s="102">
        <v>5.9108796296296296E-4</v>
      </c>
      <c r="N15" s="98">
        <v>5.8680555555555558E-4</v>
      </c>
      <c r="O15" s="97">
        <v>7.9768518518518524E-4</v>
      </c>
      <c r="P15" s="97">
        <v>7.8194444444444448E-4</v>
      </c>
      <c r="Q15" s="98">
        <v>7.6493055555555559E-4</v>
      </c>
      <c r="R15" s="116">
        <v>7.7534722222222219E-4</v>
      </c>
      <c r="S15" s="102">
        <v>7.583333333333333E-4</v>
      </c>
      <c r="T15" s="97">
        <v>7.4259259259259254E-4</v>
      </c>
      <c r="U15" s="97">
        <v>7.1134259259259263E-4</v>
      </c>
      <c r="V15" s="98">
        <v>6.8842592592592588E-4</v>
      </c>
      <c r="W15" s="97">
        <v>7.1250000000000003E-4</v>
      </c>
      <c r="X15" s="97">
        <v>7.0046296296296295E-4</v>
      </c>
      <c r="Y15" s="97">
        <v>6.8611111111111108E-4</v>
      </c>
      <c r="Z15" s="98">
        <v>6.8125E-4</v>
      </c>
      <c r="AB15" s="84" t="s">
        <v>221</v>
      </c>
      <c r="AC15" s="166">
        <v>0.2</v>
      </c>
      <c r="AD15" s="166">
        <v>0.2</v>
      </c>
      <c r="AE15" s="167">
        <v>0.2</v>
      </c>
      <c r="AF15" s="166">
        <v>0</v>
      </c>
      <c r="AG15" s="166">
        <v>0</v>
      </c>
      <c r="AH15" s="166">
        <v>0.16</v>
      </c>
      <c r="AI15" s="166">
        <v>0.16</v>
      </c>
      <c r="AJ15" s="167">
        <v>0.16</v>
      </c>
      <c r="AK15" s="168">
        <v>0</v>
      </c>
      <c r="AL15" s="168">
        <v>0</v>
      </c>
      <c r="AM15" s="168">
        <v>0</v>
      </c>
      <c r="AN15" s="167">
        <v>0</v>
      </c>
      <c r="AO15" s="166">
        <v>0.18</v>
      </c>
      <c r="AP15" s="166">
        <v>0.18</v>
      </c>
      <c r="AQ15" s="167">
        <v>0.18</v>
      </c>
      <c r="AR15" s="171">
        <v>0</v>
      </c>
      <c r="AS15" s="168">
        <v>0</v>
      </c>
      <c r="AT15" s="166">
        <v>0.17</v>
      </c>
      <c r="AU15" s="166">
        <v>0.17</v>
      </c>
      <c r="AV15" s="167">
        <v>0.17</v>
      </c>
      <c r="AW15" s="166">
        <v>0</v>
      </c>
      <c r="AX15" s="166">
        <v>0</v>
      </c>
      <c r="AY15" s="166">
        <v>0</v>
      </c>
      <c r="AZ15" s="167">
        <v>0</v>
      </c>
      <c r="BB15" s="84" t="s">
        <v>221</v>
      </c>
      <c r="BC15" s="97">
        <f t="shared" si="47"/>
        <v>8.5375000000000002E-4</v>
      </c>
      <c r="BD15" s="97">
        <f t="shared" si="24"/>
        <v>8.3263888888888895E-4</v>
      </c>
      <c r="BE15" s="98">
        <f t="shared" si="25"/>
        <v>8.018055555555555E-4</v>
      </c>
      <c r="BF15" s="97" t="str">
        <f t="shared" si="26"/>
        <v/>
      </c>
      <c r="BG15" s="97" t="str">
        <f t="shared" si="27"/>
        <v/>
      </c>
      <c r="BH15" s="97">
        <f t="shared" si="28"/>
        <v>7.439305555555554E-4</v>
      </c>
      <c r="BI15" s="97">
        <f t="shared" si="29"/>
        <v>7.1788425925925915E-4</v>
      </c>
      <c r="BJ15" s="98">
        <f t="shared" si="30"/>
        <v>6.8807870370370366E-4</v>
      </c>
      <c r="BK15" s="102" t="str">
        <f t="shared" si="31"/>
        <v/>
      </c>
      <c r="BL15" s="102" t="str">
        <f t="shared" si="32"/>
        <v/>
      </c>
      <c r="BM15" s="102" t="str">
        <f t="shared" si="33"/>
        <v/>
      </c>
      <c r="BN15" s="98" t="str">
        <f t="shared" si="34"/>
        <v/>
      </c>
      <c r="BO15" s="97">
        <f t="shared" si="35"/>
        <v>9.4126851851851858E-4</v>
      </c>
      <c r="BP15" s="97">
        <f t="shared" si="36"/>
        <v>9.2269444444444452E-4</v>
      </c>
      <c r="BQ15" s="98">
        <f t="shared" si="37"/>
        <v>9.026180555555556E-4</v>
      </c>
      <c r="BR15" s="116" t="str">
        <f t="shared" si="38"/>
        <v/>
      </c>
      <c r="BS15" s="102" t="str">
        <f t="shared" si="39"/>
        <v/>
      </c>
      <c r="BT15" s="97">
        <f t="shared" si="40"/>
        <v>8.6883333333333322E-4</v>
      </c>
      <c r="BU15" s="97">
        <f t="shared" si="41"/>
        <v>8.3227083333333341E-4</v>
      </c>
      <c r="BV15" s="98">
        <f t="shared" si="42"/>
        <v>8.0545833333333326E-4</v>
      </c>
      <c r="BW15" s="97" t="str">
        <f t="shared" si="43"/>
        <v/>
      </c>
      <c r="BX15" s="97" t="str">
        <f t="shared" si="44"/>
        <v/>
      </c>
      <c r="BY15" s="97" t="str">
        <f t="shared" si="45"/>
        <v/>
      </c>
      <c r="BZ15" s="98" t="str">
        <f t="shared" si="46"/>
        <v/>
      </c>
    </row>
    <row r="16" spans="1:78" ht="15" customHeight="1" x14ac:dyDescent="0.45">
      <c r="A16" s="177"/>
      <c r="B16" s="84" t="s">
        <v>222</v>
      </c>
      <c r="C16" s="97">
        <v>1.5960648148148149E-3</v>
      </c>
      <c r="D16" s="97">
        <v>1.5644675925925923E-3</v>
      </c>
      <c r="E16" s="98">
        <v>1.5181712962962961E-3</v>
      </c>
      <c r="F16" s="97">
        <v>1.522337962962963E-3</v>
      </c>
      <c r="G16" s="97">
        <v>1.4950231481481481E-3</v>
      </c>
      <c r="H16" s="97">
        <v>1.4697916666666666E-3</v>
      </c>
      <c r="I16" s="97">
        <v>1.4285879629629631E-3</v>
      </c>
      <c r="J16" s="98">
        <v>1.3815972222222222E-3</v>
      </c>
      <c r="K16" s="102">
        <v>1.4207175925925926E-3</v>
      </c>
      <c r="L16" s="102">
        <v>1.4011574074074074E-3</v>
      </c>
      <c r="M16" s="102">
        <v>1.377662037037037E-3</v>
      </c>
      <c r="N16" s="98">
        <v>1.3697916666666665E-3</v>
      </c>
      <c r="O16" s="97">
        <v>1.6878472222222221E-3</v>
      </c>
      <c r="P16" s="97">
        <v>1.6628472222222225E-3</v>
      </c>
      <c r="Q16" s="98">
        <v>1.637962962962963E-3</v>
      </c>
      <c r="R16" s="116">
        <v>1.644212962962963E-3</v>
      </c>
      <c r="S16" s="102">
        <v>1.6278935185185185E-3</v>
      </c>
      <c r="T16" s="97">
        <v>1.6129629629629632E-3</v>
      </c>
      <c r="U16" s="97">
        <v>1.5817129629629629E-3</v>
      </c>
      <c r="V16" s="98">
        <v>1.558912037037037E-3</v>
      </c>
      <c r="W16" s="97">
        <v>1.5829861111111112E-3</v>
      </c>
      <c r="X16" s="97">
        <v>1.570949074074074E-3</v>
      </c>
      <c r="Y16" s="97">
        <v>1.5564814814814814E-3</v>
      </c>
      <c r="Z16" s="98">
        <v>1.5517361111111109E-3</v>
      </c>
      <c r="AB16" s="84" t="s">
        <v>222</v>
      </c>
      <c r="AC16" s="166">
        <v>0.2</v>
      </c>
      <c r="AD16" s="166">
        <v>0.2</v>
      </c>
      <c r="AE16" s="167">
        <v>0.2</v>
      </c>
      <c r="AF16" s="166">
        <v>0</v>
      </c>
      <c r="AG16" s="166">
        <v>0</v>
      </c>
      <c r="AH16" s="166">
        <v>0.16</v>
      </c>
      <c r="AI16" s="166">
        <v>0.16</v>
      </c>
      <c r="AJ16" s="167">
        <v>0.16</v>
      </c>
      <c r="AK16" s="168">
        <v>0</v>
      </c>
      <c r="AL16" s="168">
        <v>0</v>
      </c>
      <c r="AM16" s="168">
        <v>0</v>
      </c>
      <c r="AN16" s="167">
        <v>0</v>
      </c>
      <c r="AO16" s="166">
        <v>0.18</v>
      </c>
      <c r="AP16" s="166">
        <v>0.18</v>
      </c>
      <c r="AQ16" s="167">
        <v>0.18</v>
      </c>
      <c r="AR16" s="171">
        <v>0</v>
      </c>
      <c r="AS16" s="168">
        <v>0</v>
      </c>
      <c r="AT16" s="166">
        <v>0.17</v>
      </c>
      <c r="AU16" s="166">
        <v>0.17</v>
      </c>
      <c r="AV16" s="167">
        <v>0.17</v>
      </c>
      <c r="AW16" s="166">
        <v>0</v>
      </c>
      <c r="AX16" s="166">
        <v>0</v>
      </c>
      <c r="AY16" s="166">
        <v>0</v>
      </c>
      <c r="AZ16" s="167">
        <v>0</v>
      </c>
      <c r="BB16" s="84" t="s">
        <v>222</v>
      </c>
      <c r="BC16" s="97">
        <f t="shared" si="47"/>
        <v>1.9152777777777779E-3</v>
      </c>
      <c r="BD16" s="97">
        <f t="shared" si="24"/>
        <v>1.8773611111111109E-3</v>
      </c>
      <c r="BE16" s="98">
        <f t="shared" si="25"/>
        <v>1.8218055555555552E-3</v>
      </c>
      <c r="BF16" s="97" t="str">
        <f t="shared" si="26"/>
        <v/>
      </c>
      <c r="BG16" s="97" t="str">
        <f t="shared" si="27"/>
        <v/>
      </c>
      <c r="BH16" s="97">
        <f t="shared" si="28"/>
        <v>1.7049583333333333E-3</v>
      </c>
      <c r="BI16" s="97">
        <f t="shared" si="29"/>
        <v>1.6571620370370373E-3</v>
      </c>
      <c r="BJ16" s="98">
        <f t="shared" si="30"/>
        <v>1.6026527777777777E-3</v>
      </c>
      <c r="BK16" s="102" t="str">
        <f t="shared" si="31"/>
        <v/>
      </c>
      <c r="BL16" s="102" t="str">
        <f t="shared" si="32"/>
        <v/>
      </c>
      <c r="BM16" s="102" t="str">
        <f t="shared" si="33"/>
        <v/>
      </c>
      <c r="BN16" s="98" t="str">
        <f t="shared" si="34"/>
        <v/>
      </c>
      <c r="BO16" s="97">
        <f t="shared" si="35"/>
        <v>1.9916597222222219E-3</v>
      </c>
      <c r="BP16" s="97">
        <f t="shared" si="36"/>
        <v>1.9621597222222223E-3</v>
      </c>
      <c r="BQ16" s="98">
        <f t="shared" si="37"/>
        <v>1.9327962962962964E-3</v>
      </c>
      <c r="BR16" s="116" t="str">
        <f t="shared" si="38"/>
        <v/>
      </c>
      <c r="BS16" s="102" t="str">
        <f t="shared" si="39"/>
        <v/>
      </c>
      <c r="BT16" s="97">
        <f t="shared" si="40"/>
        <v>1.887166666666667E-3</v>
      </c>
      <c r="BU16" s="97">
        <f t="shared" si="41"/>
        <v>1.8506041666666666E-3</v>
      </c>
      <c r="BV16" s="98">
        <f t="shared" si="42"/>
        <v>1.8239270833333334E-3</v>
      </c>
      <c r="BW16" s="97" t="str">
        <f t="shared" si="43"/>
        <v/>
      </c>
      <c r="BX16" s="97" t="str">
        <f t="shared" si="44"/>
        <v/>
      </c>
      <c r="BY16" s="97" t="str">
        <f t="shared" si="45"/>
        <v/>
      </c>
      <c r="BZ16" s="98" t="str">
        <f t="shared" si="46"/>
        <v/>
      </c>
    </row>
    <row r="17" spans="1:78" ht="14.65" thickBot="1" x14ac:dyDescent="0.5">
      <c r="A17" s="177"/>
      <c r="B17" s="95" t="s">
        <v>4</v>
      </c>
      <c r="C17" s="99">
        <v>1.7520833333333334E-3</v>
      </c>
      <c r="D17" s="99">
        <v>1.7156249999999999E-3</v>
      </c>
      <c r="E17" s="100">
        <v>1.662152777777778E-3</v>
      </c>
      <c r="F17" s="101">
        <v>1.6435185185185185E-3</v>
      </c>
      <c r="G17" s="99">
        <v>1.6241898148148146E-3</v>
      </c>
      <c r="H17" s="99">
        <v>1.60625E-3</v>
      </c>
      <c r="I17" s="99">
        <v>1.590625E-3</v>
      </c>
      <c r="J17" s="100">
        <v>1.5422453703703705E-3</v>
      </c>
      <c r="K17" s="99">
        <v>1.5498842592592593E-3</v>
      </c>
      <c r="L17" s="99">
        <v>1.5273148148148149E-3</v>
      </c>
      <c r="M17" s="99">
        <v>1.5002314814814815E-3</v>
      </c>
      <c r="N17" s="99">
        <v>1.4912037037037038E-3</v>
      </c>
      <c r="O17" s="101">
        <v>1.8891203703703704E-3</v>
      </c>
      <c r="P17" s="99">
        <v>1.8486111111111112E-3</v>
      </c>
      <c r="Q17" s="100">
        <v>1.8079861111111111E-3</v>
      </c>
      <c r="R17" s="99">
        <v>1.8180555555555554E-3</v>
      </c>
      <c r="S17" s="99">
        <v>1.7916666666666669E-3</v>
      </c>
      <c r="T17" s="99">
        <v>1.767361111111111E-3</v>
      </c>
      <c r="U17" s="99">
        <v>1.7174768518518518E-3</v>
      </c>
      <c r="V17" s="100">
        <v>1.6810185185185185E-3</v>
      </c>
      <c r="W17" s="101">
        <v>1.7194444444444444E-3</v>
      </c>
      <c r="X17" s="99">
        <v>1.7002314814814816E-3</v>
      </c>
      <c r="Y17" s="99">
        <v>1.677199074074074E-3</v>
      </c>
      <c r="Z17" s="100">
        <v>1.6695601851851852E-3</v>
      </c>
      <c r="AB17" s="95" t="s">
        <v>4</v>
      </c>
      <c r="AC17" s="172">
        <v>0.2</v>
      </c>
      <c r="AD17" s="172">
        <v>0.2</v>
      </c>
      <c r="AE17" s="173">
        <v>0.2</v>
      </c>
      <c r="AF17" s="174">
        <v>0</v>
      </c>
      <c r="AG17" s="172">
        <v>0</v>
      </c>
      <c r="AH17" s="172">
        <v>0.16</v>
      </c>
      <c r="AI17" s="172">
        <v>0.16</v>
      </c>
      <c r="AJ17" s="173">
        <v>0.16</v>
      </c>
      <c r="AK17" s="172">
        <v>0</v>
      </c>
      <c r="AL17" s="172">
        <v>0</v>
      </c>
      <c r="AM17" s="172">
        <v>0</v>
      </c>
      <c r="AN17" s="172">
        <v>0</v>
      </c>
      <c r="AO17" s="174">
        <v>0.18</v>
      </c>
      <c r="AP17" s="172">
        <v>0.18</v>
      </c>
      <c r="AQ17" s="173">
        <v>0.18</v>
      </c>
      <c r="AR17" s="172">
        <v>0</v>
      </c>
      <c r="AS17" s="172">
        <v>0</v>
      </c>
      <c r="AT17" s="172">
        <v>0.17</v>
      </c>
      <c r="AU17" s="172">
        <v>0.17</v>
      </c>
      <c r="AV17" s="173">
        <v>0.17</v>
      </c>
      <c r="AW17" s="174">
        <v>0</v>
      </c>
      <c r="AX17" s="172">
        <v>0</v>
      </c>
      <c r="AY17" s="172">
        <v>0</v>
      </c>
      <c r="AZ17" s="173">
        <v>0</v>
      </c>
      <c r="BB17" s="95" t="s">
        <v>4</v>
      </c>
      <c r="BC17" s="99">
        <f t="shared" si="47"/>
        <v>2.1025000000000002E-3</v>
      </c>
      <c r="BD17" s="99">
        <f t="shared" si="24"/>
        <v>2.0587499999999998E-3</v>
      </c>
      <c r="BE17" s="100">
        <f t="shared" si="25"/>
        <v>1.9945833333333335E-3</v>
      </c>
      <c r="BF17" s="101" t="str">
        <f t="shared" si="26"/>
        <v/>
      </c>
      <c r="BG17" s="99" t="str">
        <f t="shared" si="27"/>
        <v/>
      </c>
      <c r="BH17" s="99">
        <f t="shared" si="28"/>
        <v>1.8632500000000001E-3</v>
      </c>
      <c r="BI17" s="99">
        <f t="shared" si="29"/>
        <v>1.845125E-3</v>
      </c>
      <c r="BJ17" s="100">
        <f t="shared" si="30"/>
        <v>1.7890046296296298E-3</v>
      </c>
      <c r="BK17" s="99" t="str">
        <f t="shared" si="31"/>
        <v/>
      </c>
      <c r="BL17" s="99" t="str">
        <f t="shared" si="32"/>
        <v/>
      </c>
      <c r="BM17" s="99" t="str">
        <f t="shared" si="33"/>
        <v/>
      </c>
      <c r="BN17" s="99" t="str">
        <f t="shared" si="34"/>
        <v/>
      </c>
      <c r="BO17" s="101">
        <f t="shared" si="35"/>
        <v>2.2291620370370373E-3</v>
      </c>
      <c r="BP17" s="99">
        <f t="shared" si="36"/>
        <v>2.1813611111111113E-3</v>
      </c>
      <c r="BQ17" s="100">
        <f t="shared" si="37"/>
        <v>2.1334236111111111E-3</v>
      </c>
      <c r="BR17" s="99" t="str">
        <f t="shared" si="38"/>
        <v/>
      </c>
      <c r="BS17" s="99" t="str">
        <f t="shared" si="39"/>
        <v/>
      </c>
      <c r="BT17" s="99">
        <f t="shared" si="40"/>
        <v>2.0678124999999998E-3</v>
      </c>
      <c r="BU17" s="99">
        <f t="shared" si="41"/>
        <v>2.0094479166666668E-3</v>
      </c>
      <c r="BV17" s="100">
        <f t="shared" si="42"/>
        <v>1.9667916666666666E-3</v>
      </c>
      <c r="BW17" s="101" t="str">
        <f t="shared" si="43"/>
        <v/>
      </c>
      <c r="BX17" s="99" t="str">
        <f t="shared" si="44"/>
        <v/>
      </c>
      <c r="BY17" s="99" t="str">
        <f t="shared" si="45"/>
        <v/>
      </c>
      <c r="BZ17" s="100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AW10:AZ10"/>
    <mergeCell ref="K10:N10"/>
    <mergeCell ref="W10:Z10"/>
    <mergeCell ref="F1:J1"/>
    <mergeCell ref="K1:N1"/>
    <mergeCell ref="R1:V1"/>
    <mergeCell ref="W1:Z1"/>
    <mergeCell ref="C10:E10"/>
    <mergeCell ref="O10:Q10"/>
    <mergeCell ref="C1:E1"/>
    <mergeCell ref="O1:Q1"/>
    <mergeCell ref="F10:J10"/>
    <mergeCell ref="R10:V10"/>
  </mergeCells>
  <conditionalFormatting sqref="AC12:AZ17">
    <cfRule type="cellIs" dxfId="1" priority="2" operator="equal">
      <formula>0</formula>
    </cfRule>
  </conditionalFormatting>
  <conditionalFormatting sqref="AC3:AZ8">
    <cfRule type="cellIs" dxfId="0" priority="1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2026-02-09T04:46:24Z</dcterms:modified>
</cp:coreProperties>
</file>