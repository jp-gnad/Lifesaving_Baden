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0D496192-406E-4881-84E5-0AC548C3A637}" xr6:coauthVersionLast="47" xr6:coauthVersionMax="47" xr10:uidLastSave="{00000000-0000-0000-0000-000000000000}"/>
  <bookViews>
    <workbookView xWindow="-98" yWindow="-98" windowWidth="21795" windowHeight="12975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" i="14" l="1"/>
  <c r="Y19" i="14"/>
  <c r="X19" i="14"/>
  <c r="Z18" i="14"/>
  <c r="Y18" i="14"/>
  <c r="X18" i="14"/>
  <c r="Z17" i="14"/>
  <c r="Y17" i="14"/>
  <c r="X17" i="14"/>
  <c r="Z16" i="14"/>
  <c r="Y16" i="14"/>
  <c r="X16" i="14"/>
  <c r="Z15" i="14"/>
  <c r="Y15" i="14"/>
  <c r="X15" i="14"/>
  <c r="Z14" i="14"/>
  <c r="Y14" i="14"/>
  <c r="X14" i="14"/>
  <c r="T19" i="14"/>
  <c r="S19" i="14"/>
  <c r="R19" i="14"/>
  <c r="T18" i="14"/>
  <c r="S18" i="14"/>
  <c r="R18" i="14"/>
  <c r="T17" i="14"/>
  <c r="S17" i="14"/>
  <c r="R17" i="14"/>
  <c r="T16" i="14"/>
  <c r="S16" i="14"/>
  <c r="R16" i="14"/>
  <c r="T15" i="14"/>
  <c r="S15" i="14"/>
  <c r="R15" i="14"/>
  <c r="T14" i="14"/>
  <c r="S14" i="14"/>
  <c r="R14" i="14"/>
  <c r="X56" i="13"/>
  <c r="W56" i="13"/>
  <c r="V56" i="13"/>
  <c r="U56" i="13"/>
  <c r="T56" i="13"/>
  <c r="S56" i="13"/>
  <c r="R56" i="13"/>
  <c r="Q56" i="13"/>
  <c r="P56" i="13"/>
  <c r="O56" i="13"/>
  <c r="N56" i="13"/>
  <c r="M56" i="13"/>
  <c r="K19" i="14"/>
  <c r="J19" i="14"/>
  <c r="I19" i="14"/>
  <c r="Q42" i="13" s="1"/>
  <c r="W42" i="13" s="1"/>
  <c r="K18" i="14"/>
  <c r="R40" i="13" s="1"/>
  <c r="X40" i="13" s="1"/>
  <c r="J18" i="14"/>
  <c r="R41" i="13" s="1"/>
  <c r="X41" i="13" s="1"/>
  <c r="I18" i="14"/>
  <c r="R42" i="13" s="1"/>
  <c r="X42" i="13" s="1"/>
  <c r="K17" i="14"/>
  <c r="P40" i="13" s="1"/>
  <c r="V40" i="13" s="1"/>
  <c r="J17" i="14"/>
  <c r="I17" i="14"/>
  <c r="K16" i="14"/>
  <c r="N40" i="13" s="1"/>
  <c r="T40" i="13" s="1"/>
  <c r="J16" i="14"/>
  <c r="N41" i="13" s="1"/>
  <c r="T41" i="13" s="1"/>
  <c r="I16" i="14"/>
  <c r="N42" i="13" s="1"/>
  <c r="T42" i="13" s="1"/>
  <c r="K15" i="14"/>
  <c r="O40" i="13" s="1"/>
  <c r="U40" i="13" s="1"/>
  <c r="J15" i="14"/>
  <c r="O41" i="13" s="1"/>
  <c r="U41" i="13" s="1"/>
  <c r="I15" i="14"/>
  <c r="O42" i="13" s="1"/>
  <c r="U42" i="13" s="1"/>
  <c r="K14" i="14"/>
  <c r="M40" i="13" s="1"/>
  <c r="S40" i="13" s="1"/>
  <c r="J14" i="14"/>
  <c r="M41" i="13" s="1"/>
  <c r="S41" i="13" s="1"/>
  <c r="I14" i="14"/>
  <c r="M42" i="13" s="1"/>
  <c r="S42" i="13" s="1"/>
  <c r="E19" i="14"/>
  <c r="Q37" i="13" s="1"/>
  <c r="W37" i="13" s="1"/>
  <c r="D19" i="14"/>
  <c r="Q38" i="13" s="1"/>
  <c r="W38" i="13" s="1"/>
  <c r="C19" i="14"/>
  <c r="Q39" i="13" s="1"/>
  <c r="W39" i="13" s="1"/>
  <c r="E18" i="14"/>
  <c r="R37" i="13" s="1"/>
  <c r="X37" i="13" s="1"/>
  <c r="D18" i="14"/>
  <c r="R38" i="13" s="1"/>
  <c r="X38" i="13" s="1"/>
  <c r="C18" i="14"/>
  <c r="R39" i="13" s="1"/>
  <c r="X39" i="13" s="1"/>
  <c r="E17" i="14"/>
  <c r="P37" i="13" s="1"/>
  <c r="V37" i="13" s="1"/>
  <c r="D17" i="14"/>
  <c r="P38" i="13" s="1"/>
  <c r="V38" i="13" s="1"/>
  <c r="C17" i="14"/>
  <c r="P39" i="13" s="1"/>
  <c r="V39" i="13" s="1"/>
  <c r="E16" i="14"/>
  <c r="N37" i="13" s="1"/>
  <c r="T37" i="13" s="1"/>
  <c r="D16" i="14"/>
  <c r="N38" i="13" s="1"/>
  <c r="T38" i="13" s="1"/>
  <c r="C16" i="14"/>
  <c r="N39" i="13" s="1"/>
  <c r="T39" i="13" s="1"/>
  <c r="E15" i="14"/>
  <c r="O37" i="13" s="1"/>
  <c r="U37" i="13" s="1"/>
  <c r="D15" i="14"/>
  <c r="O38" i="13" s="1"/>
  <c r="U38" i="13" s="1"/>
  <c r="C15" i="14"/>
  <c r="O39" i="13" s="1"/>
  <c r="U39" i="13" s="1"/>
  <c r="E14" i="14"/>
  <c r="M37" i="13" s="1"/>
  <c r="S37" i="13" s="1"/>
  <c r="D14" i="14"/>
  <c r="M38" i="13" s="1"/>
  <c r="S38" i="13" s="1"/>
  <c r="C14" i="14"/>
  <c r="M39" i="13" s="1"/>
  <c r="S39" i="13" s="1"/>
  <c r="Q40" i="13"/>
  <c r="W40" i="13" s="1"/>
  <c r="Q41" i="13"/>
  <c r="W41" i="13" s="1"/>
  <c r="P41" i="13"/>
  <c r="V41" i="13" s="1"/>
  <c r="P42" i="13"/>
  <c r="V42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<sst xmlns="http://schemas.openxmlformats.org/spreadsheetml/2006/main" count="906" uniqueCount="258">
  <si>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</si>
  <si>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</si>
  <si>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</si>
  <si>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</si>
  <si>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</si>
  <si>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</si>
  <si>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</si>
  <si>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</si>
  <si>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</si>
  <si>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</si>
  <si>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</si>
  <si>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</si>
  <si>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</si>
  <si>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</si>
  <si>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</si>
  <si>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</si>
  <si>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</si>
  <si>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</si>
  <si>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</si>
  <si>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</si>
  <si>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</si>
  <si>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</si>
  <si>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</si>
  <si>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</si>
  <si>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</si>
  <si>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</si>
  <si>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</si>
  <si>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</si>
  <si>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</si>
  <si>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</si>
  <si>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</si>
  <si>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</si>
  <si>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</si>
  <si>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</si>
  <si>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</si>
  <si>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</si>
  <si>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</si>
  <si>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</si>
  <si>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</si>
  <si>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</si>
  <si>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</si>
  <si>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</si>
  <si>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</si>
  <si>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</si>
  <si>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</si>
  <si>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</si>
  <si>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</si>
  <si>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</si>
  <si>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</si>
  <si>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</si>
  <si>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</si>
  <si>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</si>
  <si>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</si>
  <si>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</si>
  <si>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</si>
  <si>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</si>
  <si>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</si>
  <si>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</si>
  <si>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</si>
  <si>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</si>
  <si>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</si>
  <si>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</si>
  <si>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</si>
  <si>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</si>
  <si>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</si>
  <si>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</si>
  <si>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</si>
  <si>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</si>
  <si>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</si>
  <si>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</si>
  <si>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</si>
  <si>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</si>
  <si>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</si>
  <si>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</si>
  <si>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</si>
  <si>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</si>
  <si>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</si>
  <si>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</si>
  <si>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</si>
  <si>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</si>
  <si>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</si>
  <si>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</si>
  <si>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</si>
  <si>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</si>
  <si>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</si>
  <si>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</si>
  <si>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</si>
  <si>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</si>
  <si>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</si>
  <si>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</si>
  <si>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</si>
  <si>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</si>
  <si>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</si>
  <si>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</si>
  <si>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</si>
  <si>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</si>
  <si>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</si>
  <si>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</si>
  <si>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</si>
  <si>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</si>
  <si>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</si>
  <si>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</si>
  <si>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</si>
  <si>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</si>
  <si>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</si>
  <si>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</si>
  <si>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</si>
  <si>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</si>
  <si>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</si>
  <si>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</si>
  <si>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</si>
  <si>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</si>
  <si>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</si>
  <si>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</si>
  <si>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</si>
  <si>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</si>
  <si>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</si>
  <si>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</si>
  <si>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</si>
  <si>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</si>
  <si>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</si>
  <si>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</si>
  <si>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</si>
  <si>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</si>
  <si>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</si>
  <si>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</si>
  <si>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</si>
  <si>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</si>
  <si>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</si>
  <si>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</si>
  <si>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</si>
  <si>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</si>
  <si>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</si>
  <si>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</si>
  <si>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</si>
  <si>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</si>
  <si>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</si>
  <si>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</si>
  <si>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</si>
  <si>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</si>
  <si>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</si>
  <si>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</si>
  <si>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</si>
  <si>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</si>
  <si>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</si>
  <si>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</si>
  <si>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</si>
  <si>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</si>
  <si>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</si>
  <si>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</si>
  <si>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</si>
  <si>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</si>
  <si>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</si>
  <si>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</si>
  <si>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</si>
  <si>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</si>
  <si>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</si>
  <si>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</si>
  <si>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</si>
  <si>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</si>
  <si>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</si>
  <si>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</si>
  <si>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</si>
  <si>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</si>
  <si>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</si>
  <si>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</si>
  <si>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</si>
  <si>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</si>
  <si>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</si>
  <si>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</si>
  <si>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</si>
  <si>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</si>
  <si>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</si>
  <si>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</si>
  <si>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</si>
  <si>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</si>
  <si>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</si>
  <si>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</si>
  <si>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</si>
  <si>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</si>
  <si>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</si>
  <si>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</si>
  <si>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</si>
  <si>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</si>
  <si>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</si>
  <si>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</si>
  <si>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</si>
  <si>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</si>
  <si>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</si>
  <si>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</si>
  <si>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</si>
  <si>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</si>
  <si>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</si>
  <si>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</si>
  <si>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</si>
  <si>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</si>
  <si>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</si>
  <si>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</si>
  <si>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</si>
  <si>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</si>
  <si>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</si>
  <si>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</si>
  <si>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</si>
  <si>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</si>
  <si>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</si>
  <si>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</si>
  <si>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</si>
  <si>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</si>
  <si>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</si>
  <si>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</si>
  <si>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</si>
  <si>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</si>
  <si>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</si>
  <si>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</si>
  <si>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</si>
  <si>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</si>
  <si>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</si>
  <si>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</si>
  <si>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</si>
  <si>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</si>
  <si>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</si>
  <si>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</si>
  <si>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</si>
  <si>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</si>
  <si>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</si>
  <si>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</si>
  <si>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</si>
  <si>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</si>
  <si>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</si>
  <si>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</si>
  <si>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</si>
  <si>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</si>
  <si>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</si>
  <si>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Test</t>
  </si>
  <si>
    <t>NK1 + 10% Frauen</t>
  </si>
  <si>
    <t>NK1 + 10% Männer</t>
  </si>
  <si>
    <t>NK1 Orginal M</t>
  </si>
  <si>
    <t>NK1 Orginal W</t>
  </si>
  <si>
    <t>&gt;2007</t>
  </si>
  <si>
    <t>2004-2006</t>
  </si>
  <si>
    <t>&lt;2006</t>
  </si>
  <si>
    <t>NK1 % M</t>
  </si>
  <si>
    <t>NK2 +25% Mäner</t>
  </si>
  <si>
    <t>NK2 +25% Frauen</t>
  </si>
  <si>
    <t>NK2 +27,5% Mäner</t>
  </si>
  <si>
    <t>NK2 +27,5% Frauen</t>
  </si>
  <si>
    <t>NK2 +30% Mäner</t>
  </si>
  <si>
    <t>NK2 +30% Frauen</t>
  </si>
  <si>
    <t>NK2 +22,5% Frauen</t>
  </si>
  <si>
    <t>NK2 +22,5% Mäner</t>
  </si>
  <si>
    <t>NK2 +20% Frauen</t>
  </si>
  <si>
    <t>NK2 +20% Mäner</t>
  </si>
  <si>
    <t>NK2 +17,5% Frauen</t>
  </si>
  <si>
    <t>NK2 +17,5% Mäner</t>
  </si>
  <si>
    <t>NK2 +15% Mäner</t>
  </si>
  <si>
    <t>NK2 +15% Frauen</t>
  </si>
  <si>
    <t>NK2 +12,5% Mäner</t>
  </si>
  <si>
    <t>NK2 +12,5% Frauen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</si>
</sst>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62" totalsRowShown="0" headerRowDxfId="43" dataDxfId="42">
  <autoFilter ref="A1:X62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62"/>
  <sheetViews>
    <sheetView topLeftCell="J32" workbookViewId="0">
      <selection activeCell="M46" sqref="M46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/>
      <c r="B4" s="59"/>
      <c r="C4" s="59"/>
      <c r="D4" s="59"/>
      <c r="E4" s="61"/>
      <c r="F4" s="61"/>
      <c r="G4" s="61"/>
      <c r="H4" s="59"/>
      <c r="I4" s="59"/>
      <c r="J4" s="59"/>
      <c r="K4" s="59"/>
      <c r="L4" s="59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</row>
    <row r="5" spans="1:24" x14ac:dyDescent="0.45">
      <c r="A5" s="59"/>
      <c r="B5" s="59"/>
      <c r="C5" s="59"/>
      <c r="D5" s="59"/>
      <c r="E5" s="61"/>
      <c r="F5" s="61"/>
      <c r="G5" s="61"/>
      <c r="H5" s="59"/>
      <c r="I5" s="59"/>
      <c r="J5" s="59"/>
      <c r="K5" s="59"/>
      <c r="L5" s="59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</row>
    <row r="6" spans="1:24" x14ac:dyDescent="0.45">
      <c r="A6" s="59"/>
      <c r="B6" s="59"/>
      <c r="C6" s="59"/>
      <c r="D6" s="59"/>
      <c r="E6" s="61"/>
      <c r="F6" s="61"/>
      <c r="G6" s="61"/>
      <c r="H6" s="59"/>
      <c r="I6" s="59"/>
      <c r="J6" s="59"/>
      <c r="K6" s="59"/>
      <c r="L6" s="59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</row>
    <row r="7" spans="1:24" x14ac:dyDescent="0.45">
      <c r="A7" s="59" t="s">
        <v>256</v>
      </c>
      <c r="B7" s="59" t="s">
        <v>182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4.1197916666666667E-4</v>
      </c>
      <c r="N7" s="62">
        <v>6.5169270833333333E-4</v>
      </c>
      <c r="O7" s="62">
        <v>8.8528645833333319E-4</v>
      </c>
      <c r="P7" s="62">
        <v>7.4244791666666665E-4</v>
      </c>
      <c r="Q7" s="62">
        <v>1.8355468749999999E-3</v>
      </c>
      <c r="R7" s="62">
        <v>1.6794270833333331E-3</v>
      </c>
      <c r="S7" s="62">
        <v>4.1197916666666667E-4</v>
      </c>
      <c r="T7" s="62">
        <v>6.5169270833333333E-4</v>
      </c>
      <c r="U7" s="62">
        <v>8.8528645833333319E-4</v>
      </c>
      <c r="V7" s="62">
        <v>7.4244791666666665E-4</v>
      </c>
      <c r="W7" s="62">
        <v>1.8355468749999999E-3</v>
      </c>
      <c r="X7" s="62">
        <v>1.6794270833333331E-3</v>
      </c>
    </row>
    <row r="8" spans="1:24" x14ac:dyDescent="0.45">
      <c r="A8" s="59" t="s">
        <v>256</v>
      </c>
      <c r="B8" s="59" t="s">
        <v>182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v>4.1653645833333332E-4</v>
      </c>
      <c r="N8" s="62">
        <v>6.5807291666666672E-4</v>
      </c>
      <c r="O8" s="62">
        <v>8.981770833333334E-4</v>
      </c>
      <c r="P8" s="62">
        <v>7.5846354166666673E-4</v>
      </c>
      <c r="Q8" s="62">
        <v>1.8572916666666664E-3</v>
      </c>
      <c r="R8" s="62">
        <v>1.69921875E-3</v>
      </c>
      <c r="S8" s="62">
        <v>4.1653645833333332E-4</v>
      </c>
      <c r="T8" s="62">
        <v>6.5807291666666672E-4</v>
      </c>
      <c r="U8" s="62">
        <v>8.981770833333334E-4</v>
      </c>
      <c r="V8" s="62">
        <v>7.5846354166666673E-4</v>
      </c>
      <c r="W8" s="62">
        <v>1.8572916666666664E-3</v>
      </c>
      <c r="X8" s="62">
        <v>1.69921875E-3</v>
      </c>
    </row>
    <row r="9" spans="1:24" x14ac:dyDescent="0.45">
      <c r="A9" s="59" t="s">
        <v>256</v>
      </c>
      <c r="B9" s="59" t="s">
        <v>182</v>
      </c>
      <c r="C9" s="59">
        <v>12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v>4.2057291666666664E-4</v>
      </c>
      <c r="N9" s="62">
        <v>6.6406250000000005E-4</v>
      </c>
      <c r="O9" s="62">
        <v>9.1015625000000016E-4</v>
      </c>
      <c r="P9" s="62">
        <v>7.731770833333334E-4</v>
      </c>
      <c r="Q9" s="62">
        <v>1.8774739583333334E-3</v>
      </c>
      <c r="R9" s="62">
        <v>1.7174479166666668E-3</v>
      </c>
      <c r="S9" s="62">
        <v>4.2057291666666664E-4</v>
      </c>
      <c r="T9" s="62">
        <v>6.6406250000000005E-4</v>
      </c>
      <c r="U9" s="62">
        <v>9.1015625000000016E-4</v>
      </c>
      <c r="V9" s="62">
        <v>7.731770833333334E-4</v>
      </c>
      <c r="W9" s="62">
        <v>1.8774739583333334E-3</v>
      </c>
      <c r="X9" s="62">
        <v>1.7174479166666668E-3</v>
      </c>
    </row>
    <row r="10" spans="1:24" x14ac:dyDescent="0.45">
      <c r="A10" s="59" t="s">
        <v>257</v>
      </c>
      <c r="B10" s="59" t="s">
        <v>164</v>
      </c>
      <c r="C10" s="59">
        <v>18</v>
      </c>
      <c r="D10" s="59">
        <v>18</v>
      </c>
      <c r="E10" s="61">
        <v>45658</v>
      </c>
      <c r="F10" s="61">
        <v>46023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v>5.096354166666667E-4</v>
      </c>
      <c r="N10" s="62">
        <v>7.6692708333333333E-4</v>
      </c>
      <c r="O10" s="62">
        <v>1.0372395833333334E-3</v>
      </c>
      <c r="P10" s="62">
        <v>8.5182291666666664E-4</v>
      </c>
      <c r="Q10" s="62">
        <v>2.0078124999999996E-3</v>
      </c>
      <c r="R10" s="62">
        <v>1.8236979166666666E-3</v>
      </c>
      <c r="S10" s="62">
        <v>5.096354166666667E-4</v>
      </c>
      <c r="T10" s="62">
        <v>7.6692708333333333E-4</v>
      </c>
      <c r="U10" s="62">
        <v>1.0372395833333334E-3</v>
      </c>
      <c r="V10" s="62">
        <v>8.5182291666666664E-4</v>
      </c>
      <c r="W10" s="62">
        <v>2.0078124999999996E-3</v>
      </c>
      <c r="X10" s="62">
        <v>1.8236979166666666E-3</v>
      </c>
    </row>
    <row r="11" spans="1:24" x14ac:dyDescent="0.45">
      <c r="A11" s="59" t="s">
        <v>257</v>
      </c>
      <c r="B11" s="59" t="s">
        <v>164</v>
      </c>
      <c r="C11" s="59">
        <v>17</v>
      </c>
      <c r="D11" s="59">
        <v>17</v>
      </c>
      <c r="E11" s="61">
        <v>45658</v>
      </c>
      <c r="F11" s="61">
        <v>46023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v>5.1992187499999998E-4</v>
      </c>
      <c r="N11" s="62">
        <v>7.7565104166666668E-4</v>
      </c>
      <c r="O11" s="62">
        <v>1.0558593750000002E-3</v>
      </c>
      <c r="P11" s="62">
        <v>8.6432291666666656E-4</v>
      </c>
      <c r="Q11" s="62">
        <v>2.0226562500000001E-3</v>
      </c>
      <c r="R11" s="62">
        <v>1.8305989583333334E-3</v>
      </c>
      <c r="S11" s="62">
        <v>5.1992187499999998E-4</v>
      </c>
      <c r="T11" s="62">
        <v>7.7565104166666668E-4</v>
      </c>
      <c r="U11" s="62">
        <v>1.0558593750000002E-3</v>
      </c>
      <c r="V11" s="62">
        <v>8.6432291666666656E-4</v>
      </c>
      <c r="W11" s="62">
        <v>2.0226562500000001E-3</v>
      </c>
      <c r="X11" s="62">
        <v>1.8305989583333334E-3</v>
      </c>
    </row>
    <row r="12" spans="1:24" x14ac:dyDescent="0.45">
      <c r="A12" s="59" t="s">
        <v>257</v>
      </c>
      <c r="B12" s="59" t="s">
        <v>164</v>
      </c>
      <c r="C12" s="59">
        <v>12</v>
      </c>
      <c r="D12" s="59">
        <v>16</v>
      </c>
      <c r="E12" s="61">
        <v>45658</v>
      </c>
      <c r="F12" s="61">
        <v>46023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v>5.2968749999999999E-4</v>
      </c>
      <c r="N12" s="62">
        <v>7.8372395833333332E-4</v>
      </c>
      <c r="O12" s="62">
        <v>1.073046875E-3</v>
      </c>
      <c r="P12" s="62">
        <v>8.7578125000000004E-4</v>
      </c>
      <c r="Q12" s="62">
        <v>2.0364583333333333E-3</v>
      </c>
      <c r="R12" s="62">
        <v>1.8369791666666664E-3</v>
      </c>
      <c r="S12" s="62">
        <v>5.2968749999999999E-4</v>
      </c>
      <c r="T12" s="62">
        <v>7.8372395833333332E-4</v>
      </c>
      <c r="U12" s="62">
        <v>1.073046875E-3</v>
      </c>
      <c r="V12" s="62">
        <v>8.7578125000000004E-4</v>
      </c>
      <c r="W12" s="62">
        <v>2.0364583333333333E-3</v>
      </c>
      <c r="X12" s="62">
        <v>1.8369791666666664E-3</v>
      </c>
    </row>
    <row r="13" spans="1:24" x14ac:dyDescent="0.45">
      <c r="A13" s="59" t="s">
        <v>254</v>
      </c>
      <c r="B13" s="59" t="s">
        <v>182</v>
      </c>
      <c r="C13" s="59">
        <v>18</v>
      </c>
      <c r="D13" s="59">
        <v>18</v>
      </c>
      <c r="E13" s="61">
        <v>45658</v>
      </c>
      <c r="F13" s="61">
        <v>46023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v>4.2113425925925923E-4</v>
      </c>
      <c r="N13" s="62">
        <v>6.6617476851851842E-4</v>
      </c>
      <c r="O13" s="62">
        <v>9.0495949074074057E-4</v>
      </c>
      <c r="P13" s="62">
        <v>7.5894675925925923E-4</v>
      </c>
      <c r="Q13" s="62">
        <v>1.8763368055555554E-3</v>
      </c>
      <c r="R13" s="62">
        <v>1.7167476851851849E-3</v>
      </c>
      <c r="S13" s="62">
        <v>4.2113425925925923E-4</v>
      </c>
      <c r="T13" s="62">
        <v>6.6617476851851842E-4</v>
      </c>
      <c r="U13" s="62">
        <v>9.0495949074074057E-4</v>
      </c>
      <c r="V13" s="62">
        <v>7.5894675925925923E-4</v>
      </c>
      <c r="W13" s="62">
        <v>1.8763368055555554E-3</v>
      </c>
      <c r="X13" s="62">
        <v>1.7167476851851849E-3</v>
      </c>
    </row>
    <row r="14" spans="1:24" x14ac:dyDescent="0.45">
      <c r="A14" s="59" t="s">
        <v>254</v>
      </c>
      <c r="B14" s="59" t="s">
        <v>182</v>
      </c>
      <c r="C14" s="59">
        <v>17</v>
      </c>
      <c r="D14" s="59">
        <v>17</v>
      </c>
      <c r="E14" s="61">
        <v>45658</v>
      </c>
      <c r="F14" s="61">
        <v>46023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v>4.2579282407407404E-4</v>
      </c>
      <c r="N14" s="62">
        <v>6.7269675925925928E-4</v>
      </c>
      <c r="O14" s="62">
        <v>9.1813657407407404E-4</v>
      </c>
      <c r="P14" s="62">
        <v>7.7531828703703703E-4</v>
      </c>
      <c r="Q14" s="62">
        <v>1.8985648148148143E-3</v>
      </c>
      <c r="R14" s="62">
        <v>1.7369791666666664E-3</v>
      </c>
      <c r="S14" s="62">
        <v>4.2579282407407404E-4</v>
      </c>
      <c r="T14" s="62">
        <v>6.7269675925925928E-4</v>
      </c>
      <c r="U14" s="62">
        <v>9.1813657407407404E-4</v>
      </c>
      <c r="V14" s="62">
        <v>7.7531828703703703E-4</v>
      </c>
      <c r="W14" s="62">
        <v>1.8985648148148143E-3</v>
      </c>
      <c r="X14" s="62">
        <v>1.7369791666666664E-3</v>
      </c>
    </row>
    <row r="15" spans="1:24" x14ac:dyDescent="0.45">
      <c r="A15" s="59" t="s">
        <v>254</v>
      </c>
      <c r="B15" s="59" t="s">
        <v>182</v>
      </c>
      <c r="C15" s="59">
        <v>12</v>
      </c>
      <c r="D15" s="59">
        <v>16</v>
      </c>
      <c r="E15" s="61">
        <v>45658</v>
      </c>
      <c r="F15" s="61">
        <v>46023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v>4.2991898148148143E-4</v>
      </c>
      <c r="N15" s="62">
        <v>6.7881944444444435E-4</v>
      </c>
      <c r="O15" s="62">
        <v>9.3038194444444451E-4</v>
      </c>
      <c r="P15" s="62">
        <v>7.9035879629629627E-4</v>
      </c>
      <c r="Q15" s="62">
        <v>1.9191956018518516E-3</v>
      </c>
      <c r="R15" s="62">
        <v>1.7556134259259259E-3</v>
      </c>
      <c r="S15" s="62">
        <v>4.2991898148148143E-4</v>
      </c>
      <c r="T15" s="62">
        <v>6.7881944444444435E-4</v>
      </c>
      <c r="U15" s="62">
        <v>9.3038194444444451E-4</v>
      </c>
      <c r="V15" s="62">
        <v>7.9035879629629627E-4</v>
      </c>
      <c r="W15" s="62">
        <v>1.9191956018518516E-3</v>
      </c>
      <c r="X15" s="62">
        <v>1.7556134259259259E-3</v>
      </c>
    </row>
    <row r="16" spans="1:24" x14ac:dyDescent="0.45">
      <c r="A16" s="59" t="s">
        <v>255</v>
      </c>
      <c r="B16" s="59" t="s">
        <v>164</v>
      </c>
      <c r="C16" s="59">
        <v>18</v>
      </c>
      <c r="D16" s="59">
        <v>18</v>
      </c>
      <c r="E16" s="61">
        <v>45658</v>
      </c>
      <c r="F16" s="61">
        <v>46023</v>
      </c>
      <c r="G16" s="61">
        <v>45658</v>
      </c>
      <c r="H16" s="59" t="s">
        <v>178</v>
      </c>
      <c r="I16" s="59" t="s">
        <v>180</v>
      </c>
      <c r="J16" s="59"/>
      <c r="K16" s="59"/>
      <c r="L16" s="59">
        <v>10</v>
      </c>
      <c r="M16" s="62">
        <v>5.2096064814814811E-4</v>
      </c>
      <c r="N16" s="62">
        <v>7.8396990740740738E-4</v>
      </c>
      <c r="O16" s="62">
        <v>1.0602893518518518E-3</v>
      </c>
      <c r="P16" s="62">
        <v>8.7075231481481476E-4</v>
      </c>
      <c r="Q16" s="62">
        <v>2.0524305555555552E-3</v>
      </c>
      <c r="R16" s="62">
        <v>1.8642245370370368E-3</v>
      </c>
      <c r="S16" s="62">
        <v>5.2096064814814811E-4</v>
      </c>
      <c r="T16" s="62">
        <v>7.8396990740740738E-4</v>
      </c>
      <c r="U16" s="62">
        <v>1.0602893518518518E-3</v>
      </c>
      <c r="V16" s="62">
        <v>8.7075231481481476E-4</v>
      </c>
      <c r="W16" s="62">
        <v>2.0524305555555552E-3</v>
      </c>
      <c r="X16" s="62">
        <v>1.8642245370370368E-3</v>
      </c>
    </row>
    <row r="17" spans="1:24" x14ac:dyDescent="0.45">
      <c r="A17" s="59" t="s">
        <v>255</v>
      </c>
      <c r="B17" s="59" t="s">
        <v>164</v>
      </c>
      <c r="C17" s="59">
        <v>17</v>
      </c>
      <c r="D17" s="59">
        <v>17</v>
      </c>
      <c r="E17" s="61">
        <v>45658</v>
      </c>
      <c r="F17" s="61">
        <v>46023</v>
      </c>
      <c r="G17" s="61">
        <v>45658</v>
      </c>
      <c r="H17" s="59" t="s">
        <v>178</v>
      </c>
      <c r="I17" s="59" t="s">
        <v>180</v>
      </c>
      <c r="J17" s="59"/>
      <c r="K17" s="59"/>
      <c r="L17" s="59">
        <v>10</v>
      </c>
      <c r="M17" s="62">
        <v>5.3147569444444444E-4</v>
      </c>
      <c r="N17" s="62">
        <v>7.9288773148148144E-4</v>
      </c>
      <c r="O17" s="62">
        <v>1.0793229166666666E-3</v>
      </c>
      <c r="P17" s="62">
        <v>8.8353009259259244E-4</v>
      </c>
      <c r="Q17" s="62">
        <v>2.0676041666666664E-3</v>
      </c>
      <c r="R17" s="62">
        <v>1.871278935185185E-3</v>
      </c>
      <c r="S17" s="62">
        <v>5.3147569444444444E-4</v>
      </c>
      <c r="T17" s="62">
        <v>7.9288773148148144E-4</v>
      </c>
      <c r="U17" s="62">
        <v>1.0793229166666666E-3</v>
      </c>
      <c r="V17" s="62">
        <v>8.8353009259259244E-4</v>
      </c>
      <c r="W17" s="62">
        <v>2.0676041666666664E-3</v>
      </c>
      <c r="X17" s="62">
        <v>1.871278935185185E-3</v>
      </c>
    </row>
    <row r="18" spans="1:24" x14ac:dyDescent="0.45">
      <c r="A18" s="59" t="s">
        <v>255</v>
      </c>
      <c r="B18" s="59" t="s">
        <v>164</v>
      </c>
      <c r="C18" s="59">
        <v>12</v>
      </c>
      <c r="D18" s="59">
        <v>16</v>
      </c>
      <c r="E18" s="61">
        <v>45658</v>
      </c>
      <c r="F18" s="61">
        <v>46023</v>
      </c>
      <c r="G18" s="61">
        <v>45658</v>
      </c>
      <c r="H18" s="59" t="s">
        <v>178</v>
      </c>
      <c r="I18" s="59" t="s">
        <v>180</v>
      </c>
      <c r="J18" s="59"/>
      <c r="K18" s="59"/>
      <c r="L18" s="59">
        <v>10</v>
      </c>
      <c r="M18" s="62">
        <v>5.4145833333333324E-4</v>
      </c>
      <c r="N18" s="62">
        <v>8.0114004629629621E-4</v>
      </c>
      <c r="O18" s="62">
        <v>1.096892361111111E-3</v>
      </c>
      <c r="P18" s="62">
        <v>8.9524305555555559E-4</v>
      </c>
      <c r="Q18" s="62">
        <v>2.0817129629629627E-3</v>
      </c>
      <c r="R18" s="62">
        <v>1.8778009259259256E-3</v>
      </c>
      <c r="S18" s="62">
        <v>5.4145833333333324E-4</v>
      </c>
      <c r="T18" s="62">
        <v>8.0114004629629621E-4</v>
      </c>
      <c r="U18" s="62">
        <v>1.096892361111111E-3</v>
      </c>
      <c r="V18" s="62">
        <v>8.9524305555555559E-4</v>
      </c>
      <c r="W18" s="62">
        <v>2.0817129629629627E-3</v>
      </c>
      <c r="X18" s="62">
        <v>1.8778009259259256E-3</v>
      </c>
    </row>
    <row r="19" spans="1:24" x14ac:dyDescent="0.45">
      <c r="A19" s="59" t="s">
        <v>253</v>
      </c>
      <c r="B19" s="59" t="s">
        <v>182</v>
      </c>
      <c r="C19" s="59">
        <v>18</v>
      </c>
      <c r="D19" s="59">
        <v>18</v>
      </c>
      <c r="E19" s="61">
        <v>45658</v>
      </c>
      <c r="F19" s="61">
        <v>46023</v>
      </c>
      <c r="G19" s="61">
        <v>45658</v>
      </c>
      <c r="H19" s="59" t="s">
        <v>178</v>
      </c>
      <c r="I19" s="59" t="s">
        <v>180</v>
      </c>
      <c r="J19" s="59"/>
      <c r="K19" s="59"/>
      <c r="L19" s="59">
        <v>10</v>
      </c>
      <c r="M19" s="62">
        <v>4.3028935185185189E-4</v>
      </c>
      <c r="N19" s="62">
        <v>6.8065682870370372E-4</v>
      </c>
      <c r="O19" s="62">
        <v>9.2463252314814806E-4</v>
      </c>
      <c r="P19" s="62">
        <v>7.7544560185185192E-4</v>
      </c>
      <c r="Q19" s="62">
        <v>1.9171267361111112E-3</v>
      </c>
      <c r="R19" s="62">
        <v>1.7540682870370368E-3</v>
      </c>
      <c r="S19" s="62">
        <v>4.3028935185185189E-4</v>
      </c>
      <c r="T19" s="62">
        <v>6.8065682870370372E-4</v>
      </c>
      <c r="U19" s="62">
        <v>9.2463252314814806E-4</v>
      </c>
      <c r="V19" s="62">
        <v>7.7544560185185192E-4</v>
      </c>
      <c r="W19" s="62">
        <v>1.9171267361111112E-3</v>
      </c>
      <c r="X19" s="62">
        <v>1.7540682870370368E-3</v>
      </c>
    </row>
    <row r="20" spans="1:24" x14ac:dyDescent="0.45">
      <c r="A20" s="59" t="s">
        <v>253</v>
      </c>
      <c r="B20" s="59" t="s">
        <v>182</v>
      </c>
      <c r="C20" s="59">
        <v>17</v>
      </c>
      <c r="D20" s="59">
        <v>17</v>
      </c>
      <c r="E20" s="61">
        <v>45658</v>
      </c>
      <c r="F20" s="61">
        <v>46023</v>
      </c>
      <c r="G20" s="61">
        <v>45658</v>
      </c>
      <c r="H20" s="59" t="s">
        <v>178</v>
      </c>
      <c r="I20" s="59" t="s">
        <v>180</v>
      </c>
      <c r="J20" s="59"/>
      <c r="K20" s="59"/>
      <c r="L20" s="59">
        <v>10</v>
      </c>
      <c r="M20" s="62">
        <v>4.3504918981481481E-4</v>
      </c>
      <c r="N20" s="62">
        <v>6.8732060185185194E-4</v>
      </c>
      <c r="O20" s="62">
        <v>9.3809606481481489E-4</v>
      </c>
      <c r="P20" s="62">
        <v>7.9217303240740745E-4</v>
      </c>
      <c r="Q20" s="62">
        <v>1.9398379629629629E-3</v>
      </c>
      <c r="R20" s="62">
        <v>1.7747395833333335E-3</v>
      </c>
      <c r="S20" s="62">
        <v>4.3504918981481481E-4</v>
      </c>
      <c r="T20" s="62">
        <v>6.8732060185185194E-4</v>
      </c>
      <c r="U20" s="62">
        <v>9.3809606481481489E-4</v>
      </c>
      <c r="V20" s="62">
        <v>7.9217303240740745E-4</v>
      </c>
      <c r="W20" s="62">
        <v>1.9398379629629629E-3</v>
      </c>
      <c r="X20" s="62">
        <v>1.7747395833333335E-3</v>
      </c>
    </row>
    <row r="21" spans="1:24" x14ac:dyDescent="0.45">
      <c r="A21" s="59" t="s">
        <v>253</v>
      </c>
      <c r="B21" s="59" t="s">
        <v>182</v>
      </c>
      <c r="C21" s="59">
        <v>12</v>
      </c>
      <c r="D21" s="59">
        <v>16</v>
      </c>
      <c r="E21" s="61">
        <v>45658</v>
      </c>
      <c r="F21" s="61">
        <v>46023</v>
      </c>
      <c r="G21" s="61">
        <v>45658</v>
      </c>
      <c r="H21" s="59" t="s">
        <v>178</v>
      </c>
      <c r="I21" s="59" t="s">
        <v>180</v>
      </c>
      <c r="J21" s="59"/>
      <c r="K21" s="59"/>
      <c r="L21" s="59">
        <v>10</v>
      </c>
      <c r="M21" s="62">
        <v>4.3926504629629627E-4</v>
      </c>
      <c r="N21" s="62">
        <v>6.9357638888888897E-4</v>
      </c>
      <c r="O21" s="62">
        <v>9.5060763888888907E-4</v>
      </c>
      <c r="P21" s="62">
        <v>8.0754050925925937E-4</v>
      </c>
      <c r="Q21" s="62">
        <v>1.9609172453703702E-3</v>
      </c>
      <c r="R21" s="62">
        <v>1.7937789351851854E-3</v>
      </c>
      <c r="S21" s="62">
        <v>4.3926504629629627E-4</v>
      </c>
      <c r="T21" s="62">
        <v>6.9357638888888897E-4</v>
      </c>
      <c r="U21" s="62">
        <v>9.5060763888888907E-4</v>
      </c>
      <c r="V21" s="62">
        <v>8.0754050925925937E-4</v>
      </c>
      <c r="W21" s="62">
        <v>1.9609172453703702E-3</v>
      </c>
      <c r="X21" s="62">
        <v>1.7937789351851854E-3</v>
      </c>
    </row>
    <row r="22" spans="1:24" x14ac:dyDescent="0.45">
      <c r="A22" s="59" t="s">
        <v>252</v>
      </c>
      <c r="B22" s="59" t="s">
        <v>164</v>
      </c>
      <c r="C22" s="59">
        <v>18</v>
      </c>
      <c r="D22" s="59">
        <v>18</v>
      </c>
      <c r="E22" s="61">
        <v>45658</v>
      </c>
      <c r="F22" s="61">
        <v>46023</v>
      </c>
      <c r="G22" s="61">
        <v>45658</v>
      </c>
      <c r="H22" s="59" t="s">
        <v>178</v>
      </c>
      <c r="I22" s="59" t="s">
        <v>180</v>
      </c>
      <c r="J22" s="59"/>
      <c r="K22" s="59"/>
      <c r="L22" s="59">
        <v>10</v>
      </c>
      <c r="M22" s="62">
        <v>5.3228587962962962E-4</v>
      </c>
      <c r="N22" s="62">
        <v>8.0101273148148154E-4</v>
      </c>
      <c r="O22" s="62">
        <v>1.0833391203703704E-3</v>
      </c>
      <c r="P22" s="62">
        <v>8.89681712962963E-4</v>
      </c>
      <c r="Q22" s="62">
        <v>2.0970486111111112E-3</v>
      </c>
      <c r="R22" s="62">
        <v>1.9047511574074075E-3</v>
      </c>
      <c r="S22" s="62">
        <v>5.3228587962962962E-4</v>
      </c>
      <c r="T22" s="62">
        <v>8.0101273148148154E-4</v>
      </c>
      <c r="U22" s="62">
        <v>1.0833391203703704E-3</v>
      </c>
      <c r="V22" s="62">
        <v>8.89681712962963E-4</v>
      </c>
      <c r="W22" s="62">
        <v>2.0970486111111112E-3</v>
      </c>
      <c r="X22" s="62">
        <v>1.9047511574074075E-3</v>
      </c>
    </row>
    <row r="23" spans="1:24" x14ac:dyDescent="0.45">
      <c r="A23" s="59" t="s">
        <v>252</v>
      </c>
      <c r="B23" s="59" t="s">
        <v>164</v>
      </c>
      <c r="C23" s="59">
        <v>17</v>
      </c>
      <c r="D23" s="59">
        <v>17</v>
      </c>
      <c r="E23" s="61">
        <v>45658</v>
      </c>
      <c r="F23" s="61">
        <v>46023</v>
      </c>
      <c r="G23" s="61">
        <v>45658</v>
      </c>
      <c r="H23" s="59" t="s">
        <v>178</v>
      </c>
      <c r="I23" s="59" t="s">
        <v>180</v>
      </c>
      <c r="J23" s="59"/>
      <c r="K23" s="59"/>
      <c r="L23" s="59">
        <v>10</v>
      </c>
      <c r="M23" s="62">
        <v>5.430295138888889E-4</v>
      </c>
      <c r="N23" s="62">
        <v>8.1012442129629642E-4</v>
      </c>
      <c r="O23" s="62">
        <v>1.1027864583333334E-3</v>
      </c>
      <c r="P23" s="62">
        <v>9.0273726851851843E-4</v>
      </c>
      <c r="Q23" s="62">
        <v>2.1125520833333335E-3</v>
      </c>
      <c r="R23" s="62">
        <v>1.9119589120370371E-3</v>
      </c>
      <c r="S23" s="62">
        <v>5.430295138888889E-4</v>
      </c>
      <c r="T23" s="62">
        <v>8.1012442129629642E-4</v>
      </c>
      <c r="U23" s="62">
        <v>1.1027864583333334E-3</v>
      </c>
      <c r="V23" s="62">
        <v>9.0273726851851843E-4</v>
      </c>
      <c r="W23" s="62">
        <v>2.1125520833333335E-3</v>
      </c>
      <c r="X23" s="62">
        <v>1.9119589120370371E-3</v>
      </c>
    </row>
    <row r="24" spans="1:24" x14ac:dyDescent="0.45">
      <c r="A24" s="59" t="s">
        <v>252</v>
      </c>
      <c r="B24" s="59" t="s">
        <v>164</v>
      </c>
      <c r="C24" s="59">
        <v>12</v>
      </c>
      <c r="D24" s="59">
        <v>16</v>
      </c>
      <c r="E24" s="61">
        <v>45658</v>
      </c>
      <c r="F24" s="61">
        <v>46023</v>
      </c>
      <c r="G24" s="61">
        <v>45658</v>
      </c>
      <c r="H24" s="59" t="s">
        <v>178</v>
      </c>
      <c r="I24" s="59" t="s">
        <v>180</v>
      </c>
      <c r="J24" s="59"/>
      <c r="K24" s="59"/>
      <c r="L24" s="59">
        <v>10</v>
      </c>
      <c r="M24" s="62">
        <v>5.532291666666666E-4</v>
      </c>
      <c r="N24" s="62">
        <v>8.1855613425925932E-4</v>
      </c>
      <c r="O24" s="62">
        <v>1.1207378472222222E-3</v>
      </c>
      <c r="P24" s="62">
        <v>9.1470486111111125E-4</v>
      </c>
      <c r="Q24" s="62">
        <v>2.1269675925925926E-3</v>
      </c>
      <c r="R24" s="62">
        <v>1.9186226851851851E-3</v>
      </c>
      <c r="S24" s="62">
        <v>5.532291666666666E-4</v>
      </c>
      <c r="T24" s="62">
        <v>8.1855613425925932E-4</v>
      </c>
      <c r="U24" s="62">
        <v>1.1207378472222222E-3</v>
      </c>
      <c r="V24" s="62">
        <v>9.1470486111111125E-4</v>
      </c>
      <c r="W24" s="62">
        <v>2.1269675925925926E-3</v>
      </c>
      <c r="X24" s="62">
        <v>1.9186226851851851E-3</v>
      </c>
    </row>
    <row r="25" spans="1:24" x14ac:dyDescent="0.45">
      <c r="A25" s="59" t="s">
        <v>251</v>
      </c>
      <c r="B25" s="59" t="s">
        <v>182</v>
      </c>
      <c r="C25" s="59">
        <v>18</v>
      </c>
      <c r="D25" s="59">
        <v>18</v>
      </c>
      <c r="E25" s="61">
        <v>45658</v>
      </c>
      <c r="F25" s="61">
        <v>46023</v>
      </c>
      <c r="G25" s="61">
        <v>45658</v>
      </c>
      <c r="H25" s="59" t="s">
        <v>178</v>
      </c>
      <c r="I25" s="59" t="s">
        <v>180</v>
      </c>
      <c r="J25" s="59"/>
      <c r="K25" s="59"/>
      <c r="L25" s="59">
        <v>10</v>
      </c>
      <c r="M25" s="62">
        <v>4.3944444444444445E-4</v>
      </c>
      <c r="N25" s="62">
        <v>6.951388888888888E-4</v>
      </c>
      <c r="O25" s="62">
        <v>9.4430555555555544E-4</v>
      </c>
      <c r="P25" s="62">
        <v>7.919444444444444E-4</v>
      </c>
      <c r="Q25" s="62">
        <v>1.9579166666666664E-3</v>
      </c>
      <c r="R25" s="62">
        <v>1.7913888888888886E-3</v>
      </c>
      <c r="S25" s="62">
        <v>4.3944444444444445E-4</v>
      </c>
      <c r="T25" s="62">
        <v>6.951388888888888E-4</v>
      </c>
      <c r="U25" s="62">
        <v>9.4430555555555544E-4</v>
      </c>
      <c r="V25" s="62">
        <v>7.919444444444444E-4</v>
      </c>
      <c r="W25" s="62">
        <v>1.9579166666666664E-3</v>
      </c>
      <c r="X25" s="62">
        <v>1.7913888888888886E-3</v>
      </c>
    </row>
    <row r="26" spans="1:24" x14ac:dyDescent="0.45">
      <c r="A26" s="59" t="s">
        <v>251</v>
      </c>
      <c r="B26" s="59" t="s">
        <v>182</v>
      </c>
      <c r="C26" s="59">
        <v>17</v>
      </c>
      <c r="D26" s="59">
        <v>17</v>
      </c>
      <c r="E26" s="61">
        <v>45658</v>
      </c>
      <c r="F26" s="61">
        <v>46023</v>
      </c>
      <c r="G26" s="61">
        <v>45658</v>
      </c>
      <c r="H26" s="59" t="s">
        <v>178</v>
      </c>
      <c r="I26" s="59" t="s">
        <v>180</v>
      </c>
      <c r="J26" s="59"/>
      <c r="K26" s="59"/>
      <c r="L26" s="59">
        <v>10</v>
      </c>
      <c r="M26" s="62">
        <v>4.4430555555555553E-4</v>
      </c>
      <c r="N26" s="62">
        <v>7.0194444444444449E-4</v>
      </c>
      <c r="O26" s="62">
        <v>9.5805555555555553E-4</v>
      </c>
      <c r="P26" s="62">
        <v>8.0902777777777776E-4</v>
      </c>
      <c r="Q26" s="62">
        <v>1.9811111111111106E-3</v>
      </c>
      <c r="R26" s="62">
        <v>1.8124999999999999E-3</v>
      </c>
      <c r="S26" s="62">
        <v>4.4430555555555553E-4</v>
      </c>
      <c r="T26" s="62">
        <v>7.0194444444444449E-4</v>
      </c>
      <c r="U26" s="62">
        <v>9.5805555555555553E-4</v>
      </c>
      <c r="V26" s="62">
        <v>8.0902777777777776E-4</v>
      </c>
      <c r="W26" s="62">
        <v>1.9811111111111106E-3</v>
      </c>
      <c r="X26" s="62">
        <v>1.8124999999999999E-3</v>
      </c>
    </row>
    <row r="27" spans="1:24" x14ac:dyDescent="0.45">
      <c r="A27" s="59" t="s">
        <v>251</v>
      </c>
      <c r="B27" s="59" t="s">
        <v>182</v>
      </c>
      <c r="C27" s="59">
        <v>12</v>
      </c>
      <c r="D27" s="59">
        <v>16</v>
      </c>
      <c r="E27" s="61">
        <v>45658</v>
      </c>
      <c r="F27" s="61">
        <v>46023</v>
      </c>
      <c r="G27" s="61">
        <v>45658</v>
      </c>
      <c r="H27" s="59" t="s">
        <v>178</v>
      </c>
      <c r="I27" s="59" t="s">
        <v>180</v>
      </c>
      <c r="J27" s="59"/>
      <c r="K27" s="59"/>
      <c r="L27" s="59">
        <v>10</v>
      </c>
      <c r="M27" s="62">
        <v>4.4861111111111105E-4</v>
      </c>
      <c r="N27" s="62">
        <v>7.0833333333333328E-4</v>
      </c>
      <c r="O27" s="62">
        <v>9.7083333333333342E-4</v>
      </c>
      <c r="P27" s="62">
        <v>8.2472222222222224E-4</v>
      </c>
      <c r="Q27" s="62">
        <v>2.0026388888888889E-3</v>
      </c>
      <c r="R27" s="62">
        <v>1.8319444444444444E-3</v>
      </c>
      <c r="S27" s="62">
        <v>4.4861111111111105E-4</v>
      </c>
      <c r="T27" s="62">
        <v>7.0833333333333328E-4</v>
      </c>
      <c r="U27" s="62">
        <v>9.7083333333333342E-4</v>
      </c>
      <c r="V27" s="62">
        <v>8.2472222222222224E-4</v>
      </c>
      <c r="W27" s="62">
        <v>2.0026388888888889E-3</v>
      </c>
      <c r="X27" s="62">
        <v>1.8319444444444444E-3</v>
      </c>
    </row>
    <row r="28" spans="1:24" x14ac:dyDescent="0.45">
      <c r="A28" s="59" t="s">
        <v>250</v>
      </c>
      <c r="B28" s="59" t="s">
        <v>164</v>
      </c>
      <c r="C28" s="59">
        <v>18</v>
      </c>
      <c r="D28" s="59">
        <v>18</v>
      </c>
      <c r="E28" s="61">
        <v>45658</v>
      </c>
      <c r="F28" s="61">
        <v>46023</v>
      </c>
      <c r="G28" s="61">
        <v>45658</v>
      </c>
      <c r="H28" s="59" t="s">
        <v>178</v>
      </c>
      <c r="I28" s="59" t="s">
        <v>180</v>
      </c>
      <c r="J28" s="59"/>
      <c r="K28" s="59"/>
      <c r="L28" s="59">
        <v>10</v>
      </c>
      <c r="M28" s="62">
        <v>5.4361111111111114E-4</v>
      </c>
      <c r="N28" s="62">
        <v>8.1805555555555548E-4</v>
      </c>
      <c r="O28" s="62">
        <v>1.1063888888888887E-3</v>
      </c>
      <c r="P28" s="62">
        <v>9.0861111111111101E-4</v>
      </c>
      <c r="Q28" s="62">
        <v>2.1416666666666663E-3</v>
      </c>
      <c r="R28" s="62">
        <v>1.9452777777777775E-3</v>
      </c>
      <c r="S28" s="62">
        <v>5.4361111111111114E-4</v>
      </c>
      <c r="T28" s="62">
        <v>8.1805555555555548E-4</v>
      </c>
      <c r="U28" s="62">
        <v>1.1063888888888887E-3</v>
      </c>
      <c r="V28" s="62">
        <v>9.0861111111111101E-4</v>
      </c>
      <c r="W28" s="62">
        <v>2.1416666666666663E-3</v>
      </c>
      <c r="X28" s="62">
        <v>1.9452777777777775E-3</v>
      </c>
    </row>
    <row r="29" spans="1:24" x14ac:dyDescent="0.45">
      <c r="A29" s="59" t="s">
        <v>250</v>
      </c>
      <c r="B29" s="59" t="s">
        <v>164</v>
      </c>
      <c r="C29" s="59">
        <v>17</v>
      </c>
      <c r="D29" s="59">
        <v>17</v>
      </c>
      <c r="E29" s="61">
        <v>45658</v>
      </c>
      <c r="F29" s="61">
        <v>46023</v>
      </c>
      <c r="G29" s="61">
        <v>45658</v>
      </c>
      <c r="H29" s="59" t="s">
        <v>178</v>
      </c>
      <c r="I29" s="59" t="s">
        <v>180</v>
      </c>
      <c r="J29" s="59"/>
      <c r="K29" s="59"/>
      <c r="L29" s="59">
        <v>10</v>
      </c>
      <c r="M29" s="62">
        <v>5.5458333333333336E-4</v>
      </c>
      <c r="N29" s="62">
        <v>8.2736111111111118E-4</v>
      </c>
      <c r="O29" s="62">
        <v>1.1262500000000001E-3</v>
      </c>
      <c r="P29" s="62">
        <v>9.2194444444444431E-4</v>
      </c>
      <c r="Q29" s="62">
        <v>2.1574999999999997E-3</v>
      </c>
      <c r="R29" s="62">
        <v>1.9526388888888887E-3</v>
      </c>
      <c r="S29" s="62">
        <v>5.5458333333333336E-4</v>
      </c>
      <c r="T29" s="62">
        <v>8.2736111111111118E-4</v>
      </c>
      <c r="U29" s="62">
        <v>1.1262500000000001E-3</v>
      </c>
      <c r="V29" s="62">
        <v>9.2194444444444431E-4</v>
      </c>
      <c r="W29" s="62">
        <v>2.1574999999999997E-3</v>
      </c>
      <c r="X29" s="62">
        <v>1.9526388888888887E-3</v>
      </c>
    </row>
    <row r="30" spans="1:24" x14ac:dyDescent="0.45">
      <c r="A30" s="59" t="s">
        <v>250</v>
      </c>
      <c r="B30" s="59" t="s">
        <v>164</v>
      </c>
      <c r="C30" s="59">
        <v>12</v>
      </c>
      <c r="D30" s="59">
        <v>16</v>
      </c>
      <c r="E30" s="61">
        <v>45658</v>
      </c>
      <c r="F30" s="61">
        <v>46023</v>
      </c>
      <c r="G30" s="61">
        <v>45658</v>
      </c>
      <c r="H30" s="59" t="s">
        <v>178</v>
      </c>
      <c r="I30" s="59" t="s">
        <v>180</v>
      </c>
      <c r="J30" s="59"/>
      <c r="K30" s="59"/>
      <c r="L30" s="59">
        <v>10</v>
      </c>
      <c r="M30" s="62">
        <v>5.6499999999999996E-4</v>
      </c>
      <c r="N30" s="62">
        <v>8.3597222222222222E-4</v>
      </c>
      <c r="O30" s="62">
        <v>1.1445833333333332E-3</v>
      </c>
      <c r="P30" s="62">
        <v>9.341666666666667E-4</v>
      </c>
      <c r="Q30" s="62">
        <v>2.1722222222222221E-3</v>
      </c>
      <c r="R30" s="62">
        <v>1.9594444444444442E-3</v>
      </c>
      <c r="S30" s="62">
        <v>5.6499999999999996E-4</v>
      </c>
      <c r="T30" s="62">
        <v>8.3597222222222222E-4</v>
      </c>
      <c r="U30" s="62">
        <v>1.1445833333333332E-3</v>
      </c>
      <c r="V30" s="62">
        <v>9.341666666666667E-4</v>
      </c>
      <c r="W30" s="62">
        <v>2.1722222222222221E-3</v>
      </c>
      <c r="X30" s="62">
        <v>1.9594444444444442E-3</v>
      </c>
    </row>
    <row r="31" spans="1:24" x14ac:dyDescent="0.45">
      <c r="A31" s="59" t="s">
        <v>249</v>
      </c>
      <c r="B31" s="59" t="s">
        <v>182</v>
      </c>
      <c r="C31" s="59">
        <v>18</v>
      </c>
      <c r="D31" s="59">
        <v>18</v>
      </c>
      <c r="E31" s="61">
        <v>45658</v>
      </c>
      <c r="F31" s="61">
        <v>46023</v>
      </c>
      <c r="G31" s="61">
        <v>45658</v>
      </c>
      <c r="H31" s="59" t="s">
        <v>178</v>
      </c>
      <c r="I31" s="59" t="s">
        <v>180</v>
      </c>
      <c r="J31" s="59"/>
      <c r="K31" s="59"/>
      <c r="L31" s="59">
        <v>10</v>
      </c>
      <c r="M31" s="62">
        <v>4.4859953703703707E-4</v>
      </c>
      <c r="N31" s="62">
        <v>7.096209490740741E-4</v>
      </c>
      <c r="O31" s="62">
        <v>9.6397858796296292E-4</v>
      </c>
      <c r="P31" s="62">
        <v>8.0844328703703709E-4</v>
      </c>
      <c r="Q31" s="62">
        <v>1.9987065972222225E-3</v>
      </c>
      <c r="R31" s="62">
        <v>1.8287094907407408E-3</v>
      </c>
      <c r="S31" s="62">
        <v>4.4859953703703707E-4</v>
      </c>
      <c r="T31" s="62">
        <v>7.096209490740741E-4</v>
      </c>
      <c r="U31" s="62">
        <v>9.6397858796296292E-4</v>
      </c>
      <c r="V31" s="62">
        <v>8.0844328703703709E-4</v>
      </c>
      <c r="W31" s="62">
        <v>1.9987065972222225E-3</v>
      </c>
      <c r="X31" s="62">
        <v>1.8287094907407408E-3</v>
      </c>
    </row>
    <row r="32" spans="1:24" x14ac:dyDescent="0.45">
      <c r="A32" s="59" t="s">
        <v>249</v>
      </c>
      <c r="B32" s="59" t="s">
        <v>182</v>
      </c>
      <c r="C32" s="59">
        <v>17</v>
      </c>
      <c r="D32" s="59">
        <v>17</v>
      </c>
      <c r="E32" s="61">
        <v>45658</v>
      </c>
      <c r="F32" s="61">
        <v>46023</v>
      </c>
      <c r="G32" s="61">
        <v>45658</v>
      </c>
      <c r="H32" s="59" t="s">
        <v>178</v>
      </c>
      <c r="I32" s="59" t="s">
        <v>180</v>
      </c>
      <c r="J32" s="59"/>
      <c r="K32" s="59"/>
      <c r="L32" s="59">
        <v>10</v>
      </c>
      <c r="M32" s="62">
        <v>4.5356192129629631E-4</v>
      </c>
      <c r="N32" s="62">
        <v>7.1656828703703715E-4</v>
      </c>
      <c r="O32" s="62">
        <v>9.7801504629629649E-4</v>
      </c>
      <c r="P32" s="62">
        <v>8.2588252314814829E-4</v>
      </c>
      <c r="Q32" s="62">
        <v>2.0223842592592589E-3</v>
      </c>
      <c r="R32" s="62">
        <v>1.8502604166666667E-3</v>
      </c>
      <c r="S32" s="62">
        <v>4.5356192129629631E-4</v>
      </c>
      <c r="T32" s="62">
        <v>7.1656828703703715E-4</v>
      </c>
      <c r="U32" s="62">
        <v>9.7801504629629649E-4</v>
      </c>
      <c r="V32" s="62">
        <v>8.2588252314814829E-4</v>
      </c>
      <c r="W32" s="62">
        <v>2.0223842592592589E-3</v>
      </c>
      <c r="X32" s="62">
        <v>1.8502604166666667E-3</v>
      </c>
    </row>
    <row r="33" spans="1:24" x14ac:dyDescent="0.45">
      <c r="A33" s="59" t="s">
        <v>249</v>
      </c>
      <c r="B33" s="59" t="s">
        <v>182</v>
      </c>
      <c r="C33" s="59">
        <v>12</v>
      </c>
      <c r="D33" s="59">
        <v>16</v>
      </c>
      <c r="E33" s="61">
        <v>45658</v>
      </c>
      <c r="F33" s="61">
        <v>46023</v>
      </c>
      <c r="G33" s="61">
        <v>45658</v>
      </c>
      <c r="H33" s="59" t="s">
        <v>178</v>
      </c>
      <c r="I33" s="59" t="s">
        <v>180</v>
      </c>
      <c r="J33" s="59"/>
      <c r="K33" s="59"/>
      <c r="L33" s="59">
        <v>10</v>
      </c>
      <c r="M33" s="62">
        <v>4.5795717592592589E-4</v>
      </c>
      <c r="N33" s="62">
        <v>7.2309027777777779E-4</v>
      </c>
      <c r="O33" s="62">
        <v>9.9105902777777799E-4</v>
      </c>
      <c r="P33" s="62">
        <v>8.4190393518518533E-4</v>
      </c>
      <c r="Q33" s="62">
        <v>2.0443605324074075E-3</v>
      </c>
      <c r="R33" s="62">
        <v>1.8701099537037039E-3</v>
      </c>
      <c r="S33" s="62">
        <v>4.5795717592592589E-4</v>
      </c>
      <c r="T33" s="62">
        <v>7.2309027777777779E-4</v>
      </c>
      <c r="U33" s="62">
        <v>9.9105902777777799E-4</v>
      </c>
      <c r="V33" s="62">
        <v>8.4190393518518533E-4</v>
      </c>
      <c r="W33" s="62">
        <v>2.0443605324074075E-3</v>
      </c>
      <c r="X33" s="62">
        <v>1.8701099537037039E-3</v>
      </c>
    </row>
    <row r="34" spans="1:24" x14ac:dyDescent="0.45">
      <c r="A34" s="59" t="s">
        <v>248</v>
      </c>
      <c r="B34" s="59" t="s">
        <v>164</v>
      </c>
      <c r="C34" s="59">
        <v>18</v>
      </c>
      <c r="D34" s="59">
        <v>18</v>
      </c>
      <c r="E34" s="61">
        <v>45658</v>
      </c>
      <c r="F34" s="61">
        <v>46023</v>
      </c>
      <c r="G34" s="61">
        <v>45658</v>
      </c>
      <c r="H34" s="59" t="s">
        <v>178</v>
      </c>
      <c r="I34" s="59" t="s">
        <v>180</v>
      </c>
      <c r="J34" s="59"/>
      <c r="K34" s="59"/>
      <c r="L34" s="59">
        <v>10</v>
      </c>
      <c r="M34" s="62">
        <v>5.5493634259259266E-4</v>
      </c>
      <c r="N34" s="62">
        <v>8.3509837962962965E-4</v>
      </c>
      <c r="O34" s="62">
        <v>1.1294386574074073E-3</v>
      </c>
      <c r="P34" s="62">
        <v>9.2754050925925925E-4</v>
      </c>
      <c r="Q34" s="62">
        <v>2.1862847222222223E-3</v>
      </c>
      <c r="R34" s="62">
        <v>1.9858043981481484E-3</v>
      </c>
      <c r="S34" s="62">
        <v>5.5493634259259266E-4</v>
      </c>
      <c r="T34" s="62">
        <v>8.3509837962962965E-4</v>
      </c>
      <c r="U34" s="62">
        <v>1.1294386574074073E-3</v>
      </c>
      <c r="V34" s="62">
        <v>9.2754050925925925E-4</v>
      </c>
      <c r="W34" s="62">
        <v>2.1862847222222223E-3</v>
      </c>
      <c r="X34" s="62">
        <v>1.9858043981481484E-3</v>
      </c>
    </row>
    <row r="35" spans="1:24" x14ac:dyDescent="0.45">
      <c r="A35" s="59" t="s">
        <v>248</v>
      </c>
      <c r="B35" s="59" t="s">
        <v>164</v>
      </c>
      <c r="C35" s="59">
        <v>17</v>
      </c>
      <c r="D35" s="59">
        <v>17</v>
      </c>
      <c r="E35" s="61">
        <v>45658</v>
      </c>
      <c r="F35" s="61">
        <v>46023</v>
      </c>
      <c r="G35" s="61">
        <v>45658</v>
      </c>
      <c r="H35" s="59" t="s">
        <v>178</v>
      </c>
      <c r="I35" s="59" t="s">
        <v>180</v>
      </c>
      <c r="J35" s="59"/>
      <c r="K35" s="59"/>
      <c r="L35" s="59">
        <v>10</v>
      </c>
      <c r="M35" s="62">
        <v>5.6613715277777782E-4</v>
      </c>
      <c r="N35" s="62">
        <v>8.4459780092592605E-4</v>
      </c>
      <c r="O35" s="62">
        <v>1.1497135416666669E-3</v>
      </c>
      <c r="P35" s="62">
        <v>9.411516203703703E-4</v>
      </c>
      <c r="Q35" s="62">
        <v>2.2024479166666668E-3</v>
      </c>
      <c r="R35" s="62">
        <v>1.9933188657407408E-3</v>
      </c>
      <c r="S35" s="62">
        <v>5.6613715277777782E-4</v>
      </c>
      <c r="T35" s="62">
        <v>8.4459780092592605E-4</v>
      </c>
      <c r="U35" s="62">
        <v>1.1497135416666669E-3</v>
      </c>
      <c r="V35" s="62">
        <v>9.411516203703703E-4</v>
      </c>
      <c r="W35" s="62">
        <v>2.2024479166666668E-3</v>
      </c>
      <c r="X35" s="62">
        <v>1.9933188657407408E-3</v>
      </c>
    </row>
    <row r="36" spans="1:24" x14ac:dyDescent="0.45">
      <c r="A36" s="59" t="s">
        <v>248</v>
      </c>
      <c r="B36" s="59" t="s">
        <v>164</v>
      </c>
      <c r="C36" s="59">
        <v>12</v>
      </c>
      <c r="D36" s="59">
        <v>16</v>
      </c>
      <c r="E36" s="61">
        <v>45658</v>
      </c>
      <c r="F36" s="61">
        <v>46023</v>
      </c>
      <c r="G36" s="61">
        <v>45658</v>
      </c>
      <c r="H36" s="59" t="s">
        <v>178</v>
      </c>
      <c r="I36" s="59" t="s">
        <v>180</v>
      </c>
      <c r="J36" s="59"/>
      <c r="K36" s="59"/>
      <c r="L36" s="59">
        <v>10</v>
      </c>
      <c r="M36" s="62">
        <v>5.7677083333333332E-4</v>
      </c>
      <c r="N36" s="62">
        <v>8.5338831018518522E-4</v>
      </c>
      <c r="O36" s="62">
        <v>1.1684288194444446E-3</v>
      </c>
      <c r="P36" s="62">
        <v>9.5362847222222236E-4</v>
      </c>
      <c r="Q36" s="62">
        <v>2.217476851851852E-3</v>
      </c>
      <c r="R36" s="62">
        <v>2.0002662037037038E-3</v>
      </c>
      <c r="S36" s="62">
        <v>5.7677083333333332E-4</v>
      </c>
      <c r="T36" s="62">
        <v>8.5338831018518522E-4</v>
      </c>
      <c r="U36" s="62">
        <v>1.1684288194444446E-3</v>
      </c>
      <c r="V36" s="62">
        <v>9.5362847222222236E-4</v>
      </c>
      <c r="W36" s="62">
        <v>2.217476851851852E-3</v>
      </c>
      <c r="X36" s="62">
        <v>2.0002662037037038E-3</v>
      </c>
    </row>
    <row r="37" spans="1:24" x14ac:dyDescent="0.45">
      <c r="A37" s="59" t="s">
        <v>242</v>
      </c>
      <c r="B37" s="59" t="s">
        <v>182</v>
      </c>
      <c r="C37" s="59">
        <v>18</v>
      </c>
      <c r="D37" s="59">
        <v>18</v>
      </c>
      <c r="E37" s="61">
        <v>45658</v>
      </c>
      <c r="F37" s="61">
        <v>46023</v>
      </c>
      <c r="G37" s="61">
        <v>45658</v>
      </c>
      <c r="H37" s="59" t="s">
        <v>178</v>
      </c>
      <c r="I37" s="59" t="s">
        <v>180</v>
      </c>
      <c r="J37" s="59"/>
      <c r="K37" s="59"/>
      <c r="L37" s="59">
        <v>10</v>
      </c>
      <c r="M37" s="62">
        <f>Tabelle1!E14</f>
        <v>4.5775462962962962E-4</v>
      </c>
      <c r="N37" s="62">
        <f>Tabelle1!E16</f>
        <v>7.2410300925925919E-4</v>
      </c>
      <c r="O37" s="62">
        <f>Tabelle1!E15</f>
        <v>9.8365162037037019E-4</v>
      </c>
      <c r="P37" s="62">
        <f>Tabelle1!E17</f>
        <v>8.2494212962962968E-4</v>
      </c>
      <c r="Q37" s="62">
        <f>Tabelle1!E19</f>
        <v>2.0394965277777777E-3</v>
      </c>
      <c r="R37" s="62">
        <f>Tabelle1!E18</f>
        <v>1.8660300925925923E-3</v>
      </c>
      <c r="S37" s="62">
        <f>M37</f>
        <v>4.5775462962962962E-4</v>
      </c>
      <c r="T37" s="62">
        <f t="shared" ref="T37:T42" si="0">N37</f>
        <v>7.2410300925925919E-4</v>
      </c>
      <c r="U37" s="62">
        <f t="shared" ref="U37:U42" si="1">O37</f>
        <v>9.8365162037037019E-4</v>
      </c>
      <c r="V37" s="62">
        <f t="shared" ref="V37:V42" si="2">P37</f>
        <v>8.2494212962962968E-4</v>
      </c>
      <c r="W37" s="62">
        <f t="shared" ref="W37:W42" si="3">Q37</f>
        <v>2.0394965277777777E-3</v>
      </c>
      <c r="X37" s="62">
        <f t="shared" ref="X37:X42" si="4">R37</f>
        <v>1.8660300925925923E-3</v>
      </c>
    </row>
    <row r="38" spans="1:24" x14ac:dyDescent="0.45">
      <c r="A38" s="59" t="s">
        <v>242</v>
      </c>
      <c r="B38" s="59" t="s">
        <v>182</v>
      </c>
      <c r="C38" s="59">
        <v>17</v>
      </c>
      <c r="D38" s="59">
        <v>17</v>
      </c>
      <c r="E38" s="61">
        <v>45658</v>
      </c>
      <c r="F38" s="61">
        <v>46023</v>
      </c>
      <c r="G38" s="61">
        <v>45658</v>
      </c>
      <c r="H38" s="59" t="s">
        <v>178</v>
      </c>
      <c r="I38" s="59" t="s">
        <v>180</v>
      </c>
      <c r="J38" s="59"/>
      <c r="K38" s="59"/>
      <c r="L38" s="59">
        <v>10</v>
      </c>
      <c r="M38" s="62">
        <f>Tabelle1!D14</f>
        <v>4.6281828703703703E-4</v>
      </c>
      <c r="N38" s="62">
        <f>Tabelle1!D16</f>
        <v>7.311921296296297E-4</v>
      </c>
      <c r="O38" s="62">
        <f>Tabelle1!D15</f>
        <v>9.9797453703703702E-4</v>
      </c>
      <c r="P38" s="62">
        <f>Tabelle1!D17</f>
        <v>8.427372685185186E-4</v>
      </c>
      <c r="Q38" s="62">
        <f>Tabelle1!D19</f>
        <v>2.0636574074074073E-3</v>
      </c>
      <c r="R38" s="62">
        <f>Tabelle1!D18</f>
        <v>1.8880208333333333E-3</v>
      </c>
      <c r="S38" s="62">
        <f t="shared" ref="S38:S42" si="5">M38</f>
        <v>4.6281828703703703E-4</v>
      </c>
      <c r="T38" s="62">
        <f t="shared" si="0"/>
        <v>7.311921296296297E-4</v>
      </c>
      <c r="U38" s="62">
        <f t="shared" si="1"/>
        <v>9.9797453703703702E-4</v>
      </c>
      <c r="V38" s="62">
        <f t="shared" si="2"/>
        <v>8.427372685185186E-4</v>
      </c>
      <c r="W38" s="62">
        <f t="shared" si="3"/>
        <v>2.0636574074074073E-3</v>
      </c>
      <c r="X38" s="62">
        <f t="shared" si="4"/>
        <v>1.8880208333333333E-3</v>
      </c>
    </row>
    <row r="39" spans="1:24" x14ac:dyDescent="0.45">
      <c r="A39" s="59" t="s">
        <v>242</v>
      </c>
      <c r="B39" s="59" t="s">
        <v>182</v>
      </c>
      <c r="C39" s="59">
        <v>12</v>
      </c>
      <c r="D39" s="59">
        <v>16</v>
      </c>
      <c r="E39" s="61">
        <v>45658</v>
      </c>
      <c r="F39" s="61">
        <v>46023</v>
      </c>
      <c r="G39" s="61">
        <v>45658</v>
      </c>
      <c r="H39" s="59" t="s">
        <v>178</v>
      </c>
      <c r="I39" s="59" t="s">
        <v>180</v>
      </c>
      <c r="J39" s="59"/>
      <c r="K39" s="59"/>
      <c r="L39" s="59">
        <v>10</v>
      </c>
      <c r="M39" s="62">
        <f>Tabelle1!C14</f>
        <v>4.6730324074074068E-4</v>
      </c>
      <c r="N39" s="62">
        <f>Tabelle1!C16</f>
        <v>7.378472222222222E-4</v>
      </c>
      <c r="O39" s="62">
        <f>Tabelle1!C15</f>
        <v>1.0112847222222224E-3</v>
      </c>
      <c r="P39" s="62">
        <f>Tabelle1!C17</f>
        <v>8.5908564814814821E-4</v>
      </c>
      <c r="Q39" s="62">
        <f>Tabelle1!C19</f>
        <v>2.0860821759259261E-3</v>
      </c>
      <c r="R39" s="62">
        <f>Tabelle1!C18</f>
        <v>1.9082754629629632E-3</v>
      </c>
      <c r="S39" s="62">
        <f t="shared" si="5"/>
        <v>4.6730324074074068E-4</v>
      </c>
      <c r="T39" s="62">
        <f t="shared" si="0"/>
        <v>7.378472222222222E-4</v>
      </c>
      <c r="U39" s="62">
        <f t="shared" si="1"/>
        <v>1.0112847222222224E-3</v>
      </c>
      <c r="V39" s="62">
        <f t="shared" si="2"/>
        <v>8.5908564814814821E-4</v>
      </c>
      <c r="W39" s="62">
        <f t="shared" si="3"/>
        <v>2.0860821759259261E-3</v>
      </c>
      <c r="X39" s="62">
        <f t="shared" si="4"/>
        <v>1.9082754629629632E-3</v>
      </c>
    </row>
    <row r="40" spans="1:24" x14ac:dyDescent="0.45">
      <c r="A40" s="59" t="s">
        <v>243</v>
      </c>
      <c r="B40" s="59" t="s">
        <v>164</v>
      </c>
      <c r="C40" s="59">
        <v>18</v>
      </c>
      <c r="D40" s="59">
        <v>18</v>
      </c>
      <c r="E40" s="61">
        <v>45658</v>
      </c>
      <c r="F40" s="61">
        <v>46023</v>
      </c>
      <c r="G40" s="61">
        <v>45658</v>
      </c>
      <c r="H40" s="59" t="s">
        <v>178</v>
      </c>
      <c r="I40" s="59" t="s">
        <v>180</v>
      </c>
      <c r="J40" s="59"/>
      <c r="K40" s="59"/>
      <c r="L40" s="59">
        <v>10</v>
      </c>
      <c r="M40" s="62">
        <f>Tabelle1!K14</f>
        <v>5.6626157407407406E-4</v>
      </c>
      <c r="N40" s="62">
        <f>Tabelle1!K16</f>
        <v>8.521412037037037E-4</v>
      </c>
      <c r="O40" s="62">
        <f>Tabelle1!K15</f>
        <v>1.1524884259259259E-3</v>
      </c>
      <c r="P40" s="62">
        <f>Tabelle1!K17</f>
        <v>9.4646990740740737E-4</v>
      </c>
      <c r="Q40" s="62">
        <f>Tabelle1!K19</f>
        <v>2.2309027777777774E-3</v>
      </c>
      <c r="R40" s="62">
        <f>Tabelle1!K18</f>
        <v>2.0263310185185185E-3</v>
      </c>
      <c r="S40" s="62">
        <f t="shared" si="5"/>
        <v>5.6626157407407406E-4</v>
      </c>
      <c r="T40" s="62">
        <f t="shared" si="0"/>
        <v>8.521412037037037E-4</v>
      </c>
      <c r="U40" s="62">
        <f t="shared" si="1"/>
        <v>1.1524884259259259E-3</v>
      </c>
      <c r="V40" s="62">
        <f t="shared" si="2"/>
        <v>9.4646990740740737E-4</v>
      </c>
      <c r="W40" s="62">
        <f t="shared" si="3"/>
        <v>2.2309027777777774E-3</v>
      </c>
      <c r="X40" s="62">
        <f t="shared" si="4"/>
        <v>2.0263310185185185E-3</v>
      </c>
    </row>
    <row r="41" spans="1:24" x14ac:dyDescent="0.45">
      <c r="A41" s="59" t="s">
        <v>243</v>
      </c>
      <c r="B41" s="59" t="s">
        <v>164</v>
      </c>
      <c r="C41" s="59">
        <v>17</v>
      </c>
      <c r="D41" s="59">
        <v>17</v>
      </c>
      <c r="E41" s="61">
        <v>45658</v>
      </c>
      <c r="F41" s="61">
        <v>46023</v>
      </c>
      <c r="G41" s="61">
        <v>45658</v>
      </c>
      <c r="H41" s="59" t="s">
        <v>178</v>
      </c>
      <c r="I41" s="59" t="s">
        <v>180</v>
      </c>
      <c r="J41" s="59"/>
      <c r="K41" s="59"/>
      <c r="L41" s="59">
        <v>10</v>
      </c>
      <c r="M41" s="62">
        <f>Tabelle1!J14</f>
        <v>5.7769097222222228E-4</v>
      </c>
      <c r="N41" s="62">
        <f>Tabelle1!J16</f>
        <v>8.6183449074074081E-4</v>
      </c>
      <c r="O41" s="62">
        <f>Tabelle1!J15</f>
        <v>1.1731770833333334E-3</v>
      </c>
      <c r="P41" s="62">
        <f>Tabelle1!J17</f>
        <v>9.6035879629629618E-4</v>
      </c>
      <c r="Q41" s="62">
        <f>Tabelle1!J19</f>
        <v>2.2473958333333335E-3</v>
      </c>
      <c r="R41" s="62">
        <f>Tabelle1!J18</f>
        <v>2.0339988425925925E-3</v>
      </c>
      <c r="S41" s="62">
        <f t="shared" si="5"/>
        <v>5.7769097222222228E-4</v>
      </c>
      <c r="T41" s="62">
        <f t="shared" si="0"/>
        <v>8.6183449074074081E-4</v>
      </c>
      <c r="U41" s="62">
        <f t="shared" si="1"/>
        <v>1.1731770833333334E-3</v>
      </c>
      <c r="V41" s="62">
        <f t="shared" si="2"/>
        <v>9.6035879629629618E-4</v>
      </c>
      <c r="W41" s="62">
        <f t="shared" si="3"/>
        <v>2.2473958333333335E-3</v>
      </c>
      <c r="X41" s="62">
        <f t="shared" si="4"/>
        <v>2.0339988425925925E-3</v>
      </c>
    </row>
    <row r="42" spans="1:24" x14ac:dyDescent="0.45">
      <c r="A42" s="59" t="s">
        <v>243</v>
      </c>
      <c r="B42" s="59" t="s">
        <v>164</v>
      </c>
      <c r="C42" s="59">
        <v>12</v>
      </c>
      <c r="D42" s="59">
        <v>16</v>
      </c>
      <c r="E42" s="61">
        <v>45658</v>
      </c>
      <c r="F42" s="61">
        <v>46023</v>
      </c>
      <c r="G42" s="61">
        <v>45658</v>
      </c>
      <c r="H42" s="59" t="s">
        <v>178</v>
      </c>
      <c r="I42" s="59" t="s">
        <v>180</v>
      </c>
      <c r="J42" s="59"/>
      <c r="K42" s="59"/>
      <c r="L42" s="59">
        <v>10</v>
      </c>
      <c r="M42" s="62">
        <f>Tabelle1!I14</f>
        <v>5.8854166666666668E-4</v>
      </c>
      <c r="N42" s="62">
        <f>Tabelle1!I16</f>
        <v>8.7080439814814811E-4</v>
      </c>
      <c r="O42" s="62">
        <f>Tabelle1!I15</f>
        <v>1.1922743055555556E-3</v>
      </c>
      <c r="P42" s="62">
        <f>Tabelle1!I17</f>
        <v>9.730902777777778E-4</v>
      </c>
      <c r="Q42" s="62">
        <f>Tabelle1!I19</f>
        <v>2.2627314814814815E-3</v>
      </c>
      <c r="R42" s="62">
        <f>Tabelle1!I18</f>
        <v>2.0410879629629629E-3</v>
      </c>
      <c r="S42" s="62">
        <f t="shared" si="5"/>
        <v>5.8854166666666668E-4</v>
      </c>
      <c r="T42" s="62">
        <f t="shared" si="0"/>
        <v>8.7080439814814811E-4</v>
      </c>
      <c r="U42" s="62">
        <f t="shared" si="1"/>
        <v>1.1922743055555556E-3</v>
      </c>
      <c r="V42" s="62">
        <f t="shared" si="2"/>
        <v>9.730902777777778E-4</v>
      </c>
      <c r="W42" s="62">
        <f t="shared" si="3"/>
        <v>2.2627314814814815E-3</v>
      </c>
      <c r="X42" s="62">
        <f t="shared" si="4"/>
        <v>2.0410879629629629E-3</v>
      </c>
    </row>
    <row r="43" spans="1:24" x14ac:dyDescent="0.45">
      <c r="A43" s="59" t="s">
        <v>244</v>
      </c>
      <c r="B43" s="59" t="s">
        <v>182</v>
      </c>
      <c r="C43" s="59">
        <v>18</v>
      </c>
      <c r="D43" s="59">
        <v>18</v>
      </c>
      <c r="E43" s="61">
        <v>45658</v>
      </c>
      <c r="F43" s="61">
        <v>46023</v>
      </c>
      <c r="G43" s="61">
        <v>45658</v>
      </c>
      <c r="H43" s="59" t="s">
        <v>178</v>
      </c>
      <c r="I43" s="59" t="s">
        <v>180</v>
      </c>
      <c r="J43" s="59"/>
      <c r="K43" s="59"/>
      <c r="L43" s="59">
        <v>10</v>
      </c>
      <c r="M43" s="62">
        <v>4.6690972222222218E-4</v>
      </c>
      <c r="N43" s="62">
        <v>7.3858506944444438E-4</v>
      </c>
      <c r="O43" s="62">
        <v>1.0033246527777777E-3</v>
      </c>
      <c r="P43" s="62">
        <v>8.4144097222222216E-4</v>
      </c>
      <c r="Q43" s="62">
        <v>2.0802864583333333E-3</v>
      </c>
      <c r="R43" s="62">
        <v>1.9033506944444441E-3</v>
      </c>
      <c r="S43" s="62">
        <v>4.6690972222222218E-4</v>
      </c>
      <c r="T43" s="62">
        <v>7.3858506944444438E-4</v>
      </c>
      <c r="U43" s="62">
        <v>1.0033246527777777E-3</v>
      </c>
      <c r="V43" s="62">
        <v>8.4144097222222216E-4</v>
      </c>
      <c r="W43" s="62">
        <v>2.0802864583333333E-3</v>
      </c>
      <c r="X43" s="62">
        <v>1.9033506944444441E-3</v>
      </c>
    </row>
    <row r="44" spans="1:24" x14ac:dyDescent="0.45">
      <c r="A44" s="59" t="s">
        <v>244</v>
      </c>
      <c r="B44" s="59" t="s">
        <v>182</v>
      </c>
      <c r="C44" s="59">
        <v>17</v>
      </c>
      <c r="D44" s="59">
        <v>17</v>
      </c>
      <c r="E44" s="61">
        <v>45658</v>
      </c>
      <c r="F44" s="61">
        <v>46023</v>
      </c>
      <c r="G44" s="61">
        <v>45658</v>
      </c>
      <c r="H44" s="59" t="s">
        <v>178</v>
      </c>
      <c r="I44" s="59" t="s">
        <v>180</v>
      </c>
      <c r="J44" s="59"/>
      <c r="K44" s="59"/>
      <c r="L44" s="59">
        <v>10</v>
      </c>
      <c r="M44" s="62">
        <v>4.7207465277777775E-4</v>
      </c>
      <c r="N44" s="62">
        <v>7.4581597222222226E-4</v>
      </c>
      <c r="O44" s="62">
        <v>1.0179340277777778E-3</v>
      </c>
      <c r="P44" s="62">
        <v>8.5959201388888891E-4</v>
      </c>
      <c r="Q44" s="62">
        <v>2.1049305555555552E-3</v>
      </c>
      <c r="R44" s="62">
        <v>1.9257812499999998E-3</v>
      </c>
      <c r="S44" s="62">
        <v>4.7207465277777775E-4</v>
      </c>
      <c r="T44" s="62">
        <v>7.4581597222222226E-4</v>
      </c>
      <c r="U44" s="62">
        <v>1.0179340277777778E-3</v>
      </c>
      <c r="V44" s="62">
        <v>8.5959201388888891E-4</v>
      </c>
      <c r="W44" s="62">
        <v>2.1049305555555552E-3</v>
      </c>
      <c r="X44" s="62">
        <v>1.9257812499999998E-3</v>
      </c>
    </row>
    <row r="45" spans="1:24" x14ac:dyDescent="0.45">
      <c r="A45" s="59" t="s">
        <v>244</v>
      </c>
      <c r="B45" s="59" t="s">
        <v>182</v>
      </c>
      <c r="C45" s="59">
        <v>12</v>
      </c>
      <c r="D45" s="59">
        <v>16</v>
      </c>
      <c r="E45" s="61">
        <v>45658</v>
      </c>
      <c r="F45" s="61">
        <v>46023</v>
      </c>
      <c r="G45" s="61">
        <v>45658</v>
      </c>
      <c r="H45" s="59" t="s">
        <v>178</v>
      </c>
      <c r="I45" s="59" t="s">
        <v>180</v>
      </c>
      <c r="J45" s="59"/>
      <c r="K45" s="59"/>
      <c r="L45" s="59">
        <v>10</v>
      </c>
      <c r="M45" s="62">
        <v>4.7664930555555546E-4</v>
      </c>
      <c r="N45" s="62">
        <v>7.5260416666666661E-4</v>
      </c>
      <c r="O45" s="62">
        <v>1.0315104166666667E-3</v>
      </c>
      <c r="P45" s="62">
        <v>8.7626736111111119E-4</v>
      </c>
      <c r="Q45" s="62">
        <v>2.1278038194444443E-3</v>
      </c>
      <c r="R45" s="62">
        <v>1.9464409722222222E-3</v>
      </c>
      <c r="S45" s="62">
        <v>4.7664930555555546E-4</v>
      </c>
      <c r="T45" s="62">
        <v>7.5260416666666661E-4</v>
      </c>
      <c r="U45" s="62">
        <v>1.0315104166666667E-3</v>
      </c>
      <c r="V45" s="62">
        <v>8.7626736111111119E-4</v>
      </c>
      <c r="W45" s="62">
        <v>2.1278038194444443E-3</v>
      </c>
      <c r="X45" s="62">
        <v>1.9464409722222222E-3</v>
      </c>
    </row>
    <row r="46" spans="1:24" x14ac:dyDescent="0.45">
      <c r="A46" s="59" t="s">
        <v>245</v>
      </c>
      <c r="B46" s="59" t="s">
        <v>164</v>
      </c>
      <c r="C46" s="59">
        <v>18</v>
      </c>
      <c r="D46" s="59">
        <v>18</v>
      </c>
      <c r="E46" s="61">
        <v>45658</v>
      </c>
      <c r="F46" s="61">
        <v>46023</v>
      </c>
      <c r="G46" s="61">
        <v>45658</v>
      </c>
      <c r="H46" s="59" t="s">
        <v>178</v>
      </c>
      <c r="I46" s="59" t="s">
        <v>180</v>
      </c>
      <c r="J46" s="59"/>
      <c r="K46" s="59"/>
      <c r="L46" s="59">
        <v>10</v>
      </c>
      <c r="M46" s="62">
        <v>5.7758680555555558E-4</v>
      </c>
      <c r="N46" s="62">
        <v>8.6918402777777775E-4</v>
      </c>
      <c r="O46" s="62">
        <v>1.1755381944444443E-3</v>
      </c>
      <c r="P46" s="62">
        <v>9.653993055555555E-4</v>
      </c>
      <c r="Q46" s="62">
        <v>2.275520833333333E-3</v>
      </c>
      <c r="R46" s="62">
        <v>2.0668576388888885E-3</v>
      </c>
      <c r="S46" s="62">
        <v>5.7758680555555558E-4</v>
      </c>
      <c r="T46" s="62">
        <v>8.6918402777777775E-4</v>
      </c>
      <c r="U46" s="62">
        <v>1.1755381944444443E-3</v>
      </c>
      <c r="V46" s="62">
        <v>9.653993055555555E-4</v>
      </c>
      <c r="W46" s="62">
        <v>2.275520833333333E-3</v>
      </c>
      <c r="X46" s="62">
        <v>2.0668576388888885E-3</v>
      </c>
    </row>
    <row r="47" spans="1:24" x14ac:dyDescent="0.45">
      <c r="A47" s="59" t="s">
        <v>245</v>
      </c>
      <c r="B47" s="59" t="s">
        <v>164</v>
      </c>
      <c r="C47" s="59">
        <v>17</v>
      </c>
      <c r="D47" s="59">
        <v>17</v>
      </c>
      <c r="E47" s="61">
        <v>45658</v>
      </c>
      <c r="F47" s="61">
        <v>46023</v>
      </c>
      <c r="G47" s="61">
        <v>45658</v>
      </c>
      <c r="H47" s="59" t="s">
        <v>178</v>
      </c>
      <c r="I47" s="59" t="s">
        <v>180</v>
      </c>
      <c r="J47" s="59"/>
      <c r="K47" s="59"/>
      <c r="L47" s="59">
        <v>10</v>
      </c>
      <c r="M47" s="62">
        <v>5.8924479166666663E-4</v>
      </c>
      <c r="N47" s="62">
        <v>8.7907118055555557E-4</v>
      </c>
      <c r="O47" s="62">
        <v>1.196640625E-3</v>
      </c>
      <c r="P47" s="62">
        <v>9.7956597222222195E-4</v>
      </c>
      <c r="Q47" s="62">
        <v>2.2923437499999997E-3</v>
      </c>
      <c r="R47" s="62">
        <v>2.0746788194444445E-3</v>
      </c>
      <c r="S47" s="62">
        <v>5.8924479166666663E-4</v>
      </c>
      <c r="T47" s="62">
        <v>8.7907118055555557E-4</v>
      </c>
      <c r="U47" s="62">
        <v>1.196640625E-3</v>
      </c>
      <c r="V47" s="62">
        <v>9.7956597222222195E-4</v>
      </c>
      <c r="W47" s="62">
        <v>2.2923437499999997E-3</v>
      </c>
      <c r="X47" s="62">
        <v>2.0746788194444445E-3</v>
      </c>
    </row>
    <row r="48" spans="1:24" x14ac:dyDescent="0.45">
      <c r="A48" s="59" t="s">
        <v>245</v>
      </c>
      <c r="B48" s="59" t="s">
        <v>164</v>
      </c>
      <c r="C48" s="59">
        <v>12</v>
      </c>
      <c r="D48" s="59">
        <v>16</v>
      </c>
      <c r="E48" s="61">
        <v>45658</v>
      </c>
      <c r="F48" s="61">
        <v>46023</v>
      </c>
      <c r="G48" s="61">
        <v>45658</v>
      </c>
      <c r="H48" s="59" t="s">
        <v>178</v>
      </c>
      <c r="I48" s="59" t="s">
        <v>180</v>
      </c>
      <c r="J48" s="59"/>
      <c r="K48" s="59"/>
      <c r="L48" s="59">
        <v>10</v>
      </c>
      <c r="M48" s="62">
        <v>6.0031249999999993E-4</v>
      </c>
      <c r="N48" s="62">
        <v>8.8822048611111111E-4</v>
      </c>
      <c r="O48" s="62">
        <v>1.2161197916666666E-3</v>
      </c>
      <c r="P48" s="62">
        <v>9.9255208333333335E-4</v>
      </c>
      <c r="Q48" s="62">
        <v>2.3079861111111109E-3</v>
      </c>
      <c r="R48" s="62">
        <v>2.081909722222222E-3</v>
      </c>
      <c r="S48" s="62">
        <v>6.0031249999999993E-4</v>
      </c>
      <c r="T48" s="62">
        <v>8.8822048611111111E-4</v>
      </c>
      <c r="U48" s="62">
        <v>1.2161197916666666E-3</v>
      </c>
      <c r="V48" s="62">
        <v>9.9255208333333335E-4</v>
      </c>
      <c r="W48" s="62">
        <v>2.3079861111111109E-3</v>
      </c>
      <c r="X48" s="62">
        <v>2.081909722222222E-3</v>
      </c>
    </row>
    <row r="49" spans="1:24" x14ac:dyDescent="0.45">
      <c r="A49" s="59" t="s">
        <v>246</v>
      </c>
      <c r="B49" s="59" t="s">
        <v>182</v>
      </c>
      <c r="C49" s="59">
        <v>18</v>
      </c>
      <c r="D49" s="59">
        <v>18</v>
      </c>
      <c r="E49" s="61">
        <v>45658</v>
      </c>
      <c r="F49" s="61">
        <v>46023</v>
      </c>
      <c r="G49" s="61">
        <v>45658</v>
      </c>
      <c r="H49" s="59" t="s">
        <v>178</v>
      </c>
      <c r="I49" s="59" t="s">
        <v>180</v>
      </c>
      <c r="J49" s="59"/>
      <c r="K49" s="59"/>
      <c r="L49" s="59">
        <v>10</v>
      </c>
      <c r="M49" s="62">
        <v>4.7606481481481485E-4</v>
      </c>
      <c r="N49" s="62">
        <v>7.5306712962962957E-4</v>
      </c>
      <c r="O49" s="62">
        <v>1.0229976851851852E-3</v>
      </c>
      <c r="P49" s="62">
        <v>8.5793981481481485E-4</v>
      </c>
      <c r="Q49" s="62">
        <v>2.1210763888888889E-3</v>
      </c>
      <c r="R49" s="62">
        <v>1.9406712962962962E-3</v>
      </c>
      <c r="S49" s="62">
        <v>4.7606481481481485E-4</v>
      </c>
      <c r="T49" s="62">
        <v>7.5306712962962957E-4</v>
      </c>
      <c r="U49" s="62">
        <v>1.0229976851851852E-3</v>
      </c>
      <c r="V49" s="62">
        <v>8.5793981481481485E-4</v>
      </c>
      <c r="W49" s="62">
        <v>2.1210763888888889E-3</v>
      </c>
      <c r="X49" s="62">
        <v>1.9406712962962962E-3</v>
      </c>
    </row>
    <row r="50" spans="1:24" x14ac:dyDescent="0.45">
      <c r="A50" s="59" t="s">
        <v>246</v>
      </c>
      <c r="B50" s="59" t="s">
        <v>182</v>
      </c>
      <c r="C50" s="59">
        <v>17</v>
      </c>
      <c r="D50" s="59">
        <v>17</v>
      </c>
      <c r="E50" s="61">
        <v>45658</v>
      </c>
      <c r="F50" s="61">
        <v>46023</v>
      </c>
      <c r="G50" s="61">
        <v>45658</v>
      </c>
      <c r="H50" s="59" t="s">
        <v>178</v>
      </c>
      <c r="I50" s="59" t="s">
        <v>180</v>
      </c>
      <c r="J50" s="59"/>
      <c r="K50" s="59"/>
      <c r="L50" s="59">
        <v>10</v>
      </c>
      <c r="M50" s="62">
        <v>4.8133101851851852E-4</v>
      </c>
      <c r="N50" s="62">
        <v>7.6043981481481492E-4</v>
      </c>
      <c r="O50" s="62">
        <v>1.0378935185185187E-3</v>
      </c>
      <c r="P50" s="62">
        <v>8.7644675925925932E-4</v>
      </c>
      <c r="Q50" s="62">
        <v>2.1462037037037036E-3</v>
      </c>
      <c r="R50" s="62">
        <v>1.9635416666666668E-3</v>
      </c>
      <c r="S50" s="62">
        <v>4.8133101851851852E-4</v>
      </c>
      <c r="T50" s="62">
        <v>7.6043981481481492E-4</v>
      </c>
      <c r="U50" s="62">
        <v>1.0378935185185187E-3</v>
      </c>
      <c r="V50" s="62">
        <v>8.7644675925925932E-4</v>
      </c>
      <c r="W50" s="62">
        <v>2.1462037037037036E-3</v>
      </c>
      <c r="X50" s="62">
        <v>1.9635416666666668E-3</v>
      </c>
    </row>
    <row r="51" spans="1:24" x14ac:dyDescent="0.45">
      <c r="A51" s="59" t="s">
        <v>246</v>
      </c>
      <c r="B51" s="59" t="s">
        <v>182</v>
      </c>
      <c r="C51" s="59">
        <v>12</v>
      </c>
      <c r="D51" s="59">
        <v>16</v>
      </c>
      <c r="E51" s="61">
        <v>45658</v>
      </c>
      <c r="F51" s="61">
        <v>46023</v>
      </c>
      <c r="G51" s="61">
        <v>45658</v>
      </c>
      <c r="H51" s="59" t="s">
        <v>178</v>
      </c>
      <c r="I51" s="59" t="s">
        <v>180</v>
      </c>
      <c r="J51" s="59"/>
      <c r="K51" s="59"/>
      <c r="L51" s="59">
        <v>10</v>
      </c>
      <c r="M51" s="62">
        <v>4.8599537037037036E-4</v>
      </c>
      <c r="N51" s="62">
        <v>7.6736111111111113E-4</v>
      </c>
      <c r="O51" s="62">
        <v>1.0517361111111114E-3</v>
      </c>
      <c r="P51" s="62">
        <v>8.9344907407407418E-4</v>
      </c>
      <c r="Q51" s="62">
        <v>2.1695254629629629E-3</v>
      </c>
      <c r="R51" s="62">
        <v>1.9846064814814817E-3</v>
      </c>
      <c r="S51" s="62">
        <v>4.8599537037037036E-4</v>
      </c>
      <c r="T51" s="62">
        <v>7.6736111111111113E-4</v>
      </c>
      <c r="U51" s="62">
        <v>1.0517361111111114E-3</v>
      </c>
      <c r="V51" s="62">
        <v>8.9344907407407418E-4</v>
      </c>
      <c r="W51" s="62">
        <v>2.1695254629629629E-3</v>
      </c>
      <c r="X51" s="62">
        <v>1.9846064814814817E-3</v>
      </c>
    </row>
    <row r="52" spans="1:24" x14ac:dyDescent="0.45">
      <c r="A52" s="59" t="s">
        <v>247</v>
      </c>
      <c r="B52" s="59" t="s">
        <v>164</v>
      </c>
      <c r="C52" s="59">
        <v>18</v>
      </c>
      <c r="D52" s="59">
        <v>18</v>
      </c>
      <c r="E52" s="61">
        <v>45658</v>
      </c>
      <c r="F52" s="61">
        <v>46023</v>
      </c>
      <c r="G52" s="61">
        <v>45658</v>
      </c>
      <c r="H52" s="59" t="s">
        <v>178</v>
      </c>
      <c r="I52" s="59" t="s">
        <v>180</v>
      </c>
      <c r="J52" s="59"/>
      <c r="K52" s="59"/>
      <c r="L52" s="59">
        <v>10</v>
      </c>
      <c r="M52" s="62">
        <v>5.8891203703703709E-4</v>
      </c>
      <c r="N52" s="62">
        <v>8.8622685185185191E-4</v>
      </c>
      <c r="O52" s="62">
        <v>1.1985879629629629E-3</v>
      </c>
      <c r="P52" s="62">
        <v>9.8432870370370362E-4</v>
      </c>
      <c r="Q52" s="62">
        <v>2.3201388888888889E-3</v>
      </c>
      <c r="R52" s="62">
        <v>2.1073842592592594E-3</v>
      </c>
      <c r="S52" s="62">
        <v>5.8891203703703709E-4</v>
      </c>
      <c r="T52" s="62">
        <v>8.8622685185185191E-4</v>
      </c>
      <c r="U52" s="62">
        <v>1.1985879629629629E-3</v>
      </c>
      <c r="V52" s="62">
        <v>9.8432870370370362E-4</v>
      </c>
      <c r="W52" s="62">
        <v>2.3201388888888889E-3</v>
      </c>
      <c r="X52" s="62">
        <v>2.1073842592592594E-3</v>
      </c>
    </row>
    <row r="53" spans="1:24" x14ac:dyDescent="0.45">
      <c r="A53" s="59" t="s">
        <v>247</v>
      </c>
      <c r="B53" s="59" t="s">
        <v>164</v>
      </c>
      <c r="C53" s="59">
        <v>17</v>
      </c>
      <c r="D53" s="59">
        <v>17</v>
      </c>
      <c r="E53" s="61">
        <v>45658</v>
      </c>
      <c r="F53" s="61">
        <v>46023</v>
      </c>
      <c r="G53" s="61">
        <v>45658</v>
      </c>
      <c r="H53" s="59" t="s">
        <v>178</v>
      </c>
      <c r="I53" s="59" t="s">
        <v>180</v>
      </c>
      <c r="J53" s="59"/>
      <c r="K53" s="59"/>
      <c r="L53" s="59">
        <v>10</v>
      </c>
      <c r="M53" s="62">
        <v>6.0079861111111119E-4</v>
      </c>
      <c r="N53" s="62">
        <v>8.9630787037037044E-4</v>
      </c>
      <c r="O53" s="62">
        <v>1.2201041666666669E-3</v>
      </c>
      <c r="P53" s="62">
        <v>9.9877314814814815E-4</v>
      </c>
      <c r="Q53" s="62">
        <v>2.3372916666666668E-3</v>
      </c>
      <c r="R53" s="62">
        <v>2.1153587962962966E-3</v>
      </c>
      <c r="S53" s="62">
        <v>6.0079861111111119E-4</v>
      </c>
      <c r="T53" s="62">
        <v>8.9630787037037044E-4</v>
      </c>
      <c r="U53" s="62">
        <v>1.2201041666666669E-3</v>
      </c>
      <c r="V53" s="62">
        <v>9.9877314814814815E-4</v>
      </c>
      <c r="W53" s="62">
        <v>2.3372916666666668E-3</v>
      </c>
      <c r="X53" s="62">
        <v>2.1153587962962966E-3</v>
      </c>
    </row>
    <row r="54" spans="1:24" x14ac:dyDescent="0.45">
      <c r="A54" s="59" t="s">
        <v>247</v>
      </c>
      <c r="B54" s="59" t="s">
        <v>164</v>
      </c>
      <c r="C54" s="59">
        <v>12</v>
      </c>
      <c r="D54" s="59">
        <v>16</v>
      </c>
      <c r="E54" s="61">
        <v>45658</v>
      </c>
      <c r="F54" s="61">
        <v>46023</v>
      </c>
      <c r="G54" s="61">
        <v>45658</v>
      </c>
      <c r="H54" s="59" t="s">
        <v>178</v>
      </c>
      <c r="I54" s="59" t="s">
        <v>180</v>
      </c>
      <c r="J54" s="59"/>
      <c r="K54" s="59"/>
      <c r="L54" s="59">
        <v>10</v>
      </c>
      <c r="M54" s="62">
        <v>6.1208333333333329E-4</v>
      </c>
      <c r="N54" s="62">
        <v>9.0563657407407411E-4</v>
      </c>
      <c r="O54" s="62">
        <v>1.2399652777777778E-3</v>
      </c>
      <c r="P54" s="62">
        <v>1.0120138888888889E-3</v>
      </c>
      <c r="Q54" s="62">
        <v>2.3532407407407408E-3</v>
      </c>
      <c r="R54" s="62">
        <v>2.1227314814814815E-3</v>
      </c>
      <c r="S54" s="62">
        <v>6.1208333333333329E-4</v>
      </c>
      <c r="T54" s="62">
        <v>9.0563657407407411E-4</v>
      </c>
      <c r="U54" s="62">
        <v>1.2399652777777778E-3</v>
      </c>
      <c r="V54" s="62">
        <v>1.0120138888888889E-3</v>
      </c>
      <c r="W54" s="62">
        <v>2.3532407407407408E-3</v>
      </c>
      <c r="X54" s="62">
        <v>2.1227314814814815E-3</v>
      </c>
    </row>
    <row r="55" spans="1:24" x14ac:dyDescent="0.45">
      <c r="A55" s="59" t="s">
        <v>233</v>
      </c>
      <c r="B55" s="59" t="s">
        <v>164</v>
      </c>
      <c r="C55" s="59">
        <v>15</v>
      </c>
      <c r="D55" s="59">
        <v>18</v>
      </c>
      <c r="E55" s="61">
        <v>45658</v>
      </c>
      <c r="F55" s="61">
        <v>46174</v>
      </c>
      <c r="G55" s="61">
        <v>45658</v>
      </c>
      <c r="H55" s="59" t="s">
        <v>178</v>
      </c>
      <c r="I55" s="59" t="s">
        <v>179</v>
      </c>
      <c r="J55" s="59">
        <v>25</v>
      </c>
      <c r="K55" s="59"/>
      <c r="L55" s="59">
        <v>10</v>
      </c>
      <c r="M55" s="62">
        <v>4.6817129629629634E-4</v>
      </c>
      <c r="N55" s="62">
        <v>7.4872685185185188E-4</v>
      </c>
      <c r="O55" s="62">
        <v>9.9224537037037033E-4</v>
      </c>
      <c r="P55" s="62">
        <v>7.8888888888888889E-4</v>
      </c>
      <c r="Q55" s="62">
        <v>1.9605324074074074E-3</v>
      </c>
      <c r="R55" s="62">
        <v>1.7837962962962963E-3</v>
      </c>
      <c r="S55" s="62">
        <v>4.803240740740741E-4</v>
      </c>
      <c r="T55" s="62">
        <v>7.8599537037037039E-4</v>
      </c>
      <c r="U55" s="62">
        <v>1.0240740740740742E-3</v>
      </c>
      <c r="V55" s="62">
        <v>8.2766203703703712E-4</v>
      </c>
      <c r="W55" s="62">
        <v>2.0114583333333334E-3</v>
      </c>
      <c r="X55" s="62">
        <v>1.8332175925925925E-3</v>
      </c>
    </row>
    <row r="56" spans="1:24" x14ac:dyDescent="0.45">
      <c r="A56" s="59" t="s">
        <v>233</v>
      </c>
      <c r="B56" s="59" t="s">
        <v>164</v>
      </c>
      <c r="C56" s="59">
        <v>15</v>
      </c>
      <c r="D56" s="59">
        <v>18</v>
      </c>
      <c r="E56" s="61">
        <v>45658</v>
      </c>
      <c r="F56" s="61">
        <v>46174</v>
      </c>
      <c r="G56" s="61">
        <v>45658</v>
      </c>
      <c r="H56" s="59" t="s">
        <v>178</v>
      </c>
      <c r="I56" s="59" t="s">
        <v>179</v>
      </c>
      <c r="J56" s="59">
        <v>50</v>
      </c>
      <c r="K56" s="59"/>
      <c r="L56" s="59">
        <v>10</v>
      </c>
      <c r="M56" s="62">
        <f>M55*1.1</f>
        <v>5.1498842592592601E-4</v>
      </c>
      <c r="N56" s="62">
        <f t="shared" ref="N56:X56" si="6">N55*1.1</f>
        <v>8.2359953703703718E-4</v>
      </c>
      <c r="O56" s="62">
        <f t="shared" si="6"/>
        <v>1.0914699074074075E-3</v>
      </c>
      <c r="P56" s="62">
        <f t="shared" si="6"/>
        <v>8.6777777777777786E-4</v>
      </c>
      <c r="Q56" s="62">
        <f t="shared" si="6"/>
        <v>2.1565856481481484E-3</v>
      </c>
      <c r="R56" s="62">
        <f t="shared" si="6"/>
        <v>1.9621759259259262E-3</v>
      </c>
      <c r="S56" s="62">
        <f t="shared" si="6"/>
        <v>5.2835648148148154E-4</v>
      </c>
      <c r="T56" s="62">
        <f t="shared" si="6"/>
        <v>8.6459490740740746E-4</v>
      </c>
      <c r="U56" s="62">
        <f t="shared" si="6"/>
        <v>1.1264814814814818E-3</v>
      </c>
      <c r="V56" s="62">
        <f t="shared" si="6"/>
        <v>9.1042824074074095E-4</v>
      </c>
      <c r="W56" s="62">
        <f t="shared" si="6"/>
        <v>2.212604166666667E-3</v>
      </c>
      <c r="X56" s="62">
        <f t="shared" si="6"/>
        <v>2.0165393518518518E-3</v>
      </c>
    </row>
    <row r="57" spans="1:24" x14ac:dyDescent="0.45">
      <c r="A57" s="59" t="s">
        <v>234</v>
      </c>
      <c r="B57" s="59" t="s">
        <v>164</v>
      </c>
      <c r="C57" s="59">
        <v>19</v>
      </c>
      <c r="D57" s="59">
        <v>19</v>
      </c>
      <c r="E57" s="61">
        <v>45658</v>
      </c>
      <c r="F57" s="61">
        <v>46174</v>
      </c>
      <c r="G57" s="61">
        <v>45658</v>
      </c>
      <c r="H57" s="59" t="s">
        <v>178</v>
      </c>
      <c r="I57" s="59" t="s">
        <v>180</v>
      </c>
      <c r="J57" s="59"/>
      <c r="K57" s="59"/>
      <c r="L57" s="59">
        <v>10</v>
      </c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</row>
    <row r="58" spans="1:24" x14ac:dyDescent="0.45">
      <c r="A58" s="59" t="s">
        <v>234</v>
      </c>
      <c r="B58" s="59" t="s">
        <v>182</v>
      </c>
      <c r="C58" s="59">
        <v>20</v>
      </c>
      <c r="D58" s="59">
        <v>22</v>
      </c>
      <c r="E58" s="61">
        <v>45658</v>
      </c>
      <c r="F58" s="61">
        <v>46174</v>
      </c>
      <c r="G58" s="61">
        <v>45658</v>
      </c>
      <c r="H58" s="59" t="s">
        <v>178</v>
      </c>
      <c r="I58" s="59" t="s">
        <v>180</v>
      </c>
      <c r="J58" s="59"/>
      <c r="K58" s="59"/>
      <c r="L58" s="59">
        <v>10</v>
      </c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</row>
    <row r="59" spans="1:24" x14ac:dyDescent="0.45">
      <c r="A59" s="59" t="s">
        <v>234</v>
      </c>
      <c r="B59" s="59" t="s">
        <v>182</v>
      </c>
      <c r="C59" s="59">
        <v>23</v>
      </c>
      <c r="D59" s="59">
        <v>50</v>
      </c>
      <c r="E59" s="61">
        <v>45658</v>
      </c>
      <c r="F59" s="61">
        <v>46174</v>
      </c>
      <c r="G59" s="61">
        <v>45658</v>
      </c>
      <c r="H59" s="59" t="s">
        <v>178</v>
      </c>
      <c r="I59" s="59" t="s">
        <v>180</v>
      </c>
      <c r="J59" s="59"/>
      <c r="K59" s="59"/>
      <c r="L59" s="59">
        <v>10</v>
      </c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</row>
    <row r="60" spans="1:24" x14ac:dyDescent="0.45">
      <c r="A60" s="59" t="s">
        <v>235</v>
      </c>
      <c r="B60" s="59" t="s">
        <v>164</v>
      </c>
      <c r="C60" s="59">
        <v>19</v>
      </c>
      <c r="D60" s="59">
        <v>19</v>
      </c>
      <c r="E60" s="61">
        <v>45658</v>
      </c>
      <c r="F60" s="61">
        <v>46174</v>
      </c>
      <c r="G60" s="61">
        <v>45658</v>
      </c>
      <c r="H60" s="59" t="s">
        <v>178</v>
      </c>
      <c r="I60" s="59" t="s">
        <v>180</v>
      </c>
      <c r="J60" s="59"/>
      <c r="K60" s="59"/>
      <c r="L60" s="59">
        <v>10</v>
      </c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</row>
    <row r="61" spans="1:24" x14ac:dyDescent="0.45">
      <c r="A61" s="59" t="s">
        <v>235</v>
      </c>
      <c r="B61" s="59" t="s">
        <v>182</v>
      </c>
      <c r="C61" s="59">
        <v>20</v>
      </c>
      <c r="D61" s="59">
        <v>22</v>
      </c>
      <c r="E61" s="61">
        <v>45658</v>
      </c>
      <c r="F61" s="61">
        <v>46174</v>
      </c>
      <c r="G61" s="61">
        <v>45658</v>
      </c>
      <c r="H61" s="59" t="s">
        <v>178</v>
      </c>
      <c r="I61" s="59" t="s">
        <v>180</v>
      </c>
      <c r="J61" s="59"/>
      <c r="K61" s="59"/>
      <c r="L61" s="59">
        <v>10</v>
      </c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</row>
    <row r="62" spans="1:24" x14ac:dyDescent="0.45">
      <c r="A62" s="59" t="s">
        <v>235</v>
      </c>
      <c r="B62" s="59" t="s">
        <v>182</v>
      </c>
      <c r="C62" s="59">
        <v>23</v>
      </c>
      <c r="D62" s="59">
        <v>50</v>
      </c>
      <c r="E62" s="61">
        <v>45658</v>
      </c>
      <c r="F62" s="61">
        <v>46174</v>
      </c>
      <c r="G62" s="61">
        <v>45658</v>
      </c>
      <c r="H62" s="59" t="s">
        <v>178</v>
      </c>
      <c r="I62" s="59" t="s">
        <v>180</v>
      </c>
      <c r="J62" s="59"/>
      <c r="K62" s="59"/>
      <c r="L62" s="59">
        <v>10</v>
      </c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AA37"/>
  <sheetViews>
    <sheetView tabSelected="1" workbookViewId="0">
      <selection activeCell="K20" sqref="K20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229</v>
      </c>
      <c r="H3" t="s">
        <v>231</v>
      </c>
      <c r="Q3" t="s">
        <v>236</v>
      </c>
      <c r="W3" t="s">
        <v>237</v>
      </c>
    </row>
    <row r="4" spans="2:27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  <c r="Q4" s="63" t="s">
        <v>224</v>
      </c>
      <c r="R4" s="69" t="s">
        <v>238</v>
      </c>
      <c r="S4" s="69" t="s">
        <v>239</v>
      </c>
      <c r="T4" s="69" t="s">
        <v>240</v>
      </c>
      <c r="W4" s="63" t="s">
        <v>224</v>
      </c>
      <c r="X4" s="69" t="s">
        <v>238</v>
      </c>
      <c r="Y4" s="69" t="s">
        <v>239</v>
      </c>
      <c r="Z4" s="69" t="s">
        <v>240</v>
      </c>
    </row>
    <row r="5" spans="2:2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/>
      <c r="Q5" s="64" t="s">
        <v>0</v>
      </c>
      <c r="R5" s="65">
        <v>3.7384259259259255E-4</v>
      </c>
      <c r="S5" s="65">
        <v>3.7025462962962961E-4</v>
      </c>
      <c r="T5" s="65">
        <v>3.6620370370370371E-4</v>
      </c>
      <c r="W5" s="64" t="s">
        <v>0</v>
      </c>
      <c r="X5" s="65">
        <v>4.4097222222222226E-4</v>
      </c>
      <c r="Y5" s="65">
        <v>4.3379629629629627E-4</v>
      </c>
      <c r="Z5" s="65">
        <v>4.1157407407407408E-4</v>
      </c>
    </row>
    <row r="6" spans="2:27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/>
      <c r="Q6" s="64" t="s">
        <v>225</v>
      </c>
      <c r="R6" s="65">
        <v>8.0902777777777787E-4</v>
      </c>
      <c r="S6" s="65">
        <v>7.9837962962962968E-4</v>
      </c>
      <c r="T6" s="65">
        <v>7.869212962962962E-4</v>
      </c>
      <c r="W6" s="64" t="s">
        <v>225</v>
      </c>
      <c r="X6" s="65">
        <v>9.0034722222222209E-4</v>
      </c>
      <c r="Y6" s="65">
        <v>8.8726851851851846E-4</v>
      </c>
      <c r="Z6" s="65">
        <v>8.4699074074074082E-4</v>
      </c>
    </row>
    <row r="7" spans="2:27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/>
      <c r="Q7" s="64" t="s">
        <v>226</v>
      </c>
      <c r="R7" s="65">
        <v>5.9027777777777778E-4</v>
      </c>
      <c r="S7" s="65">
        <v>5.8495370370370374E-4</v>
      </c>
      <c r="T7" s="65">
        <v>5.7928240740740737E-4</v>
      </c>
      <c r="W7" s="64" t="s">
        <v>226</v>
      </c>
      <c r="X7" s="65">
        <v>6.7164351851851857E-4</v>
      </c>
      <c r="Y7" s="65">
        <v>6.653935185185185E-4</v>
      </c>
      <c r="Z7" s="65">
        <v>6.4606481481481481E-4</v>
      </c>
    </row>
    <row r="8" spans="2:27" ht="15" customHeight="1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/>
      <c r="Q8" s="64" t="s">
        <v>227</v>
      </c>
      <c r="R8" s="65">
        <v>6.8726851851851859E-4</v>
      </c>
      <c r="S8" s="65">
        <v>6.7418981481481486E-4</v>
      </c>
      <c r="T8" s="65">
        <v>6.5995370370370372E-4</v>
      </c>
      <c r="W8" s="64" t="s">
        <v>227</v>
      </c>
      <c r="X8" s="65">
        <v>7.4259259259259254E-4</v>
      </c>
      <c r="Y8" s="65">
        <v>7.3368055555555556E-4</v>
      </c>
      <c r="Z8" s="65">
        <v>7.0625000000000006E-4</v>
      </c>
    </row>
    <row r="9" spans="2:27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/>
      <c r="Q9" s="64" t="s">
        <v>228</v>
      </c>
      <c r="R9" s="65">
        <v>1.5266203703703705E-3</v>
      </c>
      <c r="S9" s="65">
        <v>1.5104166666666666E-3</v>
      </c>
      <c r="T9" s="65">
        <v>1.4928240740740739E-3</v>
      </c>
      <c r="W9" s="64" t="s">
        <v>228</v>
      </c>
      <c r="X9" s="65">
        <v>1.6129629629629632E-3</v>
      </c>
      <c r="Y9" s="65">
        <v>1.6078703703703706E-3</v>
      </c>
      <c r="Z9" s="65">
        <v>1.5918981481481481E-3</v>
      </c>
    </row>
    <row r="10" spans="2:2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/>
      <c r="Q10" s="64" t="s">
        <v>4</v>
      </c>
      <c r="R10" s="65">
        <v>1.6688657407407407E-3</v>
      </c>
      <c r="S10" s="65">
        <v>1.6509259259259257E-3</v>
      </c>
      <c r="T10" s="65">
        <v>1.6315972222222222E-3</v>
      </c>
      <c r="W10" s="64" t="s">
        <v>230</v>
      </c>
      <c r="X10" s="65">
        <v>1.767361111111111E-3</v>
      </c>
      <c r="Y10" s="65">
        <v>1.7564814814814815E-3</v>
      </c>
      <c r="Z10" s="65">
        <v>1.7228009259259258E-3</v>
      </c>
    </row>
    <row r="12" spans="2:27" x14ac:dyDescent="0.45">
      <c r="B12" t="s">
        <v>232</v>
      </c>
      <c r="H12" t="s">
        <v>232</v>
      </c>
      <c r="Q12" t="s">
        <v>241</v>
      </c>
      <c r="W12" t="s">
        <v>241</v>
      </c>
    </row>
    <row r="13" spans="2:27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  <c r="Q13" s="63" t="s">
        <v>224</v>
      </c>
      <c r="R13" s="69" t="s">
        <v>238</v>
      </c>
      <c r="S13" s="69" t="s">
        <v>239</v>
      </c>
      <c r="T13" s="69" t="s">
        <v>240</v>
      </c>
      <c r="W13" s="63" t="s">
        <v>224</v>
      </c>
      <c r="X13" s="69" t="s">
        <v>238</v>
      </c>
      <c r="Y13" s="69" t="s">
        <v>239</v>
      </c>
      <c r="Z13" s="69" t="s">
        <v>240</v>
      </c>
    </row>
    <row r="14" spans="2:27" x14ac:dyDescent="0.45">
      <c r="B14" s="64" t="s">
        <v>0</v>
      </c>
      <c r="C14" s="65">
        <f>C5*$F14</f>
        <v>4.6730324074074068E-4</v>
      </c>
      <c r="D14" s="65">
        <f t="shared" ref="D14:E14" si="0">D5*$F14</f>
        <v>4.6281828703703703E-4</v>
      </c>
      <c r="E14" s="65">
        <f t="shared" si="0"/>
        <v>4.5775462962962962E-4</v>
      </c>
      <c r="F14">
        <v>1.25</v>
      </c>
      <c r="H14" s="64" t="s">
        <v>0</v>
      </c>
      <c r="I14" s="65">
        <f>I5*$L14</f>
        <v>5.8854166666666668E-4</v>
      </c>
      <c r="J14" s="65">
        <f t="shared" ref="J14:K14" si="1">J5*$L14</f>
        <v>5.7769097222222228E-4</v>
      </c>
      <c r="K14" s="65">
        <f t="shared" si="1"/>
        <v>5.6626157407407406E-4</v>
      </c>
      <c r="L14">
        <v>1.25</v>
      </c>
      <c r="Q14" s="64" t="s">
        <v>0</v>
      </c>
      <c r="R14" s="65">
        <f>R5*$U14</f>
        <v>4.4861111111111105E-4</v>
      </c>
      <c r="S14" s="65">
        <f t="shared" ref="S14:T14" si="2">S5*$U14</f>
        <v>4.4430555555555553E-4</v>
      </c>
      <c r="T14" s="65">
        <f t="shared" si="2"/>
        <v>4.3944444444444445E-4</v>
      </c>
      <c r="U14">
        <v>1.2</v>
      </c>
      <c r="W14" s="64" t="s">
        <v>0</v>
      </c>
      <c r="X14" s="65">
        <f>X5*$AA14</f>
        <v>4.8506944444444455E-4</v>
      </c>
      <c r="Y14" s="65">
        <f t="shared" ref="Y14:Z14" si="3">Y5*$AA14</f>
        <v>4.7717592592592592E-4</v>
      </c>
      <c r="Z14" s="65">
        <f t="shared" si="3"/>
        <v>4.5273148148148153E-4</v>
      </c>
      <c r="AA14">
        <v>1.1000000000000001</v>
      </c>
    </row>
    <row r="15" spans="2:27" x14ac:dyDescent="0.45">
      <c r="B15" s="64" t="s">
        <v>225</v>
      </c>
      <c r="C15" s="65">
        <f t="shared" ref="C15:E15" si="4">C6*$F15</f>
        <v>1.0112847222222224E-3</v>
      </c>
      <c r="D15" s="65">
        <f t="shared" si="4"/>
        <v>9.9797453703703702E-4</v>
      </c>
      <c r="E15" s="65">
        <f t="shared" si="4"/>
        <v>9.8365162037037019E-4</v>
      </c>
      <c r="F15">
        <v>1.25</v>
      </c>
      <c r="H15" s="64" t="s">
        <v>225</v>
      </c>
      <c r="I15" s="65">
        <f t="shared" ref="I15:K15" si="5">I6*$L15</f>
        <v>1.1922743055555556E-3</v>
      </c>
      <c r="J15" s="65">
        <f t="shared" si="5"/>
        <v>1.1731770833333334E-3</v>
      </c>
      <c r="K15" s="65">
        <f t="shared" si="5"/>
        <v>1.1524884259259259E-3</v>
      </c>
      <c r="L15">
        <v>1.25</v>
      </c>
      <c r="Q15" s="64" t="s">
        <v>225</v>
      </c>
      <c r="R15" s="65">
        <f t="shared" ref="R15:T15" si="6">R6*$U15</f>
        <v>9.7083333333333342E-4</v>
      </c>
      <c r="S15" s="65">
        <f t="shared" si="6"/>
        <v>9.5805555555555553E-4</v>
      </c>
      <c r="T15" s="65">
        <f t="shared" si="6"/>
        <v>9.4430555555555544E-4</v>
      </c>
      <c r="U15">
        <v>1.2</v>
      </c>
      <c r="W15" s="64" t="s">
        <v>225</v>
      </c>
      <c r="X15" s="65">
        <f t="shared" ref="X15:Z15" si="7">X6*$AA15</f>
        <v>9.9038194444444434E-4</v>
      </c>
      <c r="Y15" s="65">
        <f t="shared" si="7"/>
        <v>9.7599537037037034E-4</v>
      </c>
      <c r="Z15" s="65">
        <f t="shared" si="7"/>
        <v>9.3168981481481499E-4</v>
      </c>
      <c r="AA15">
        <v>1.1000000000000001</v>
      </c>
    </row>
    <row r="16" spans="2:27" x14ac:dyDescent="0.45">
      <c r="B16" s="64" t="s">
        <v>226</v>
      </c>
      <c r="C16" s="65">
        <f t="shared" ref="C16:E16" si="8">C7*$F16</f>
        <v>7.378472222222222E-4</v>
      </c>
      <c r="D16" s="65">
        <f t="shared" si="8"/>
        <v>7.311921296296297E-4</v>
      </c>
      <c r="E16" s="65">
        <f t="shared" si="8"/>
        <v>7.2410300925925919E-4</v>
      </c>
      <c r="F16">
        <v>1.25</v>
      </c>
      <c r="H16" s="64" t="s">
        <v>226</v>
      </c>
      <c r="I16" s="65">
        <f t="shared" ref="I16:K16" si="9">I7*$L16</f>
        <v>8.7080439814814811E-4</v>
      </c>
      <c r="J16" s="65">
        <f t="shared" si="9"/>
        <v>8.6183449074074081E-4</v>
      </c>
      <c r="K16" s="65">
        <f t="shared" si="9"/>
        <v>8.521412037037037E-4</v>
      </c>
      <c r="L16">
        <v>1.25</v>
      </c>
      <c r="Q16" s="64" t="s">
        <v>226</v>
      </c>
      <c r="R16" s="65">
        <f t="shared" ref="R16:T16" si="10">R7*$U16</f>
        <v>7.0833333333333328E-4</v>
      </c>
      <c r="S16" s="65">
        <f t="shared" si="10"/>
        <v>7.0194444444444449E-4</v>
      </c>
      <c r="T16" s="65">
        <f t="shared" si="10"/>
        <v>6.951388888888888E-4</v>
      </c>
      <c r="U16">
        <v>1.2</v>
      </c>
      <c r="W16" s="64" t="s">
        <v>226</v>
      </c>
      <c r="X16" s="65">
        <f t="shared" ref="X16:Z16" si="11">X7*$AA16</f>
        <v>7.3880787037037046E-4</v>
      </c>
      <c r="Y16" s="65">
        <f t="shared" si="11"/>
        <v>7.3193287037037042E-4</v>
      </c>
      <c r="Z16" s="65">
        <f t="shared" si="11"/>
        <v>7.1067129629629638E-4</v>
      </c>
      <c r="AA16">
        <v>1.1000000000000001</v>
      </c>
    </row>
    <row r="17" spans="2:27" ht="14.25" customHeight="1" x14ac:dyDescent="0.45">
      <c r="B17" s="64" t="s">
        <v>227</v>
      </c>
      <c r="C17" s="65">
        <f t="shared" ref="C17:E17" si="12">C8*$F17</f>
        <v>8.5908564814814821E-4</v>
      </c>
      <c r="D17" s="65">
        <f t="shared" si="12"/>
        <v>8.427372685185186E-4</v>
      </c>
      <c r="E17" s="65">
        <f t="shared" si="12"/>
        <v>8.2494212962962968E-4</v>
      </c>
      <c r="F17">
        <v>1.25</v>
      </c>
      <c r="H17" s="64" t="s">
        <v>227</v>
      </c>
      <c r="I17" s="65">
        <f t="shared" ref="I17:K17" si="13">I8*$L17</f>
        <v>9.730902777777778E-4</v>
      </c>
      <c r="J17" s="65">
        <f t="shared" si="13"/>
        <v>9.6035879629629618E-4</v>
      </c>
      <c r="K17" s="65">
        <f t="shared" si="13"/>
        <v>9.4646990740740737E-4</v>
      </c>
      <c r="L17">
        <v>1.25</v>
      </c>
      <c r="Q17" s="64" t="s">
        <v>227</v>
      </c>
      <c r="R17" s="65">
        <f t="shared" ref="R17:T17" si="14">R8*$U17</f>
        <v>8.2472222222222224E-4</v>
      </c>
      <c r="S17" s="65">
        <f t="shared" si="14"/>
        <v>8.0902777777777776E-4</v>
      </c>
      <c r="T17" s="65">
        <f t="shared" si="14"/>
        <v>7.919444444444444E-4</v>
      </c>
      <c r="U17">
        <v>1.2</v>
      </c>
      <c r="W17" s="64" t="s">
        <v>227</v>
      </c>
      <c r="X17" s="65">
        <f t="shared" ref="X17:Z17" si="15">X8*$AA17</f>
        <v>8.1685185185185192E-4</v>
      </c>
      <c r="Y17" s="65">
        <f t="shared" si="15"/>
        <v>8.0704861111111114E-4</v>
      </c>
      <c r="Z17" s="65">
        <f t="shared" si="15"/>
        <v>7.7687500000000011E-4</v>
      </c>
      <c r="AA17">
        <v>1.1000000000000001</v>
      </c>
    </row>
    <row r="18" spans="2:27" x14ac:dyDescent="0.45">
      <c r="B18" s="64" t="s">
        <v>228</v>
      </c>
      <c r="C18" s="65">
        <f t="shared" ref="C18:E18" si="16">C9*$F18</f>
        <v>1.9082754629629632E-3</v>
      </c>
      <c r="D18" s="65">
        <f t="shared" si="16"/>
        <v>1.8880208333333333E-3</v>
      </c>
      <c r="E18" s="65">
        <f t="shared" si="16"/>
        <v>1.8660300925925923E-3</v>
      </c>
      <c r="F18">
        <v>1.25</v>
      </c>
      <c r="H18" s="64" t="s">
        <v>228</v>
      </c>
      <c r="I18" s="65">
        <f t="shared" ref="I18:K18" si="17">I9*$L18</f>
        <v>2.0410879629629629E-3</v>
      </c>
      <c r="J18" s="65">
        <f t="shared" si="17"/>
        <v>2.0339988425925925E-3</v>
      </c>
      <c r="K18" s="65">
        <f t="shared" si="17"/>
        <v>2.0263310185185185E-3</v>
      </c>
      <c r="L18">
        <v>1.25</v>
      </c>
      <c r="Q18" s="64" t="s">
        <v>228</v>
      </c>
      <c r="R18" s="65">
        <f t="shared" ref="R18:T18" si="18">R9*$U18</f>
        <v>1.8319444444444444E-3</v>
      </c>
      <c r="S18" s="65">
        <f t="shared" si="18"/>
        <v>1.8124999999999999E-3</v>
      </c>
      <c r="T18" s="65">
        <f t="shared" si="18"/>
        <v>1.7913888888888886E-3</v>
      </c>
      <c r="U18">
        <v>1.2</v>
      </c>
      <c r="W18" s="64" t="s">
        <v>228</v>
      </c>
      <c r="X18" s="65">
        <f t="shared" ref="X18:Z18" si="19">X9*$AA18</f>
        <v>1.7742592592592597E-3</v>
      </c>
      <c r="Y18" s="65">
        <f t="shared" si="19"/>
        <v>1.7686574074074078E-3</v>
      </c>
      <c r="Z18" s="65">
        <f t="shared" si="19"/>
        <v>1.751087962962963E-3</v>
      </c>
      <c r="AA18">
        <v>1.1000000000000001</v>
      </c>
    </row>
    <row r="19" spans="2:27" x14ac:dyDescent="0.45">
      <c r="B19" s="64" t="s">
        <v>4</v>
      </c>
      <c r="C19" s="65">
        <f t="shared" ref="C19:E19" si="20">C10*$F19</f>
        <v>2.0860821759259261E-3</v>
      </c>
      <c r="D19" s="65">
        <f t="shared" si="20"/>
        <v>2.0636574074074073E-3</v>
      </c>
      <c r="E19" s="65">
        <f t="shared" si="20"/>
        <v>2.0394965277777777E-3</v>
      </c>
      <c r="F19">
        <v>1.25</v>
      </c>
      <c r="H19" s="64" t="s">
        <v>4</v>
      </c>
      <c r="I19" s="65">
        <f t="shared" ref="I19:K19" si="21">I10*$L19</f>
        <v>2.2627314814814815E-3</v>
      </c>
      <c r="J19" s="65">
        <f t="shared" si="21"/>
        <v>2.2473958333333335E-3</v>
      </c>
      <c r="K19" s="65">
        <f t="shared" si="21"/>
        <v>2.2309027777777774E-3</v>
      </c>
      <c r="L19">
        <v>1.25</v>
      </c>
      <c r="Q19" s="64" t="s">
        <v>4</v>
      </c>
      <c r="R19" s="65">
        <f t="shared" ref="R19:T19" si="22">R10*$U19</f>
        <v>2.0026388888888889E-3</v>
      </c>
      <c r="S19" s="65">
        <f t="shared" si="22"/>
        <v>1.9811111111111106E-3</v>
      </c>
      <c r="T19" s="65">
        <f t="shared" si="22"/>
        <v>1.9579166666666664E-3</v>
      </c>
      <c r="U19">
        <v>1.2</v>
      </c>
      <c r="W19" s="64" t="s">
        <v>4</v>
      </c>
      <c r="X19" s="65">
        <f t="shared" ref="X19:Z19" si="23">X10*$AA19</f>
        <v>1.9440972222222223E-3</v>
      </c>
      <c r="Y19" s="65">
        <f t="shared" si="23"/>
        <v>1.9321296296296298E-3</v>
      </c>
      <c r="Z19" s="65">
        <f t="shared" si="23"/>
        <v>1.8950810185185186E-3</v>
      </c>
      <c r="AA19">
        <v>1.1000000000000001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0" t="s">
        <v>14</v>
      </c>
      <c r="B14" s="70"/>
      <c r="C14" s="70"/>
      <c r="D14" s="70"/>
      <c r="E14" s="70"/>
      <c r="F14" s="70"/>
      <c r="G14"/>
      <c r="H14" s="72" t="s">
        <v>35</v>
      </c>
      <c r="I14" s="72"/>
      <c r="J14" s="72"/>
      <c r="L14" s="72" t="s">
        <v>36</v>
      </c>
      <c r="M14"/>
      <c r="N14"/>
    </row>
    <row r="15" spans="1:14" ht="15" customHeight="1" x14ac:dyDescent="0.45">
      <c r="A15" s="70"/>
      <c r="B15" s="70"/>
      <c r="C15" s="70"/>
      <c r="D15" s="70"/>
      <c r="E15" s="70"/>
      <c r="F15" s="70"/>
      <c r="G15"/>
      <c r="H15" s="72"/>
      <c r="I15" s="72"/>
      <c r="J15" s="72"/>
      <c r="L15" s="72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2026-01-22T22:53:48Z</dcterms:modified>
</cp:coreProperties>
</file>