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81B72674-C26E-4281-9CBF-AF67E38698EF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3" l="1"/>
  <c r="Q9" i="13"/>
  <c r="P9" i="13"/>
  <c r="O9" i="13"/>
  <c r="N9" i="13"/>
  <c r="M9" i="13"/>
  <c r="R8" i="13"/>
  <c r="Q8" i="13"/>
  <c r="P8" i="13"/>
  <c r="O8" i="13"/>
  <c r="N8" i="13"/>
  <c r="R7" i="13"/>
  <c r="Q7" i="13"/>
  <c r="P7" i="13"/>
  <c r="O7" i="13"/>
  <c r="N7" i="13"/>
  <c r="M7" i="13"/>
  <c r="M8" i="13"/>
  <c r="K19" i="14"/>
  <c r="J19" i="14"/>
  <c r="I19" i="14"/>
  <c r="K18" i="14"/>
  <c r="J18" i="14"/>
  <c r="I18" i="14"/>
  <c r="K17" i="14"/>
  <c r="J17" i="14"/>
  <c r="I17" i="14"/>
  <c r="K16" i="14"/>
  <c r="J16" i="14"/>
  <c r="I16" i="14"/>
  <c r="K15" i="14"/>
  <c r="J15" i="14"/>
  <c r="I15" i="14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<sst xmlns="http://schemas.openxmlformats.org/spreadsheetml/2006/main" count="662" uniqueCount="236">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</sst>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9"/>
  <sheetViews>
    <sheetView tabSelected="1" workbookViewId="0">
      <selection activeCell="F8" sqref="F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17</v>
      </c>
      <c r="D4" s="59">
        <v>17</v>
      </c>
      <c r="E4" s="61">
        <v>45658</v>
      </c>
      <c r="F4" s="61">
        <v>46022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4.0282407407407411E-4</v>
      </c>
      <c r="N4" s="62">
        <f>Tabelle1!E16</f>
        <v>6.3721064814814814E-4</v>
      </c>
      <c r="O4" s="62">
        <f>Tabelle1!E15</f>
        <v>8.6561342592592593E-4</v>
      </c>
      <c r="P4" s="62">
        <f>Tabelle1!E17</f>
        <v>7.2594907407407417E-4</v>
      </c>
      <c r="Q4" s="62">
        <f>Tabelle1!E19</f>
        <v>1.7947569444444445E-3</v>
      </c>
      <c r="R4" s="62">
        <f>Tabelle1!E18</f>
        <v>1.6421064814814814E-3</v>
      </c>
      <c r="S4" s="62"/>
      <c r="T4" s="62"/>
      <c r="U4" s="62"/>
      <c r="V4" s="62"/>
      <c r="W4" s="62"/>
      <c r="X4" s="62"/>
    </row>
    <row r="5" spans="1:24" x14ac:dyDescent="0.45">
      <c r="A5" s="59" t="s">
        <v>231</v>
      </c>
      <c r="B5" s="59" t="s">
        <v>182</v>
      </c>
      <c r="C5" s="59">
        <v>16</v>
      </c>
      <c r="D5" s="59">
        <v>16</v>
      </c>
      <c r="E5" s="61">
        <v>45658</v>
      </c>
      <c r="F5" s="61">
        <v>46022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4.072800925925926E-4</v>
      </c>
      <c r="N5" s="62">
        <f>Tabelle1!D16</f>
        <v>6.4344907407407417E-4</v>
      </c>
      <c r="O5" s="62">
        <f>Tabelle1!D15</f>
        <v>8.7821759259259276E-4</v>
      </c>
      <c r="P5" s="62">
        <f>Tabelle1!D17</f>
        <v>7.4160879629629642E-4</v>
      </c>
      <c r="Q5" s="62">
        <f>Tabelle1!D19</f>
        <v>1.8160185185185185E-3</v>
      </c>
      <c r="R5" s="62">
        <f>Tabelle1!D18</f>
        <v>1.6614583333333334E-3</v>
      </c>
      <c r="S5" s="62"/>
      <c r="T5" s="62"/>
      <c r="U5" s="62"/>
      <c r="V5" s="62"/>
      <c r="W5" s="62"/>
      <c r="X5" s="62"/>
    </row>
    <row r="6" spans="1:24" x14ac:dyDescent="0.45">
      <c r="A6" s="59" t="s">
        <v>231</v>
      </c>
      <c r="B6" s="59" t="s">
        <v>182</v>
      </c>
      <c r="C6" s="59">
        <v>12</v>
      </c>
      <c r="D6" s="59">
        <v>15</v>
      </c>
      <c r="E6" s="61">
        <v>45658</v>
      </c>
      <c r="F6" s="61">
        <v>46022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4.1122685185185186E-4</v>
      </c>
      <c r="N6" s="62">
        <f>Tabelle1!C16</f>
        <v>6.4930555555555564E-4</v>
      </c>
      <c r="O6" s="62">
        <f>Tabelle1!C15</f>
        <v>8.899305555555557E-4</v>
      </c>
      <c r="P6" s="62">
        <f>Tabelle1!C17</f>
        <v>7.5599537037037052E-4</v>
      </c>
      <c r="Q6" s="62">
        <f>Tabelle1!C19</f>
        <v>1.835752314814815E-3</v>
      </c>
      <c r="R6" s="62">
        <f>Tabelle1!C18</f>
        <v>1.6792824074074075E-3</v>
      </c>
      <c r="S6" s="62"/>
      <c r="T6" s="62"/>
      <c r="U6" s="62"/>
      <c r="V6" s="62"/>
      <c r="W6" s="62"/>
      <c r="X6" s="62"/>
    </row>
    <row r="7" spans="1:24" x14ac:dyDescent="0.45">
      <c r="A7" s="59" t="s">
        <v>235</v>
      </c>
      <c r="B7" s="59" t="s">
        <v>164</v>
      </c>
      <c r="C7" s="59">
        <v>17</v>
      </c>
      <c r="D7" s="59">
        <v>17</v>
      </c>
      <c r="E7" s="61">
        <v>45658</v>
      </c>
      <c r="F7" s="61">
        <v>46022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/>
      <c r="T7" s="62"/>
      <c r="U7" s="62"/>
      <c r="V7" s="62"/>
      <c r="W7" s="62"/>
      <c r="X7" s="62"/>
    </row>
    <row r="8" spans="1:24" x14ac:dyDescent="0.45">
      <c r="A8" s="59" t="s">
        <v>235</v>
      </c>
      <c r="B8" s="59" t="s">
        <v>164</v>
      </c>
      <c r="C8" s="59">
        <v>16</v>
      </c>
      <c r="D8" s="59">
        <v>16</v>
      </c>
      <c r="E8" s="61">
        <v>45658</v>
      </c>
      <c r="F8" s="61">
        <v>46022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/>
      <c r="T8" s="62"/>
      <c r="U8" s="62"/>
      <c r="V8" s="62"/>
      <c r="W8" s="62"/>
      <c r="X8" s="62"/>
    </row>
    <row r="9" spans="1:24" x14ac:dyDescent="0.45">
      <c r="A9" s="59" t="s">
        <v>235</v>
      </c>
      <c r="B9" s="59" t="s">
        <v>164</v>
      </c>
      <c r="C9" s="59">
        <v>12</v>
      </c>
      <c r="D9" s="59">
        <v>15</v>
      </c>
      <c r="E9" s="61">
        <v>45658</v>
      </c>
      <c r="F9" s="61">
        <v>46022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7.6630787037037043E-4</v>
      </c>
      <c r="O9" s="62">
        <f>Tabelle1!I15</f>
        <v>1.049201388888889E-3</v>
      </c>
      <c r="P9" s="62">
        <f>Tabelle1!I17</f>
        <v>8.563194444444446E-4</v>
      </c>
      <c r="Q9" s="62">
        <f>Tabelle1!I19</f>
        <v>1.9912037037037038E-3</v>
      </c>
      <c r="R9" s="62">
        <f>Tabelle1!I18</f>
        <v>1.7961574074074073E-3</v>
      </c>
      <c r="S9" s="62"/>
      <c r="T9" s="62"/>
      <c r="U9" s="62"/>
      <c r="V9" s="62"/>
      <c r="W9" s="62"/>
      <c r="X9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H13" sqref="H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6" t="s">
        <v>224</v>
      </c>
      <c r="C4" s="69">
        <v>2010</v>
      </c>
      <c r="D4" s="69">
        <v>2009</v>
      </c>
      <c r="E4" s="69">
        <v>2008</v>
      </c>
      <c r="H4" s="66" t="s">
        <v>224</v>
      </c>
      <c r="I4" s="69">
        <v>2010</v>
      </c>
      <c r="J4" s="69">
        <v>2009</v>
      </c>
      <c r="K4" s="69">
        <v>2008</v>
      </c>
    </row>
    <row r="5" spans="2:12" x14ac:dyDescent="0.45">
      <c r="B5" s="67" t="s">
        <v>0</v>
      </c>
      <c r="C5" s="68">
        <v>3.7384259259259255E-4</v>
      </c>
      <c r="D5" s="68">
        <v>3.7025462962962961E-4</v>
      </c>
      <c r="E5" s="68">
        <v>3.6620370370370371E-4</v>
      </c>
      <c r="H5" s="67" t="s">
        <v>0</v>
      </c>
      <c r="I5" s="68">
        <v>4.708333333333333E-4</v>
      </c>
      <c r="J5" s="68">
        <v>4.621527777777778E-4</v>
      </c>
      <c r="K5" s="68">
        <v>4.5300925925925928E-4</v>
      </c>
    </row>
    <row r="6" spans="2:12" x14ac:dyDescent="0.45">
      <c r="B6" s="67" t="s">
        <v>225</v>
      </c>
      <c r="C6" s="68">
        <v>8.0902777777777787E-4</v>
      </c>
      <c r="D6" s="68">
        <v>7.9837962962962968E-4</v>
      </c>
      <c r="E6" s="68">
        <v>7.869212962962962E-4</v>
      </c>
      <c r="H6" s="67" t="s">
        <v>225</v>
      </c>
      <c r="I6" s="68">
        <v>9.5381944444444442E-4</v>
      </c>
      <c r="J6" s="68">
        <v>9.3854166666666673E-4</v>
      </c>
      <c r="K6" s="68">
        <v>9.2199074074074069E-4</v>
      </c>
    </row>
    <row r="7" spans="2:12" x14ac:dyDescent="0.45">
      <c r="B7" s="67" t="s">
        <v>226</v>
      </c>
      <c r="C7" s="68">
        <v>5.9027777777777778E-4</v>
      </c>
      <c r="D7" s="68">
        <v>5.8495370370370374E-4</v>
      </c>
      <c r="E7" s="68">
        <v>5.7928240740740737E-4</v>
      </c>
      <c r="H7" s="67" t="s">
        <v>226</v>
      </c>
      <c r="I7" s="68">
        <v>6.9664351851851853E-4</v>
      </c>
      <c r="J7" s="68">
        <v>6.8946759259259265E-4</v>
      </c>
      <c r="K7" s="68">
        <v>6.8171296296296296E-4</v>
      </c>
    </row>
    <row r="8" spans="2:12" x14ac:dyDescent="0.45">
      <c r="B8" s="67" t="s">
        <v>227</v>
      </c>
      <c r="C8" s="68">
        <v>6.8726851851851859E-4</v>
      </c>
      <c r="D8" s="68">
        <v>6.7418981481481486E-4</v>
      </c>
      <c r="E8" s="68">
        <v>6.5995370370370372E-4</v>
      </c>
      <c r="H8" s="67" t="s">
        <v>227</v>
      </c>
      <c r="I8" s="68">
        <v>7.7847222222222228E-4</v>
      </c>
      <c r="J8" s="68">
        <v>7.6828703703703694E-4</v>
      </c>
      <c r="K8" s="68">
        <v>7.571759259259259E-4</v>
      </c>
    </row>
    <row r="9" spans="2:12" x14ac:dyDescent="0.45">
      <c r="B9" s="67" t="s">
        <v>228</v>
      </c>
      <c r="C9" s="68">
        <v>1.5266203703703705E-3</v>
      </c>
      <c r="D9" s="68">
        <v>1.5104166666666666E-3</v>
      </c>
      <c r="E9" s="68">
        <v>1.4928240740740739E-3</v>
      </c>
      <c r="H9" s="67" t="s">
        <v>228</v>
      </c>
      <c r="I9" s="68">
        <v>1.6328703703703702E-3</v>
      </c>
      <c r="J9" s="68">
        <v>1.6271990740740741E-3</v>
      </c>
      <c r="K9" s="68">
        <v>1.6210648148148148E-3</v>
      </c>
    </row>
    <row r="10" spans="2:12" x14ac:dyDescent="0.45">
      <c r="B10" s="67" t="s">
        <v>4</v>
      </c>
      <c r="C10" s="68">
        <v>1.6688657407407407E-3</v>
      </c>
      <c r="D10" s="68">
        <v>1.6509259259259257E-3</v>
      </c>
      <c r="E10" s="68">
        <v>1.6315972222222222E-3</v>
      </c>
      <c r="H10" s="67" t="s">
        <v>232</v>
      </c>
      <c r="I10" s="68">
        <v>1.8101851851851853E-3</v>
      </c>
      <c r="J10" s="68">
        <v>1.7979166666666666E-3</v>
      </c>
      <c r="K10" s="68">
        <v>1.784722222222222E-3</v>
      </c>
    </row>
    <row r="12" spans="2:12" x14ac:dyDescent="0.45">
      <c r="B12" t="s">
        <v>230</v>
      </c>
      <c r="F12">
        <v>1.1000000000000001</v>
      </c>
      <c r="H12" t="s">
        <v>234</v>
      </c>
      <c r="L12">
        <v>1.1000000000000001</v>
      </c>
    </row>
    <row r="13" spans="2:12" x14ac:dyDescent="0.45">
      <c r="B13" s="66" t="s">
        <v>224</v>
      </c>
      <c r="C13" s="69">
        <v>2010</v>
      </c>
      <c r="D13" s="69">
        <v>2009</v>
      </c>
      <c r="E13" s="69">
        <v>2008</v>
      </c>
      <c r="H13" s="66" t="s">
        <v>224</v>
      </c>
      <c r="I13" s="69">
        <v>2010</v>
      </c>
      <c r="J13" s="69">
        <v>2009</v>
      </c>
      <c r="K13" s="69">
        <v>2008</v>
      </c>
    </row>
    <row r="14" spans="2:12" x14ac:dyDescent="0.45">
      <c r="B14" s="67" t="s">
        <v>0</v>
      </c>
      <c r="C14" s="68">
        <f>C5*$F$12</f>
        <v>4.1122685185185186E-4</v>
      </c>
      <c r="D14" s="68">
        <f t="shared" ref="D14:E14" si="0">D5*$F$12</f>
        <v>4.072800925925926E-4</v>
      </c>
      <c r="E14" s="68">
        <f t="shared" si="0"/>
        <v>4.0282407407407411E-4</v>
      </c>
      <c r="H14" s="67" t="s">
        <v>0</v>
      </c>
      <c r="I14" s="68">
        <f>I5*$L$12</f>
        <v>5.1791666666666663E-4</v>
      </c>
      <c r="J14" s="68">
        <f t="shared" ref="J14:K14" si="1">J5*$L$12</f>
        <v>5.0836805555555563E-4</v>
      </c>
      <c r="K14" s="68">
        <f t="shared" si="1"/>
        <v>4.9831018518518529E-4</v>
      </c>
    </row>
    <row r="15" spans="2:12" x14ac:dyDescent="0.45">
      <c r="B15" s="67" t="s">
        <v>225</v>
      </c>
      <c r="C15" s="68">
        <f t="shared" ref="C15:E15" si="2">C6*$F$12</f>
        <v>8.899305555555557E-4</v>
      </c>
      <c r="D15" s="68">
        <f t="shared" si="2"/>
        <v>8.7821759259259276E-4</v>
      </c>
      <c r="E15" s="68">
        <f t="shared" si="2"/>
        <v>8.6561342592592593E-4</v>
      </c>
      <c r="H15" s="67" t="s">
        <v>225</v>
      </c>
      <c r="I15" s="68">
        <f t="shared" ref="I15:K15" si="3">I6*$L$12</f>
        <v>1.049201388888889E-3</v>
      </c>
      <c r="J15" s="68">
        <f t="shared" si="3"/>
        <v>1.0323958333333335E-3</v>
      </c>
      <c r="K15" s="68">
        <f t="shared" si="3"/>
        <v>1.0141898148148148E-3</v>
      </c>
    </row>
    <row r="16" spans="2:12" x14ac:dyDescent="0.45">
      <c r="B16" s="67" t="s">
        <v>226</v>
      </c>
      <c r="C16" s="68">
        <f t="shared" ref="C16:E16" si="4">C7*$F$12</f>
        <v>6.4930555555555564E-4</v>
      </c>
      <c r="D16" s="68">
        <f t="shared" si="4"/>
        <v>6.4344907407407417E-4</v>
      </c>
      <c r="E16" s="68">
        <f t="shared" si="4"/>
        <v>6.3721064814814814E-4</v>
      </c>
      <c r="H16" s="67" t="s">
        <v>226</v>
      </c>
      <c r="I16" s="68">
        <f t="shared" ref="I16:K16" si="5">I7*$L$12</f>
        <v>7.6630787037037043E-4</v>
      </c>
      <c r="J16" s="68">
        <f t="shared" si="5"/>
        <v>7.5841435185185202E-4</v>
      </c>
      <c r="K16" s="68">
        <f t="shared" si="5"/>
        <v>7.4988425925925928E-4</v>
      </c>
    </row>
    <row r="17" spans="2:11" x14ac:dyDescent="0.45">
      <c r="B17" s="67" t="s">
        <v>227</v>
      </c>
      <c r="C17" s="68">
        <f t="shared" ref="C17:E17" si="6">C8*$F$12</f>
        <v>7.5599537037037052E-4</v>
      </c>
      <c r="D17" s="68">
        <f t="shared" si="6"/>
        <v>7.4160879629629642E-4</v>
      </c>
      <c r="E17" s="68">
        <f t="shared" si="6"/>
        <v>7.2594907407407417E-4</v>
      </c>
      <c r="H17" s="67" t="s">
        <v>227</v>
      </c>
      <c r="I17" s="68">
        <f t="shared" ref="I17:K17" si="7">I8*$L$12</f>
        <v>8.563194444444446E-4</v>
      </c>
      <c r="J17" s="68">
        <f t="shared" si="7"/>
        <v>8.4511574074074068E-4</v>
      </c>
      <c r="K17" s="68">
        <f t="shared" si="7"/>
        <v>8.3289351851851851E-4</v>
      </c>
    </row>
    <row r="18" spans="2:11" x14ac:dyDescent="0.45">
      <c r="B18" s="67" t="s">
        <v>228</v>
      </c>
      <c r="C18" s="68">
        <f t="shared" ref="C18:E19" si="8">C9*$F$12</f>
        <v>1.6792824074074075E-3</v>
      </c>
      <c r="D18" s="68">
        <f t="shared" si="8"/>
        <v>1.6614583333333334E-3</v>
      </c>
      <c r="E18" s="68">
        <f t="shared" si="8"/>
        <v>1.6421064814814814E-3</v>
      </c>
      <c r="H18" s="67" t="s">
        <v>228</v>
      </c>
      <c r="I18" s="68">
        <f t="shared" ref="I18:K18" si="9">I9*$L$12</f>
        <v>1.7961574074074073E-3</v>
      </c>
      <c r="J18" s="68">
        <f t="shared" si="9"/>
        <v>1.7899189814814817E-3</v>
      </c>
      <c r="K18" s="68">
        <f t="shared" si="9"/>
        <v>1.7831712962962964E-3</v>
      </c>
    </row>
    <row r="19" spans="2:11" x14ac:dyDescent="0.45">
      <c r="B19" s="67" t="s">
        <v>4</v>
      </c>
      <c r="C19" s="68">
        <f t="shared" si="8"/>
        <v>1.835752314814815E-3</v>
      </c>
      <c r="D19" s="68">
        <f t="shared" si="8"/>
        <v>1.8160185185185185E-3</v>
      </c>
      <c r="E19" s="68">
        <f t="shared" si="8"/>
        <v>1.7947569444444445E-3</v>
      </c>
      <c r="H19" s="67" t="s">
        <v>4</v>
      </c>
      <c r="I19" s="68">
        <f t="shared" ref="I19:K19" si="10">I10*$L$12</f>
        <v>1.9912037037037038E-3</v>
      </c>
      <c r="J19" s="68">
        <f t="shared" si="10"/>
        <v>1.9777083333333335E-3</v>
      </c>
      <c r="K19" s="68">
        <f t="shared" si="10"/>
        <v>1.9631944444444445E-3</v>
      </c>
    </row>
    <row r="22" spans="2:11" x14ac:dyDescent="0.45">
      <c r="B22" s="66"/>
      <c r="C22" s="69"/>
      <c r="D22" s="69"/>
      <c r="E22" s="69"/>
    </row>
    <row r="23" spans="2:11" x14ac:dyDescent="0.45">
      <c r="B23" s="67"/>
      <c r="C23" s="68"/>
      <c r="D23" s="68"/>
      <c r="E23" s="68"/>
    </row>
    <row r="24" spans="2:11" x14ac:dyDescent="0.45">
      <c r="B24" s="67"/>
      <c r="C24" s="68"/>
      <c r="D24" s="68"/>
      <c r="E24" s="68"/>
    </row>
    <row r="25" spans="2:11" x14ac:dyDescent="0.45">
      <c r="B25" s="67"/>
      <c r="C25" s="68"/>
      <c r="D25" s="68"/>
      <c r="E25" s="68"/>
    </row>
    <row r="26" spans="2:11" x14ac:dyDescent="0.45">
      <c r="B26" s="67"/>
      <c r="C26" s="68"/>
      <c r="D26" s="68"/>
      <c r="E26" s="68"/>
    </row>
    <row r="27" spans="2:11" x14ac:dyDescent="0.45">
      <c r="B27" s="67"/>
      <c r="C27" s="68"/>
      <c r="D27" s="68"/>
      <c r="E27" s="68"/>
    </row>
    <row r="28" spans="2:11" x14ac:dyDescent="0.45">
      <c r="B28" s="67"/>
      <c r="C28" s="68"/>
      <c r="D28" s="68"/>
      <c r="E28" s="68"/>
    </row>
    <row r="31" spans="2:11" x14ac:dyDescent="0.45">
      <c r="B31" s="66"/>
      <c r="C31" s="69"/>
      <c r="D31" s="69"/>
      <c r="E31" s="69"/>
    </row>
    <row r="32" spans="2:11" x14ac:dyDescent="0.45">
      <c r="B32" s="67"/>
      <c r="C32" s="68"/>
      <c r="D32" s="68"/>
      <c r="E32" s="68"/>
    </row>
    <row r="33" spans="2:5" x14ac:dyDescent="0.45">
      <c r="B33" s="67"/>
      <c r="C33" s="68"/>
      <c r="D33" s="68"/>
      <c r="E33" s="68"/>
    </row>
    <row r="34" spans="2:5" x14ac:dyDescent="0.45">
      <c r="B34" s="67"/>
      <c r="C34" s="68"/>
      <c r="D34" s="68"/>
      <c r="E34" s="68"/>
    </row>
    <row r="35" spans="2:5" x14ac:dyDescent="0.45">
      <c r="B35" s="67"/>
      <c r="C35" s="68"/>
      <c r="D35" s="68"/>
      <c r="E35" s="68"/>
    </row>
    <row r="36" spans="2:5" x14ac:dyDescent="0.45">
      <c r="B36" s="67"/>
      <c r="C36" s="68"/>
      <c r="D36" s="68"/>
      <c r="E36" s="68"/>
    </row>
    <row r="37" spans="2:5" x14ac:dyDescent="0.45">
      <c r="B37" s="67"/>
      <c r="C37" s="68"/>
      <c r="D37" s="68"/>
      <c r="E37" s="68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4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3" t="s">
        <v>14</v>
      </c>
      <c r="B14" s="63"/>
      <c r="C14" s="63"/>
      <c r="D14" s="63"/>
      <c r="E14" s="63"/>
      <c r="F14" s="63"/>
      <c r="G14"/>
      <c r="H14" s="65" t="s">
        <v>35</v>
      </c>
      <c r="I14" s="65"/>
      <c r="J14" s="65"/>
      <c r="L14" s="65" t="s">
        <v>36</v>
      </c>
      <c r="M14"/>
      <c r="N14"/>
    </row>
    <row r="15" spans="1:14" ht="15" customHeight="1" x14ac:dyDescent="0.45">
      <c r="A15" s="63"/>
      <c r="B15" s="63"/>
      <c r="C15" s="63"/>
      <c r="D15" s="63"/>
      <c r="E15" s="63"/>
      <c r="F15" s="63"/>
      <c r="G15"/>
      <c r="H15" s="65"/>
      <c r="I15" s="65"/>
      <c r="J15" s="65"/>
      <c r="L15" s="6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4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4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4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4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2026-01-20T04:15:10Z</dcterms:modified>
</cp:coreProperties>
</file>