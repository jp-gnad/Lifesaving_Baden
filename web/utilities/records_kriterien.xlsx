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43BE5C89-43F2-489C-9A3A-8BD38956CB5C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0" i="13" l="1"/>
  <c r="W10" i="13"/>
  <c r="V10" i="13"/>
  <c r="U10" i="13"/>
  <c r="T10" i="13"/>
  <c r="S10" i="13"/>
  <c r="X9" i="13"/>
  <c r="W9" i="13"/>
  <c r="V9" i="13"/>
  <c r="U9" i="13"/>
  <c r="T9" i="13"/>
  <c r="S9" i="13"/>
  <c r="X8" i="13"/>
  <c r="W8" i="13"/>
  <c r="V8" i="13"/>
  <c r="U8" i="13"/>
  <c r="T8" i="13"/>
  <c r="S8" i="13"/>
  <c r="X7" i="13"/>
  <c r="W7" i="13"/>
  <c r="V7" i="13"/>
  <c r="U7" i="13"/>
  <c r="T7" i="13"/>
  <c r="S7" i="13"/>
  <c r="X6" i="13"/>
  <c r="W6" i="13"/>
  <c r="V6" i="13"/>
  <c r="U6" i="13"/>
  <c r="T6" i="13"/>
  <c r="S6" i="13"/>
  <c r="X5" i="13"/>
  <c r="W5" i="13"/>
  <c r="V5" i="13"/>
  <c r="U5" i="13"/>
  <c r="T5" i="13"/>
  <c r="S5" i="13"/>
  <c r="X4" i="13"/>
  <c r="W4" i="13"/>
  <c r="V4" i="13"/>
  <c r="U4" i="13"/>
  <c r="T4" i="13"/>
  <c r="S4" i="13"/>
  <c r="K19" i="14"/>
  <c r="Q7" i="13" s="1"/>
  <c r="J19" i="14"/>
  <c r="Q8" i="13" s="1"/>
  <c r="I19" i="14"/>
  <c r="Q9" i="13" s="1"/>
  <c r="K18" i="14"/>
  <c r="R7" i="13" s="1"/>
  <c r="J18" i="14"/>
  <c r="R8" i="13" s="1"/>
  <c r="I18" i="14"/>
  <c r="R9" i="13" s="1"/>
  <c r="K17" i="14"/>
  <c r="P7" i="13" s="1"/>
  <c r="J17" i="14"/>
  <c r="P8" i="13" s="1"/>
  <c r="I17" i="14"/>
  <c r="P9" i="13" s="1"/>
  <c r="K16" i="14"/>
  <c r="N7" i="13" s="1"/>
  <c r="J16" i="14"/>
  <c r="N8" i="13" s="1"/>
  <c r="I16" i="14"/>
  <c r="N9" i="13" s="1"/>
  <c r="K15" i="14"/>
  <c r="O7" i="13" s="1"/>
  <c r="J15" i="14"/>
  <c r="O8" i="13" s="1"/>
  <c r="I15" i="14"/>
  <c r="O9" i="13" s="1"/>
  <c r="K14" i="14"/>
  <c r="M7" i="13" s="1"/>
  <c r="J14" i="14"/>
  <c r="M8" i="13" s="1"/>
  <c r="I14" i="14"/>
  <c r="M9" i="13" s="1"/>
  <c r="E19" i="14"/>
  <c r="Q4" i="13" s="1"/>
  <c r="D19" i="14"/>
  <c r="Q5" i="13" s="1"/>
  <c r="C19" i="14"/>
  <c r="Q6" i="13" s="1"/>
  <c r="C15" i="14"/>
  <c r="O6" i="13" s="1"/>
  <c r="D15" i="14"/>
  <c r="O5" i="13" s="1"/>
  <c r="E15" i="14"/>
  <c r="O4" i="13" s="1"/>
  <c r="C16" i="14"/>
  <c r="N6" i="13" s="1"/>
  <c r="D16" i="14"/>
  <c r="N5" i="13" s="1"/>
  <c r="E16" i="14"/>
  <c r="N4" i="13" s="1"/>
  <c r="C17" i="14"/>
  <c r="P6" i="13" s="1"/>
  <c r="D17" i="14"/>
  <c r="P5" i="13" s="1"/>
  <c r="E17" i="14"/>
  <c r="P4" i="13" s="1"/>
  <c r="C18" i="14"/>
  <c r="R6" i="13" s="1"/>
  <c r="D18" i="14"/>
  <c r="R5" i="13" s="1"/>
  <c r="E18" i="14"/>
  <c r="R4" i="13" s="1"/>
  <c r="D14" i="14"/>
  <c r="M5" i="13" s="1"/>
  <c r="E14" i="14"/>
  <c r="M4" i="13" s="1"/>
  <c r="C14" i="14"/>
  <c r="M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<sst xmlns="http://schemas.openxmlformats.org/spreadsheetml/2006/main" count="666" uniqueCount="236">
  <si>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</si>
  <si>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</si>
  <si>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</si>
  <si>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</si>
  <si>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</si>
  <si>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</si>
  <si>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</si>
  <si>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</si>
  <si>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</si>
  <si>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</si>
  <si>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</si>
  <si>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</si>
  <si>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</si>
  <si>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</si>
  <si>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</si>
  <si>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</si>
  <si>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</si>
  <si>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</si>
  <si>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</si>
  <si>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</si>
  <si>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</si>
  <si>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</si>
  <si>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</si>
  <si>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</si>
  <si>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</si>
  <si>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</si>
  <si>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</si>
  <si>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</si>
  <si>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</si>
  <si>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</si>
  <si>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</si>
  <si>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</si>
  <si>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</si>
  <si>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</si>
  <si>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</si>
  <si>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</si>
  <si>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</si>
  <si>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</si>
  <si>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</si>
  <si>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</si>
  <si>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</si>
  <si>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</si>
  <si>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</si>
  <si>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</si>
  <si>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</si>
  <si>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</si>
  <si>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</si>
  <si>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</si>
  <si>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</si>
  <si>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</si>
  <si>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</si>
  <si>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</si>
  <si>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</si>
  <si>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</si>
  <si>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</si>
  <si>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</si>
  <si>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</si>
  <si>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</si>
  <si>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</si>
  <si>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</si>
  <si>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</si>
  <si>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</si>
  <si>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</si>
  <si>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</si>
  <si>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</si>
  <si>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</si>
  <si>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</si>
  <si>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</si>
  <si>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</si>
  <si>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</si>
  <si>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</si>
  <si>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</si>
  <si>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</si>
  <si>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</si>
  <si>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</si>
  <si>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</si>
  <si>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</si>
  <si>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</si>
  <si>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</si>
  <si>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</si>
  <si>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</si>
  <si>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</si>
  <si>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</si>
  <si>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</si>
  <si>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</si>
  <si>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</si>
  <si>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</si>
  <si>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</si>
  <si>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</si>
  <si>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</si>
  <si>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</si>
  <si>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</si>
  <si>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</si>
  <si>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</si>
  <si>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</si>
  <si>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</si>
  <si>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</si>
  <si>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</si>
  <si>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</si>
  <si>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</si>
  <si>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</si>
  <si>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</si>
  <si>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</si>
  <si>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</si>
  <si>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</si>
  <si>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</si>
  <si>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</si>
  <si>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</si>
  <si>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</si>
  <si>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</si>
  <si>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</si>
  <si>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</si>
  <si>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</si>
  <si>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</si>
  <si>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</si>
  <si>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</si>
  <si>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</si>
  <si>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</si>
  <si>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</si>
  <si>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</si>
  <si>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</si>
  <si>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</si>
  <si>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</si>
  <si>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</si>
  <si>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</si>
  <si>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</si>
  <si>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</si>
  <si>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</si>
  <si>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</si>
  <si>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</si>
  <si>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</si>
  <si>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</si>
  <si>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</si>
  <si>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</si>
  <si>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</si>
  <si>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</si>
  <si>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</si>
  <si>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</si>
  <si>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</si>
  <si>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</si>
  <si>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</si>
  <si>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</si>
  <si>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</si>
  <si>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</si>
  <si>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</si>
  <si>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</si>
  <si>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</si>
  <si>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</si>
  <si>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</si>
  <si>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</si>
  <si>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</si>
  <si>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</si>
  <si>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</si>
  <si>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</si>
  <si>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</si>
  <si>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</si>
  <si>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</si>
  <si>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</si>
  <si>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</si>
  <si>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</si>
  <si>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</si>
  <si>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</si>
  <si>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</si>
  <si>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</si>
  <si>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</si>
  <si>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</si>
  <si>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</si>
  <si>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</si>
  <si>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</si>
  <si>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</si>
  <si>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</si>
  <si>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</si>
  <si>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</si>
  <si>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</si>
  <si>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</si>
  <si>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</si>
  <si>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</si>
  <si>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</si>
  <si>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</si>
  <si>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</si>
  <si>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</si>
  <si>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</si>
  <si>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</si>
  <si>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</si>
  <si>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</si>
  <si>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</si>
  <si>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</si>
  <si>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</si>
  <si>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</si>
  <si>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</si>
  <si>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</si>
  <si>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</si>
  <si>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</si>
  <si>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</si>
  <si>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</si>
  <si>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</si>
  <si>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</si>
  <si>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</si>
  <si>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</si>
  <si>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</si>
  <si>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</si>
  <si>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</si>
  <si>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</si>
  <si>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</si>
  <si>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</si>
  <si>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</si>
  <si>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</si>
  <si>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</si>
  <si>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</si>
  <si>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</si>
  <si>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</si>
  <si>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</si>
  <si>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</si>
  <si>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</si>
  <si>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</si>
  <si>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</si>
  <si>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</si>
  <si>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</si>
  <si>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</si>
  <si>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</si>
  <si>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</si>
  <si>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</si>
  <si>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</si>
  <si>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</si>
  <si>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</si>
  <si>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</si>
  <si>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</si>
  <si>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</si>
  <si>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</si>
  <si>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</si>
  <si>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</si>
  <si>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</si>
  <si>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</si>
  <si>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NK2-M (20% / 25%Test)</t>
  </si>
  <si>
    <t>NK2-W (10% / 15%Test)</t>
  </si>
  <si>
    <t>AK15 W Normfenster 0,8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</si>
</sst>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0" totalsRowShown="0" headerRowDxfId="43" dataDxfId="42">
  <autoFilter ref="A1:X10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2"/>
  <sheetViews>
    <sheetView tabSelected="1" workbookViewId="0">
      <selection activeCell="C4" sqref="C4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233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f>Tabelle1!E14</f>
        <v>4.3944444444444445E-4</v>
      </c>
      <c r="N4" s="62">
        <f>Tabelle1!E16</f>
        <v>6.951388888888888E-4</v>
      </c>
      <c r="O4" s="62">
        <f>Tabelle1!E15</f>
        <v>9.4430555555555544E-4</v>
      </c>
      <c r="P4" s="62">
        <f>Tabelle1!E17</f>
        <v>7.919444444444444E-4</v>
      </c>
      <c r="Q4" s="62">
        <f>Tabelle1!E19</f>
        <v>1.9579166666666664E-3</v>
      </c>
      <c r="R4" s="62">
        <f>Tabelle1!E18</f>
        <v>1.7913888888888886E-3</v>
      </c>
      <c r="S4" s="62">
        <f>(M4/Tabelle1!$F$12)*(Tabelle1!$F$12+0.05)</f>
        <v>4.5775462962962962E-4</v>
      </c>
      <c r="T4" s="62">
        <f>(N4/Tabelle1!$F$12)*(Tabelle1!$F$12+0.05)</f>
        <v>7.2410300925925919E-4</v>
      </c>
      <c r="U4" s="62">
        <f>(O4/Tabelle1!$F$12)*(Tabelle1!$F$12+0.05)</f>
        <v>9.8365162037037019E-4</v>
      </c>
      <c r="V4" s="62">
        <f>(P4/Tabelle1!$F$12)*(Tabelle1!$F$12+0.05)</f>
        <v>8.2494212962962968E-4</v>
      </c>
      <c r="W4" s="62">
        <f>(Q4/Tabelle1!$F$12)*(Tabelle1!$F$12+0.05)</f>
        <v>2.0394965277777777E-3</v>
      </c>
      <c r="X4" s="62">
        <f>(R4/Tabelle1!$F$12)*(Tabelle1!$F$12+0.05)</f>
        <v>1.8660300925925923E-3</v>
      </c>
    </row>
    <row r="5" spans="1:24" x14ac:dyDescent="0.45">
      <c r="A5" s="59" t="s">
        <v>233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f>Tabelle1!D14</f>
        <v>4.4430555555555553E-4</v>
      </c>
      <c r="N5" s="62">
        <f>Tabelle1!D16</f>
        <v>7.0194444444444449E-4</v>
      </c>
      <c r="O5" s="62">
        <f>Tabelle1!D15</f>
        <v>9.5805555555555553E-4</v>
      </c>
      <c r="P5" s="62">
        <f>Tabelle1!D17</f>
        <v>8.0902777777777776E-4</v>
      </c>
      <c r="Q5" s="62">
        <f>Tabelle1!D19</f>
        <v>1.9811111111111106E-3</v>
      </c>
      <c r="R5" s="62">
        <f>Tabelle1!D18</f>
        <v>1.8124999999999999E-3</v>
      </c>
      <c r="S5" s="62">
        <f>(M5/Tabelle1!$F$12)*(Tabelle1!$F$12+0.05)</f>
        <v>4.6281828703703703E-4</v>
      </c>
      <c r="T5" s="62">
        <f>(N5/Tabelle1!$F$12)*(Tabelle1!$F$12+0.05)</f>
        <v>7.311921296296297E-4</v>
      </c>
      <c r="U5" s="62">
        <f>(O5/Tabelle1!$F$12)*(Tabelle1!$F$12+0.05)</f>
        <v>9.9797453703703702E-4</v>
      </c>
      <c r="V5" s="62">
        <f>(P5/Tabelle1!$F$12)*(Tabelle1!$F$12+0.05)</f>
        <v>8.427372685185186E-4</v>
      </c>
      <c r="W5" s="62">
        <f>(Q5/Tabelle1!$F$12)*(Tabelle1!$F$12+0.05)</f>
        <v>2.0636574074074068E-3</v>
      </c>
      <c r="X5" s="62">
        <f>(R5/Tabelle1!$F$12)*(Tabelle1!$F$12+0.05)</f>
        <v>1.8880208333333333E-3</v>
      </c>
    </row>
    <row r="6" spans="1:24" x14ac:dyDescent="0.45">
      <c r="A6" s="59" t="s">
        <v>233</v>
      </c>
      <c r="B6" s="59" t="s">
        <v>182</v>
      </c>
      <c r="C6" s="59">
        <v>14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f>Tabelle1!C14</f>
        <v>4.4861111111111105E-4</v>
      </c>
      <c r="N6" s="62">
        <f>Tabelle1!C16</f>
        <v>7.0833333333333328E-4</v>
      </c>
      <c r="O6" s="62">
        <f>Tabelle1!C15</f>
        <v>9.7083333333333342E-4</v>
      </c>
      <c r="P6" s="62">
        <f>Tabelle1!C17</f>
        <v>8.2472222222222224E-4</v>
      </c>
      <c r="Q6" s="62">
        <f>Tabelle1!C19</f>
        <v>2.0026388888888889E-3</v>
      </c>
      <c r="R6" s="62">
        <f>Tabelle1!C18</f>
        <v>1.8319444444444444E-3</v>
      </c>
      <c r="S6" s="62">
        <f>(M6/Tabelle1!$F$12)*(Tabelle1!$F$12+0.05)</f>
        <v>4.6730324074074068E-4</v>
      </c>
      <c r="T6" s="62">
        <f>(N6/Tabelle1!$F$12)*(Tabelle1!$F$12+0.05)</f>
        <v>7.378472222222222E-4</v>
      </c>
      <c r="U6" s="62">
        <f>(O6/Tabelle1!$F$12)*(Tabelle1!$F$12+0.05)</f>
        <v>1.0112847222222224E-3</v>
      </c>
      <c r="V6" s="62">
        <f>(P6/Tabelle1!$F$12)*(Tabelle1!$F$12+0.05)</f>
        <v>8.5908564814814821E-4</v>
      </c>
      <c r="W6" s="62">
        <f>(Q6/Tabelle1!$F$12)*(Tabelle1!$F$12+0.05)</f>
        <v>2.0860821759259261E-3</v>
      </c>
      <c r="X6" s="62">
        <f>(R6/Tabelle1!$F$12)*(Tabelle1!$F$12+0.05)</f>
        <v>1.9082754629629632E-3</v>
      </c>
    </row>
    <row r="7" spans="1:24" x14ac:dyDescent="0.45">
      <c r="A7" s="59" t="s">
        <v>234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f>Tabelle1!K14</f>
        <v>4.9831018518518529E-4</v>
      </c>
      <c r="N7" s="62">
        <f>Tabelle1!K16</f>
        <v>7.4988425925925928E-4</v>
      </c>
      <c r="O7" s="62">
        <f>Tabelle1!K15</f>
        <v>1.0141898148148148E-3</v>
      </c>
      <c r="P7" s="62">
        <f>Tabelle1!K17</f>
        <v>8.3289351851851851E-4</v>
      </c>
      <c r="Q7" s="62">
        <f>Tabelle1!K19</f>
        <v>1.9631944444444445E-3</v>
      </c>
      <c r="R7" s="62">
        <f>Tabelle1!K18</f>
        <v>1.7831712962962964E-3</v>
      </c>
      <c r="S7" s="62">
        <f>(M7/Tabelle1!$L$12)*(Tabelle1!$L$12+0.05)</f>
        <v>5.2096064814814832E-4</v>
      </c>
      <c r="T7" s="62">
        <f>(N7/Tabelle1!$L$12)*(Tabelle1!$L$12+0.05)</f>
        <v>7.8396990740740749E-4</v>
      </c>
      <c r="U7" s="62">
        <f>(O7/Tabelle1!$L$12)*(Tabelle1!$L$12+0.05)</f>
        <v>1.0602893518518518E-3</v>
      </c>
      <c r="V7" s="62">
        <f>(P7/Tabelle1!$L$12)*(Tabelle1!$L$12+0.05)</f>
        <v>8.7075231481481487E-4</v>
      </c>
      <c r="W7" s="62">
        <f>(Q7/Tabelle1!$L$12)*(Tabelle1!$L$12+0.05)</f>
        <v>2.0524305555555556E-3</v>
      </c>
      <c r="X7" s="62">
        <f>(R7/Tabelle1!$L$12)*(Tabelle1!$L$12+0.05)</f>
        <v>1.8642245370370373E-3</v>
      </c>
    </row>
    <row r="8" spans="1:24" x14ac:dyDescent="0.45">
      <c r="A8" s="59" t="s">
        <v>234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179</v>
      </c>
      <c r="J8" s="59"/>
      <c r="K8" s="59"/>
      <c r="L8" s="59">
        <v>10</v>
      </c>
      <c r="M8" s="62">
        <f>Tabelle1!J14</f>
        <v>5.0836805555555563E-4</v>
      </c>
      <c r="N8" s="62">
        <f>Tabelle1!J16</f>
        <v>7.5841435185185202E-4</v>
      </c>
      <c r="O8" s="62">
        <f>Tabelle1!J15</f>
        <v>1.0323958333333335E-3</v>
      </c>
      <c r="P8" s="62">
        <f>Tabelle1!J17</f>
        <v>8.4511574074074068E-4</v>
      </c>
      <c r="Q8" s="62">
        <f>Tabelle1!J19</f>
        <v>1.9777083333333335E-3</v>
      </c>
      <c r="R8" s="62">
        <f>Tabelle1!J18</f>
        <v>1.7899189814814817E-3</v>
      </c>
      <c r="S8" s="62">
        <f>(M8/Tabelle1!$L$12)*(Tabelle1!$L$12+0.05)</f>
        <v>5.3147569444444455E-4</v>
      </c>
      <c r="T8" s="62">
        <f>(N8/Tabelle1!$L$12)*(Tabelle1!$L$12+0.05)</f>
        <v>7.9288773148148166E-4</v>
      </c>
      <c r="U8" s="62">
        <f>(O8/Tabelle1!$L$12)*(Tabelle1!$L$12+0.05)</f>
        <v>1.0793229166666668E-3</v>
      </c>
      <c r="V8" s="62">
        <f>(P8/Tabelle1!$L$12)*(Tabelle1!$L$12+0.05)</f>
        <v>8.8353009259259255E-4</v>
      </c>
      <c r="W8" s="62">
        <f>(Q8/Tabelle1!$L$12)*(Tabelle1!$L$12+0.05)</f>
        <v>2.0676041666666668E-3</v>
      </c>
      <c r="X8" s="62">
        <f>(R8/Tabelle1!$L$12)*(Tabelle1!$L$12+0.05)</f>
        <v>1.8712789351851855E-3</v>
      </c>
    </row>
    <row r="9" spans="1:24" x14ac:dyDescent="0.45">
      <c r="A9" s="59" t="s">
        <v>234</v>
      </c>
      <c r="B9" s="59" t="s">
        <v>164</v>
      </c>
      <c r="C9" s="59">
        <v>14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179</v>
      </c>
      <c r="J9" s="59"/>
      <c r="K9" s="59"/>
      <c r="L9" s="59">
        <v>10</v>
      </c>
      <c r="M9" s="62">
        <f>Tabelle1!I14</f>
        <v>5.1791666666666663E-4</v>
      </c>
      <c r="N9" s="62">
        <f>Tabelle1!I16</f>
        <v>7.6630787037037043E-4</v>
      </c>
      <c r="O9" s="62">
        <f>Tabelle1!I15</f>
        <v>1.049201388888889E-3</v>
      </c>
      <c r="P9" s="62">
        <f>Tabelle1!I17</f>
        <v>8.563194444444446E-4</v>
      </c>
      <c r="Q9" s="62">
        <f>Tabelle1!I19</f>
        <v>1.9912037037037038E-3</v>
      </c>
      <c r="R9" s="62">
        <f>Tabelle1!I18</f>
        <v>1.7961574074074073E-3</v>
      </c>
      <c r="S9" s="62">
        <f>(M9/Tabelle1!$L$12)*(Tabelle1!$L$12+0.05)</f>
        <v>5.4145833333333335E-4</v>
      </c>
      <c r="T9" s="62">
        <f>(N9/Tabelle1!$L$12)*(Tabelle1!$L$12+0.05)</f>
        <v>8.0114004629629643E-4</v>
      </c>
      <c r="U9" s="62">
        <f>(O9/Tabelle1!$L$12)*(Tabelle1!$L$12+0.05)</f>
        <v>1.0968923611111114E-3</v>
      </c>
      <c r="V9" s="62">
        <f>(P9/Tabelle1!$L$12)*(Tabelle1!$L$12+0.05)</f>
        <v>8.952430555555557E-4</v>
      </c>
      <c r="W9" s="62">
        <f>(Q9/Tabelle1!$L$12)*(Tabelle1!$L$12+0.05)</f>
        <v>2.0817129629629632E-3</v>
      </c>
      <c r="X9" s="62">
        <f>(R9/Tabelle1!$L$12)*(Tabelle1!$L$12+0.05)</f>
        <v>1.877800925925926E-3</v>
      </c>
    </row>
    <row r="10" spans="1:24" x14ac:dyDescent="0.45">
      <c r="A10" s="59" t="s">
        <v>235</v>
      </c>
      <c r="B10" s="59" t="s">
        <v>164</v>
      </c>
      <c r="C10" s="59">
        <v>13</v>
      </c>
      <c r="D10" s="59">
        <v>16</v>
      </c>
      <c r="E10" s="61">
        <v>45658</v>
      </c>
      <c r="F10" s="61">
        <v>46023</v>
      </c>
      <c r="G10" s="61">
        <v>45658</v>
      </c>
      <c r="H10" s="59" t="s">
        <v>178</v>
      </c>
      <c r="I10" s="59" t="s">
        <v>179</v>
      </c>
      <c r="J10" s="59"/>
      <c r="K10" s="59"/>
      <c r="L10" s="59">
        <v>10</v>
      </c>
      <c r="M10" s="62">
        <v>5.4239999999999996E-4</v>
      </c>
      <c r="N10" s="62">
        <v>8.5547824074074072E-4</v>
      </c>
      <c r="O10" s="62">
        <v>1.0492013888888888E-3</v>
      </c>
      <c r="P10" s="62">
        <v>8.7188888888888895E-4</v>
      </c>
      <c r="Q10" s="62">
        <v>1.9712916666666668E-3</v>
      </c>
      <c r="R10" s="62">
        <v>1.9267870370370367E-3</v>
      </c>
      <c r="S10" s="62">
        <f>JRP_konfig[[#This Row],[PZ1 - 50m Retten]]</f>
        <v>5.4239999999999996E-4</v>
      </c>
      <c r="T10" s="62">
        <f>JRP_konfig[[#This Row],[PZ1 - 50m Retten]]</f>
        <v>5.4239999999999996E-4</v>
      </c>
      <c r="U10" s="62">
        <f>JRP_konfig[[#This Row],[PZ1 - 50m Retten]]</f>
        <v>5.4239999999999996E-4</v>
      </c>
      <c r="V10" s="62">
        <f>JRP_konfig[[#This Row],[PZ1 - 50m Retten]]</f>
        <v>5.4239999999999996E-4</v>
      </c>
      <c r="W10" s="62">
        <f>JRP_konfig[[#This Row],[PZ1 - 50m Retten]]</f>
        <v>5.4239999999999996E-4</v>
      </c>
      <c r="X10" s="62">
        <f>JRP_konfig[[#This Row],[PZ1 - 50m Retten]]</f>
        <v>5.4239999999999996E-4</v>
      </c>
    </row>
    <row r="12" spans="1:24" x14ac:dyDescent="0.45">
      <c r="S12" s="67"/>
      <c r="T12" s="67"/>
      <c r="U12" s="67"/>
      <c r="V12" s="67"/>
      <c r="W12" s="67"/>
      <c r="X12" s="67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L37"/>
  <sheetViews>
    <sheetView workbookViewId="0">
      <selection activeCell="H3" sqref="H3:L19"/>
    </sheetView>
  </sheetViews>
  <sheetFormatPr baseColWidth="10" defaultRowHeight="14.25" x14ac:dyDescent="0.45"/>
  <cols>
    <col min="2" max="2" width="34.6640625" customWidth="1"/>
    <col min="8" max="8" width="39.53125" customWidth="1"/>
  </cols>
  <sheetData>
    <row r="3" spans="2:12" x14ac:dyDescent="0.45">
      <c r="B3" t="s">
        <v>229</v>
      </c>
      <c r="H3" t="s">
        <v>231</v>
      </c>
    </row>
    <row r="4" spans="2:12" x14ac:dyDescent="0.45">
      <c r="B4" s="63" t="s">
        <v>224</v>
      </c>
      <c r="C4" s="66">
        <v>2010</v>
      </c>
      <c r="D4" s="66">
        <v>2009</v>
      </c>
      <c r="E4" s="66">
        <v>2008</v>
      </c>
      <c r="H4" s="63" t="s">
        <v>224</v>
      </c>
      <c r="I4" s="66">
        <v>2010</v>
      </c>
      <c r="J4" s="66">
        <v>2009</v>
      </c>
      <c r="K4" s="66">
        <v>2008</v>
      </c>
    </row>
    <row r="5" spans="2:12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</row>
    <row r="6" spans="2:12" x14ac:dyDescent="0.45">
      <c r="B6" s="64" t="s">
        <v>225</v>
      </c>
      <c r="C6" s="65">
        <v>8.0902777777777787E-4</v>
      </c>
      <c r="D6" s="65">
        <v>7.9837962962962968E-4</v>
      </c>
      <c r="E6" s="65">
        <v>7.869212962962962E-4</v>
      </c>
      <c r="H6" s="64" t="s">
        <v>225</v>
      </c>
      <c r="I6" s="65">
        <v>9.5381944444444442E-4</v>
      </c>
      <c r="J6" s="65">
        <v>9.3854166666666673E-4</v>
      </c>
      <c r="K6" s="65">
        <v>9.2199074074074069E-4</v>
      </c>
    </row>
    <row r="7" spans="2:12" x14ac:dyDescent="0.45">
      <c r="B7" s="64" t="s">
        <v>226</v>
      </c>
      <c r="C7" s="65">
        <v>5.9027777777777778E-4</v>
      </c>
      <c r="D7" s="65">
        <v>5.8495370370370374E-4</v>
      </c>
      <c r="E7" s="65">
        <v>5.7928240740740737E-4</v>
      </c>
      <c r="H7" s="64" t="s">
        <v>226</v>
      </c>
      <c r="I7" s="65">
        <v>6.9664351851851853E-4</v>
      </c>
      <c r="J7" s="65">
        <v>6.8946759259259265E-4</v>
      </c>
      <c r="K7" s="65">
        <v>6.8171296296296296E-4</v>
      </c>
    </row>
    <row r="8" spans="2:12" x14ac:dyDescent="0.45">
      <c r="B8" s="64" t="s">
        <v>227</v>
      </c>
      <c r="C8" s="65">
        <v>6.8726851851851859E-4</v>
      </c>
      <c r="D8" s="65">
        <v>6.7418981481481486E-4</v>
      </c>
      <c r="E8" s="65">
        <v>6.5995370370370372E-4</v>
      </c>
      <c r="H8" s="64" t="s">
        <v>227</v>
      </c>
      <c r="I8" s="65">
        <v>7.7847222222222228E-4</v>
      </c>
      <c r="J8" s="65">
        <v>7.6828703703703694E-4</v>
      </c>
      <c r="K8" s="65">
        <v>7.571759259259259E-4</v>
      </c>
    </row>
    <row r="9" spans="2:12" x14ac:dyDescent="0.45">
      <c r="B9" s="64" t="s">
        <v>228</v>
      </c>
      <c r="C9" s="65">
        <v>1.5266203703703705E-3</v>
      </c>
      <c r="D9" s="65">
        <v>1.5104166666666666E-3</v>
      </c>
      <c r="E9" s="65">
        <v>1.4928240740740739E-3</v>
      </c>
      <c r="H9" s="64" t="s">
        <v>228</v>
      </c>
      <c r="I9" s="65">
        <v>1.6328703703703702E-3</v>
      </c>
      <c r="J9" s="65">
        <v>1.6271990740740741E-3</v>
      </c>
      <c r="K9" s="65">
        <v>1.6210648148148148E-3</v>
      </c>
    </row>
    <row r="10" spans="2:12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230</v>
      </c>
      <c r="I10" s="65">
        <v>1.8101851851851853E-3</v>
      </c>
      <c r="J10" s="65">
        <v>1.7979166666666666E-3</v>
      </c>
      <c r="K10" s="65">
        <v>1.784722222222222E-3</v>
      </c>
    </row>
    <row r="12" spans="2:12" x14ac:dyDescent="0.45">
      <c r="B12" t="s">
        <v>232</v>
      </c>
      <c r="F12">
        <v>1.2</v>
      </c>
      <c r="H12" t="s">
        <v>232</v>
      </c>
      <c r="L12">
        <v>1.1000000000000001</v>
      </c>
    </row>
    <row r="13" spans="2:12" x14ac:dyDescent="0.45">
      <c r="B13" s="63" t="s">
        <v>224</v>
      </c>
      <c r="C13" s="66">
        <v>2010</v>
      </c>
      <c r="D13" s="66">
        <v>2009</v>
      </c>
      <c r="E13" s="66">
        <v>2008</v>
      </c>
      <c r="H13" s="63" t="s">
        <v>224</v>
      </c>
      <c r="I13" s="66">
        <v>2010</v>
      </c>
      <c r="J13" s="66">
        <v>2009</v>
      </c>
      <c r="K13" s="66">
        <v>2008</v>
      </c>
    </row>
    <row r="14" spans="2:12" x14ac:dyDescent="0.45">
      <c r="B14" s="64" t="s">
        <v>0</v>
      </c>
      <c r="C14" s="65">
        <f>C5*$F$12</f>
        <v>4.4861111111111105E-4</v>
      </c>
      <c r="D14" s="65">
        <f t="shared" ref="D14:E14" si="0">D5*$F$12</f>
        <v>4.4430555555555553E-4</v>
      </c>
      <c r="E14" s="65">
        <f t="shared" si="0"/>
        <v>4.3944444444444445E-4</v>
      </c>
      <c r="H14" s="64" t="s">
        <v>0</v>
      </c>
      <c r="I14" s="65">
        <f>I5*$L$12</f>
        <v>5.1791666666666663E-4</v>
      </c>
      <c r="J14" s="65">
        <f t="shared" ref="J14:K14" si="1">J5*$L$12</f>
        <v>5.0836805555555563E-4</v>
      </c>
      <c r="K14" s="65">
        <f t="shared" si="1"/>
        <v>4.9831018518518529E-4</v>
      </c>
    </row>
    <row r="15" spans="2:12" x14ac:dyDescent="0.45">
      <c r="B15" s="64" t="s">
        <v>225</v>
      </c>
      <c r="C15" s="65">
        <f t="shared" ref="C15:E15" si="2">C6*$F$12</f>
        <v>9.7083333333333342E-4</v>
      </c>
      <c r="D15" s="65">
        <f t="shared" si="2"/>
        <v>9.5805555555555553E-4</v>
      </c>
      <c r="E15" s="65">
        <f t="shared" si="2"/>
        <v>9.4430555555555544E-4</v>
      </c>
      <c r="H15" s="64" t="s">
        <v>225</v>
      </c>
      <c r="I15" s="65">
        <f t="shared" ref="I15:K15" si="3">I6*$L$12</f>
        <v>1.049201388888889E-3</v>
      </c>
      <c r="J15" s="65">
        <f t="shared" si="3"/>
        <v>1.0323958333333335E-3</v>
      </c>
      <c r="K15" s="65">
        <f t="shared" si="3"/>
        <v>1.0141898148148148E-3</v>
      </c>
    </row>
    <row r="16" spans="2:12" x14ac:dyDescent="0.45">
      <c r="B16" s="64" t="s">
        <v>226</v>
      </c>
      <c r="C16" s="65">
        <f t="shared" ref="C16:E16" si="4">C7*$F$12</f>
        <v>7.0833333333333328E-4</v>
      </c>
      <c r="D16" s="65">
        <f t="shared" si="4"/>
        <v>7.0194444444444449E-4</v>
      </c>
      <c r="E16" s="65">
        <f t="shared" si="4"/>
        <v>6.951388888888888E-4</v>
      </c>
      <c r="H16" s="64" t="s">
        <v>226</v>
      </c>
      <c r="I16" s="65">
        <f t="shared" ref="I16:K16" si="5">I7*$L$12</f>
        <v>7.6630787037037043E-4</v>
      </c>
      <c r="J16" s="65">
        <f t="shared" si="5"/>
        <v>7.5841435185185202E-4</v>
      </c>
      <c r="K16" s="65">
        <f t="shared" si="5"/>
        <v>7.4988425925925928E-4</v>
      </c>
    </row>
    <row r="17" spans="2:11" x14ac:dyDescent="0.45">
      <c r="B17" s="64" t="s">
        <v>227</v>
      </c>
      <c r="C17" s="65">
        <f t="shared" ref="C17:E17" si="6">C8*$F$12</f>
        <v>8.2472222222222224E-4</v>
      </c>
      <c r="D17" s="65">
        <f t="shared" si="6"/>
        <v>8.0902777777777776E-4</v>
      </c>
      <c r="E17" s="65">
        <f t="shared" si="6"/>
        <v>7.919444444444444E-4</v>
      </c>
      <c r="H17" s="64" t="s">
        <v>227</v>
      </c>
      <c r="I17" s="65">
        <f t="shared" ref="I17:K17" si="7">I8*$L$12</f>
        <v>8.563194444444446E-4</v>
      </c>
      <c r="J17" s="65">
        <f t="shared" si="7"/>
        <v>8.4511574074074068E-4</v>
      </c>
      <c r="K17" s="65">
        <f t="shared" si="7"/>
        <v>8.3289351851851851E-4</v>
      </c>
    </row>
    <row r="18" spans="2:11" x14ac:dyDescent="0.45">
      <c r="B18" s="64" t="s">
        <v>228</v>
      </c>
      <c r="C18" s="65">
        <f t="shared" ref="C18:E19" si="8">C9*$F$12</f>
        <v>1.8319444444444444E-3</v>
      </c>
      <c r="D18" s="65">
        <f t="shared" si="8"/>
        <v>1.8124999999999999E-3</v>
      </c>
      <c r="E18" s="65">
        <f t="shared" si="8"/>
        <v>1.7913888888888886E-3</v>
      </c>
      <c r="H18" s="64" t="s">
        <v>228</v>
      </c>
      <c r="I18" s="65">
        <f t="shared" ref="I18:K18" si="9">I9*$L$12</f>
        <v>1.7961574074074073E-3</v>
      </c>
      <c r="J18" s="65">
        <f t="shared" si="9"/>
        <v>1.7899189814814817E-3</v>
      </c>
      <c r="K18" s="65">
        <f t="shared" si="9"/>
        <v>1.7831712962962964E-3</v>
      </c>
    </row>
    <row r="19" spans="2:11" x14ac:dyDescent="0.45">
      <c r="B19" s="64" t="s">
        <v>4</v>
      </c>
      <c r="C19" s="65">
        <f t="shared" si="8"/>
        <v>2.0026388888888889E-3</v>
      </c>
      <c r="D19" s="65">
        <f t="shared" si="8"/>
        <v>1.9811111111111106E-3</v>
      </c>
      <c r="E19" s="65">
        <f t="shared" si="8"/>
        <v>1.9579166666666664E-3</v>
      </c>
      <c r="H19" s="64" t="s">
        <v>4</v>
      </c>
      <c r="I19" s="65">
        <f t="shared" ref="I19:K19" si="10">I10*$L$12</f>
        <v>1.9912037037037038E-3</v>
      </c>
      <c r="J19" s="65">
        <f t="shared" si="10"/>
        <v>1.9777083333333335E-3</v>
      </c>
      <c r="K19" s="65">
        <f t="shared" si="10"/>
        <v>1.9631944444444445E-3</v>
      </c>
    </row>
    <row r="22" spans="2:11" x14ac:dyDescent="0.45">
      <c r="B22" s="63"/>
      <c r="C22" s="66"/>
      <c r="D22" s="66"/>
      <c r="E22" s="66"/>
      <c r="I22" s="67"/>
    </row>
    <row r="23" spans="2:11" x14ac:dyDescent="0.45">
      <c r="B23" s="64"/>
      <c r="C23" s="65"/>
      <c r="D23" s="65"/>
      <c r="E23" s="65"/>
    </row>
    <row r="24" spans="2:11" x14ac:dyDescent="0.45">
      <c r="B24" s="64"/>
      <c r="C24" s="65"/>
      <c r="D24" s="65"/>
      <c r="E24" s="65"/>
    </row>
    <row r="25" spans="2:11" x14ac:dyDescent="0.45">
      <c r="B25" s="64"/>
      <c r="C25" s="65"/>
      <c r="D25" s="65"/>
      <c r="E25" s="65"/>
    </row>
    <row r="26" spans="2:11" x14ac:dyDescent="0.45">
      <c r="B26" s="64"/>
      <c r="C26" s="65"/>
      <c r="D26" s="65"/>
      <c r="E26" s="65"/>
    </row>
    <row r="27" spans="2:11" x14ac:dyDescent="0.45">
      <c r="B27" s="64"/>
      <c r="C27" s="65"/>
      <c r="D27" s="65"/>
      <c r="E27" s="65"/>
    </row>
    <row r="28" spans="2:11" x14ac:dyDescent="0.45">
      <c r="B28" s="64"/>
      <c r="C28" s="65"/>
      <c r="D28" s="65"/>
      <c r="E28" s="65"/>
    </row>
    <row r="31" spans="2:11" x14ac:dyDescent="0.45">
      <c r="B31" s="63"/>
      <c r="C31" s="66"/>
      <c r="D31" s="66"/>
      <c r="E31" s="66"/>
    </row>
    <row r="32" spans="2:11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8" t="s">
        <v>14</v>
      </c>
      <c r="B14" s="68"/>
      <c r="C14" s="68"/>
      <c r="D14" s="68"/>
      <c r="E14" s="68"/>
      <c r="F14" s="68"/>
      <c r="G14"/>
      <c r="H14" s="70" t="s">
        <v>35</v>
      </c>
      <c r="I14" s="70"/>
      <c r="J14" s="70"/>
      <c r="L14" s="70" t="s">
        <v>36</v>
      </c>
      <c r="M14"/>
      <c r="N14"/>
    </row>
    <row r="15" spans="1:14" ht="15" customHeight="1" x14ac:dyDescent="0.45">
      <c r="A15" s="68"/>
      <c r="B15" s="68"/>
      <c r="C15" s="68"/>
      <c r="D15" s="68"/>
      <c r="E15" s="68"/>
      <c r="F15" s="68"/>
      <c r="G15"/>
      <c r="H15" s="70"/>
      <c r="I15" s="70"/>
      <c r="J15" s="70"/>
      <c r="L15" s="70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2026-01-21T01:48:45Z</dcterms:modified>
</cp:coreProperties>
</file>