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5FD0E9C4-F542-4588-B1D7-033A939A3558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LK Kalender" sheetId="15" r:id="rId9"/>
    <sheet name="NK-LK Transf.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6" l="1"/>
  <c r="W13" i="16"/>
  <c r="V13" i="16"/>
  <c r="U13" i="16"/>
  <c r="T13" i="16"/>
  <c r="S13" i="16"/>
  <c r="X12" i="16"/>
  <c r="W12" i="16"/>
  <c r="V12" i="16"/>
  <c r="U12" i="16"/>
  <c r="T12" i="16"/>
  <c r="S12" i="16"/>
  <c r="X11" i="16"/>
  <c r="W11" i="16"/>
  <c r="V11" i="16"/>
  <c r="U11" i="16"/>
  <c r="T11" i="16"/>
  <c r="S11" i="16"/>
  <c r="X10" i="16"/>
  <c r="W10" i="16"/>
  <c r="V10" i="16"/>
  <c r="U10" i="16"/>
  <c r="T10" i="16"/>
  <c r="S10" i="16"/>
  <c r="X9" i="16"/>
  <c r="W9" i="16"/>
  <c r="V9" i="16"/>
  <c r="U9" i="16"/>
  <c r="T9" i="16"/>
  <c r="S9" i="16"/>
  <c r="X8" i="16"/>
  <c r="W8" i="16"/>
  <c r="V8" i="16"/>
  <c r="U8" i="16"/>
  <c r="T8" i="16"/>
  <c r="S8" i="16"/>
  <c r="X7" i="16"/>
  <c r="W7" i="16"/>
  <c r="V7" i="16"/>
  <c r="U7" i="16"/>
  <c r="T7" i="16"/>
  <c r="S7" i="16"/>
  <c r="X6" i="16"/>
  <c r="W6" i="16"/>
  <c r="V6" i="16"/>
  <c r="U6" i="16"/>
  <c r="T6" i="16"/>
  <c r="S6" i="16"/>
  <c r="X5" i="16"/>
  <c r="W5" i="16"/>
  <c r="V5" i="16"/>
  <c r="U5" i="16"/>
  <c r="T5" i="16"/>
  <c r="S5" i="16"/>
  <c r="X4" i="16"/>
  <c r="W4" i="16"/>
  <c r="V4" i="16"/>
  <c r="U4" i="16"/>
  <c r="T4" i="16"/>
  <c r="S4" i="16"/>
  <c r="X3" i="16"/>
  <c r="W3" i="16"/>
  <c r="V3" i="16"/>
  <c r="U3" i="16"/>
  <c r="T3" i="16"/>
  <c r="S3" i="16"/>
  <c r="X2" i="16"/>
  <c r="W2" i="16"/>
  <c r="V2" i="16"/>
  <c r="U2" i="16"/>
  <c r="T2" i="16"/>
  <c r="S2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sharedStrings.xml><?xml version="1.0" encoding="utf-8"?>
<sst xmlns="http://schemas.openxmlformats.org/spreadsheetml/2006/main" count="576" uniqueCount="243">
  <si>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</si>
  <si>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</si>
  <si>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</si>
  <si>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</si>
  <si>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</si>
  <si>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</si>
  <si>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</si>
  <si>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</si>
  <si>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</si>
  <si>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</si>
  <si>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</si>
  <si>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</si>
  <si>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</si>
  <si>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</si>
  <si>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</si>
  <si>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</si>
  <si>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</si>
  <si>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</si>
  <si>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</si>
  <si>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</si>
  <si>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</si>
  <si>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</si>
  <si>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</si>
  <si>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</si>
  <si>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</si>
  <si>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</si>
  <si>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</si>
  <si>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</si>
  <si>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</si>
  <si>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</si>
  <si>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</si>
  <si>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</si>
  <si>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</si>
  <si>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</si>
  <si>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</si>
  <si>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</si>
  <si>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</si>
  <si>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</si>
  <si>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</si>
  <si>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</si>
  <si>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</si>
  <si>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</si>
  <si>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</si>
  <si>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</si>
  <si>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</si>
  <si>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</si>
  <si>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</si>
  <si>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</si>
  <si>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</si>
  <si>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</si>
  <si>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</si>
  <si>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</si>
  <si>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</si>
  <si>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</si>
  <si>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</si>
  <si>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</si>
  <si>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</si>
  <si>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</si>
  <si>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</si>
  <si>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</si>
  <si>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</si>
  <si>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</si>
  <si>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</si>
  <si>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</si>
  <si>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</si>
  <si>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</si>
  <si>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</si>
  <si>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</si>
  <si>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</si>
  <si>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</si>
  <si>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</si>
  <si>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</si>
  <si>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</si>
  <si>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</si>
  <si>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</si>
  <si>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</si>
  <si>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</si>
  <si>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</si>
  <si>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</si>
  <si>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</si>
  <si>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</si>
  <si>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</si>
  <si>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</si>
  <si>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</si>
  <si>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</si>
  <si>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</si>
  <si>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</si>
  <si>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</si>
  <si>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</si>
  <si>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</si>
  <si>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</si>
  <si>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</si>
  <si>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</si>
  <si>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</si>
  <si>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</si>
  <si>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</si>
  <si>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</si>
  <si>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</si>
  <si>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</si>
  <si>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</si>
  <si>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</si>
  <si>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</si>
  <si>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</si>
  <si>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</si>
  <si>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</si>
  <si>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</si>
  <si>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</si>
  <si>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</si>
  <si>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</si>
  <si>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</si>
  <si>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</si>
  <si>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</si>
  <si>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</si>
  <si>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</si>
  <si>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</si>
  <si>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</si>
  <si>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</si>
  <si>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</si>
  <si>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</si>
  <si>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</si>
  <si>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</si>
  <si>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</si>
  <si>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</si>
  <si>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</si>
  <si>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</si>
  <si>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</si>
  <si>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</si>
  <si>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</si>
  <si>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</si>
  <si>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</si>
  <si>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</si>
  <si>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</si>
  <si>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</si>
  <si>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</si>
  <si>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</si>
  <si>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</si>
  <si>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</si>
  <si>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</si>
  <si>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</si>
  <si>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</si>
  <si>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</si>
  <si>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</si>
  <si>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</si>
  <si>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</si>
  <si>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</si>
  <si>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</si>
  <si>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</si>
  <si>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</si>
  <si>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</si>
  <si>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</si>
  <si>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</si>
  <si>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</si>
  <si>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</si>
  <si>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</si>
  <si>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</si>
  <si>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</si>
  <si>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</si>
  <si>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</si>
  <si>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</si>
  <si>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</si>
  <si>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</si>
  <si>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</si>
  <si>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</si>
  <si>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</si>
  <si>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</si>
  <si>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</si>
  <si>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</si>
  <si>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</si>
  <si>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</si>
  <si>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</si>
  <si>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</si>
  <si>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</si>
  <si>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</si>
  <si>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</si>
  <si>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</si>
  <si>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</si>
  <si>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</si>
  <si>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</si>
  <si>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</si>
  <si>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</si>
  <si>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</si>
  <si>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</si>
  <si>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</si>
  <si>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</si>
  <si>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</si>
  <si>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</si>
  <si>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</si>
  <si>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</si>
  <si>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</si>
  <si>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</si>
  <si>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</si>
  <si>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</si>
  <si>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</si>
  <si>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</si>
  <si>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</si>
  <si>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</si>
  <si>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</si>
  <si>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</si>
  <si>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</si>
  <si>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</si>
  <si>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</si>
  <si>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</si>
  <si>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</si>
  <si>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</si>
  <si>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</si>
  <si>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</si>
  <si>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</si>
  <si>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</si>
  <si>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</si>
  <si>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</si>
  <si>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</si>
  <si>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</si>
  <si>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</si>
  <si>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</si>
  <si>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</si>
  <si>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</si>
  <si>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</si>
  <si>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</si>
  <si>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</si>
  <si>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</si>
  <si>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</si>
  <si>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</si>
  <si>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</si>
  <si>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</si>
  <si>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</si>
  <si>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</si>
  <si>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</si>
  <si>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</si>
  <si>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</si>
  <si>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</si>
  <si>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</si>
  <si>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</si>
  <si>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</si>
  <si>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</si>
  <si>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</si>
  <si>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</si>
  <si>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</si>
  <si>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</si>
  <si>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TEST (LK1 - Männlich)</t>
  </si>
  <si>
    <t>TEST (LK1 - Weiblich)</t>
  </si>
  <si>
    <t>Test (LK2 - Männlich)</t>
  </si>
  <si>
    <t>TEST (LK2 - Weiblich)</t>
  </si>
  <si>
    <t>Tageslehrgang für LK3 und deren Heimtrainer zu den neuen Disziplinen.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</si>
</sst>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28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X13" totalsRowShown="0" headerRowDxfId="227" dataDxfId="226">
  <autoFilter ref="A1:X13" xr:uid="{FED162EE-531E-453F-8C25-562B59ECE709}"/>
  <tableColumns count="24">
    <tableColumn id="1" xr3:uid="{F985A4F0-6B8C-47C6-816F-1A31A4973EB2}" name="Tabellen Name" dataDxfId="225"/>
    <tableColumn id="2" xr3:uid="{5E5AD859-71A2-4E8E-B434-431A89C05C57}" name="Geschlecht" dataDxfId="224"/>
    <tableColumn id="3" xr3:uid="{85BB892C-E151-404B-8974-FC5199E0909C}" name="Mindest Alter" dataDxfId="223"/>
    <tableColumn id="4" xr3:uid="{790F6CF9-E475-4082-AE03-D30EDE22FB61}" name="Maximales Alter" dataDxfId="222"/>
    <tableColumn id="5" xr3:uid="{FD4B0E6E-9B64-4731-A50F-D3CE3A4ED3FC}" name="Qualizeitraum anfang" dataDxfId="221"/>
    <tableColumn id="6" xr3:uid="{5E84CAD2-C403-49B9-BB06-D56EC5784C8C}" name="Qualizeitraum Ende" dataDxfId="220"/>
    <tableColumn id="7" xr3:uid="{6323F8E2-5DA4-4E5B-9C35-1E8C219ADECF}" name="Letzter Wettkampf am" dataDxfId="219"/>
    <tableColumn id="8" xr3:uid="{D2845930-152E-432F-92A0-E7F7A3EE1FF0}" name="Landesverband" dataDxfId="218"/>
    <tableColumn id="9" xr3:uid="{87046373-5CCD-41EC-B34C-C753E71FD26C}" name="OMS" dataDxfId="217"/>
    <tableColumn id="10" xr3:uid="{A685FE01-F23C-4533-B399-857F5A1F6C37}" name="Pool-Länge" dataDxfId="216"/>
    <tableColumn id="11" xr3:uid="{11E0A508-0C9D-4CB6-952E-7FAC5D05BDCD}" name="Regelwerk" dataDxfId="215"/>
    <tableColumn id="12" xr3:uid="{F220BD5F-C3B5-4935-996A-BFCDF9F392D9}" name="Seiten Anzahl" dataDxfId="214"/>
    <tableColumn id="13" xr3:uid="{A0A5E62D-9354-426D-9A08-13E43F36F55B}" name="PZ1 - 50m Retten" dataDxfId="213"/>
    <tableColumn id="14" xr3:uid="{5D70F54C-57E9-45E2-BC99-0DBB0422383E}" name="PZ1 - 100m Retten" dataDxfId="212"/>
    <tableColumn id="15" xr3:uid="{1C0CF5DB-156E-4813-A8BA-9EA29A40ABF3}" name="PZ1 - 100m Kombi" dataDxfId="211"/>
    <tableColumn id="16" xr3:uid="{691CD4E1-13D9-4455-A2D1-14C9BC41A0EA}" name="PZ1 - 100m Lifesaver" dataDxfId="210"/>
    <tableColumn id="17" xr3:uid="{CE1BA235-770B-4FA4-B327-187675DDA6B8}" name="PZ1 - 200m Super-Lifesaver" dataDxfId="209"/>
    <tableColumn id="18" xr3:uid="{A326EF87-5FF5-4042-85D3-7806FEED4CFA}" name="PZ1 - 200m Hindernis" dataDxfId="208"/>
    <tableColumn id="19" xr3:uid="{ABA5540C-4356-4D68-8579-E660F9FD6EA8}" name="PZ2 - 50m Retten" dataDxfId="207">
      <calculatedColumnFormula>LK_konfig[[#This Row],[PZ1 - 50m Retten]]</calculatedColumnFormula>
    </tableColumn>
    <tableColumn id="20" xr3:uid="{62E98437-16C9-4433-8683-E3C8A1B80E76}" name="PZ2 - 100m Retten" dataDxfId="206">
      <calculatedColumnFormula>LK_konfig[[#This Row],[PZ1 - 50m Retten]]</calculatedColumnFormula>
    </tableColumn>
    <tableColumn id="21" xr3:uid="{ED4E9448-4073-4B27-A491-5385DED08F83}" name="PZ2 - 100m Kombi" dataDxfId="205">
      <calculatedColumnFormula>LK_konfig[[#This Row],[PZ1 - 50m Retten]]</calculatedColumnFormula>
    </tableColumn>
    <tableColumn id="22" xr3:uid="{53F3DC0A-267B-434A-BD8A-320943916288}" name="PZ2 - 100m Lifesaver" dataDxfId="204">
      <calculatedColumnFormula>LK_konfig[[#This Row],[PZ1 - 50m Retten]]</calculatedColumnFormula>
    </tableColumn>
    <tableColumn id="23" xr3:uid="{1586F43C-8AD2-4942-A098-687AF0A028AC}" name="PZ2 - 200m Super-Lifesaver" dataDxfId="203">
      <calculatedColumnFormula>LK_konfig[[#This Row],[PZ1 - 50m Retten]]</calculatedColumnFormula>
    </tableColumn>
    <tableColumn id="24" xr3:uid="{98AA496B-EB58-437E-91F5-800894DDD85F}" name="PZ2 - 200m Hindernis" dataDxfId="202">
      <calculatedColumnFormula>LK_konfig[[#This Row],[PZ1 - 50m Retten]]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E21" sqref="A1:XFD104857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X13"/>
  <sheetViews>
    <sheetView tabSelected="1" workbookViewId="0">
      <selection activeCell="B3" sqref="B3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238</v>
      </c>
      <c r="B2" s="25" t="s">
        <v>148</v>
      </c>
      <c r="C2" s="25">
        <v>23</v>
      </c>
      <c r="D2" s="25">
        <v>50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8">
        <v>3.9324537037037035E-4</v>
      </c>
      <c r="N2" s="28">
        <v>6.2564814814814807E-4</v>
      </c>
      <c r="O2" s="28">
        <v>8.3428703703703692E-4</v>
      </c>
      <c r="P2" s="28">
        <v>6.8807870370370366E-4</v>
      </c>
      <c r="Q2" s="28">
        <v>1.7890046296296295E-3</v>
      </c>
      <c r="R2" s="28">
        <v>1.6026527777777777E-3</v>
      </c>
      <c r="S2" s="28">
        <f>LK_konfig[[#This Row],[PZ1 - 50m Retten]]</f>
        <v>3.9324537037037035E-4</v>
      </c>
      <c r="T2" s="28">
        <f>LK_konfig[[#This Row],[PZ1 - 50m Retten]]</f>
        <v>3.9324537037037035E-4</v>
      </c>
      <c r="U2" s="28">
        <f>LK_konfig[[#This Row],[PZ1 - 50m Retten]]</f>
        <v>3.9324537037037035E-4</v>
      </c>
      <c r="V2" s="28">
        <f>LK_konfig[[#This Row],[PZ1 - 50m Retten]]</f>
        <v>3.9324537037037035E-4</v>
      </c>
      <c r="W2" s="28">
        <f>LK_konfig[[#This Row],[PZ1 - 50m Retten]]</f>
        <v>3.9324537037037035E-4</v>
      </c>
      <c r="X2" s="28">
        <f>LK_konfig[[#This Row],[PZ1 - 50m Retten]]</f>
        <v>3.9324537037037035E-4</v>
      </c>
    </row>
    <row r="3" spans="1:24" x14ac:dyDescent="0.45">
      <c r="A3" s="25" t="s">
        <v>238</v>
      </c>
      <c r="B3" s="25" t="s">
        <v>148</v>
      </c>
      <c r="C3" s="25">
        <v>20</v>
      </c>
      <c r="D3" s="25">
        <v>22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8">
        <v>4.0693981481481478E-4</v>
      </c>
      <c r="N3" s="28">
        <v>6.4565277777777776E-4</v>
      </c>
      <c r="O3" s="28">
        <v>8.6691203703703691E-4</v>
      </c>
      <c r="P3" s="28">
        <v>7.1788425925925915E-4</v>
      </c>
      <c r="Q3" s="28">
        <v>1.845125E-3</v>
      </c>
      <c r="R3" s="28">
        <v>1.6571620370370371E-3</v>
      </c>
      <c r="S3" s="28">
        <f>LK_konfig[[#This Row],[PZ1 - 50m Retten]]</f>
        <v>4.0693981481481478E-4</v>
      </c>
      <c r="T3" s="28">
        <f>LK_konfig[[#This Row],[PZ1 - 50m Retten]]</f>
        <v>4.0693981481481478E-4</v>
      </c>
      <c r="U3" s="28">
        <f>LK_konfig[[#This Row],[PZ1 - 50m Retten]]</f>
        <v>4.0693981481481478E-4</v>
      </c>
      <c r="V3" s="28">
        <f>LK_konfig[[#This Row],[PZ1 - 50m Retten]]</f>
        <v>4.0693981481481478E-4</v>
      </c>
      <c r="W3" s="28">
        <f>LK_konfig[[#This Row],[PZ1 - 50m Retten]]</f>
        <v>4.0693981481481478E-4</v>
      </c>
      <c r="X3" s="28">
        <f>LK_konfig[[#This Row],[PZ1 - 50m Retten]]</f>
        <v>4.0693981481481478E-4</v>
      </c>
    </row>
    <row r="4" spans="1:24" x14ac:dyDescent="0.45">
      <c r="A4" s="25" t="s">
        <v>238</v>
      </c>
      <c r="B4" s="25" t="s">
        <v>148</v>
      </c>
      <c r="C4" s="25">
        <v>14</v>
      </c>
      <c r="D4" s="25">
        <v>19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8">
        <v>4.1888888888888884E-4</v>
      </c>
      <c r="N4" s="28">
        <v>6.6324074074074072E-4</v>
      </c>
      <c r="O4" s="28">
        <v>8.953749999999999E-4</v>
      </c>
      <c r="P4" s="28">
        <v>7.439305555555554E-4</v>
      </c>
      <c r="Q4" s="28">
        <v>1.8632499999999999E-3</v>
      </c>
      <c r="R4" s="28">
        <v>1.7049583333333331E-3</v>
      </c>
      <c r="S4" s="28">
        <f>LK_konfig[[#This Row],[PZ1 - 50m Retten]]</f>
        <v>4.1888888888888884E-4</v>
      </c>
      <c r="T4" s="28">
        <f>LK_konfig[[#This Row],[PZ1 - 50m Retten]]</f>
        <v>4.1888888888888884E-4</v>
      </c>
      <c r="U4" s="28">
        <f>LK_konfig[[#This Row],[PZ1 - 50m Retten]]</f>
        <v>4.1888888888888884E-4</v>
      </c>
      <c r="V4" s="28">
        <f>LK_konfig[[#This Row],[PZ1 - 50m Retten]]</f>
        <v>4.1888888888888884E-4</v>
      </c>
      <c r="W4" s="28">
        <f>LK_konfig[[#This Row],[PZ1 - 50m Retten]]</f>
        <v>4.1888888888888884E-4</v>
      </c>
      <c r="X4" s="28">
        <f>LK_konfig[[#This Row],[PZ1 - 50m Retten]]</f>
        <v>4.1888888888888884E-4</v>
      </c>
    </row>
    <row r="5" spans="1:24" x14ac:dyDescent="0.45">
      <c r="A5" s="25" t="s">
        <v>239</v>
      </c>
      <c r="B5" s="25" t="s">
        <v>130</v>
      </c>
      <c r="C5" s="25">
        <v>23</v>
      </c>
      <c r="D5" s="25">
        <v>50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8">
        <v>4.7436458333333331E-4</v>
      </c>
      <c r="N5" s="28">
        <v>7.3382291666666659E-4</v>
      </c>
      <c r="O5" s="28">
        <v>9.7080208333333328E-4</v>
      </c>
      <c r="P5" s="28">
        <v>8.0545833333333326E-4</v>
      </c>
      <c r="Q5" s="28">
        <v>1.9667916666666666E-3</v>
      </c>
      <c r="R5" s="28">
        <v>1.8239270833333332E-3</v>
      </c>
      <c r="S5" s="28">
        <f>LK_konfig[[#This Row],[PZ1 - 50m Retten]]</f>
        <v>4.7436458333333331E-4</v>
      </c>
      <c r="T5" s="28">
        <f>LK_konfig[[#This Row],[PZ1 - 50m Retten]]</f>
        <v>4.7436458333333331E-4</v>
      </c>
      <c r="U5" s="28">
        <f>LK_konfig[[#This Row],[PZ1 - 50m Retten]]</f>
        <v>4.7436458333333331E-4</v>
      </c>
      <c r="V5" s="28">
        <f>LK_konfig[[#This Row],[PZ1 - 50m Retten]]</f>
        <v>4.7436458333333331E-4</v>
      </c>
      <c r="W5" s="28">
        <f>LK_konfig[[#This Row],[PZ1 - 50m Retten]]</f>
        <v>4.7436458333333331E-4</v>
      </c>
      <c r="X5" s="28">
        <f>LK_konfig[[#This Row],[PZ1 - 50m Retten]]</f>
        <v>4.7436458333333331E-4</v>
      </c>
    </row>
    <row r="6" spans="1:24" x14ac:dyDescent="0.45">
      <c r="A6" s="25" t="s">
        <v>239</v>
      </c>
      <c r="B6" s="25" t="s">
        <v>130</v>
      </c>
      <c r="C6" s="25">
        <v>20</v>
      </c>
      <c r="D6" s="25">
        <v>22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8">
        <v>4.9196875E-4</v>
      </c>
      <c r="N6" s="28">
        <v>7.5576041666666662E-4</v>
      </c>
      <c r="O6" s="28">
        <v>1.0057395833333333E-3</v>
      </c>
      <c r="P6" s="28">
        <v>8.322708333333333E-4</v>
      </c>
      <c r="Q6" s="28">
        <v>2.0094479166666663E-3</v>
      </c>
      <c r="R6" s="28">
        <v>1.8506041666666664E-3</v>
      </c>
      <c r="S6" s="28">
        <f>LK_konfig[[#This Row],[PZ1 - 50m Retten]]</f>
        <v>4.9196875E-4</v>
      </c>
      <c r="T6" s="28">
        <f>LK_konfig[[#This Row],[PZ1 - 50m Retten]]</f>
        <v>4.9196875E-4</v>
      </c>
      <c r="U6" s="28">
        <f>LK_konfig[[#This Row],[PZ1 - 50m Retten]]</f>
        <v>4.9196875E-4</v>
      </c>
      <c r="V6" s="28">
        <f>LK_konfig[[#This Row],[PZ1 - 50m Retten]]</f>
        <v>4.9196875E-4</v>
      </c>
      <c r="W6" s="28">
        <f>LK_konfig[[#This Row],[PZ1 - 50m Retten]]</f>
        <v>4.9196875E-4</v>
      </c>
      <c r="X6" s="28">
        <f>LK_konfig[[#This Row],[PZ1 - 50m Retten]]</f>
        <v>4.9196875E-4</v>
      </c>
    </row>
    <row r="7" spans="1:24" x14ac:dyDescent="0.45">
      <c r="A7" s="25" t="s">
        <v>239</v>
      </c>
      <c r="B7" s="25" t="s">
        <v>130</v>
      </c>
      <c r="C7" s="25">
        <v>14</v>
      </c>
      <c r="D7" s="25">
        <v>19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8">
        <v>5.1593750000000001E-4</v>
      </c>
      <c r="N7" s="28">
        <v>7.8582291666666666E-4</v>
      </c>
      <c r="O7" s="28">
        <v>1.0534062499999999E-3</v>
      </c>
      <c r="P7" s="28">
        <v>8.6883333333333322E-4</v>
      </c>
      <c r="Q7" s="28">
        <v>2.0678124999999998E-3</v>
      </c>
      <c r="R7" s="28">
        <v>1.8871666666666668E-3</v>
      </c>
      <c r="S7" s="28">
        <f>LK_konfig[[#This Row],[PZ1 - 50m Retten]]</f>
        <v>5.1593750000000001E-4</v>
      </c>
      <c r="T7" s="28">
        <f>LK_konfig[[#This Row],[PZ1 - 50m Retten]]</f>
        <v>5.1593750000000001E-4</v>
      </c>
      <c r="U7" s="28">
        <f>LK_konfig[[#This Row],[PZ1 - 50m Retten]]</f>
        <v>5.1593750000000001E-4</v>
      </c>
      <c r="V7" s="28">
        <f>LK_konfig[[#This Row],[PZ1 - 50m Retten]]</f>
        <v>5.1593750000000001E-4</v>
      </c>
      <c r="W7" s="28">
        <f>LK_konfig[[#This Row],[PZ1 - 50m Retten]]</f>
        <v>5.1593750000000001E-4</v>
      </c>
      <c r="X7" s="28">
        <f>LK_konfig[[#This Row],[PZ1 - 50m Retten]]</f>
        <v>5.1593750000000001E-4</v>
      </c>
    </row>
    <row r="8" spans="1:24" x14ac:dyDescent="0.45">
      <c r="A8" s="25" t="s">
        <v>240</v>
      </c>
      <c r="B8" s="25" t="s">
        <v>148</v>
      </c>
      <c r="C8" s="25">
        <v>18</v>
      </c>
      <c r="D8" s="25">
        <v>18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8">
        <v>4.4791666666666667E-4</v>
      </c>
      <c r="N8" s="28">
        <v>7.0736111111111108E-4</v>
      </c>
      <c r="O8" s="28">
        <v>9.6125000000000008E-4</v>
      </c>
      <c r="P8" s="28">
        <v>8.018055555555555E-4</v>
      </c>
      <c r="Q8" s="28">
        <v>1.9945833333333335E-3</v>
      </c>
      <c r="R8" s="28">
        <v>1.8218055555555552E-3</v>
      </c>
      <c r="S8" s="28">
        <f>LK_konfig[[#This Row],[PZ1 - 50m Retten]]</f>
        <v>4.4791666666666667E-4</v>
      </c>
      <c r="T8" s="28">
        <f>LK_konfig[[#This Row],[PZ1 - 50m Retten]]</f>
        <v>4.4791666666666667E-4</v>
      </c>
      <c r="U8" s="28">
        <f>LK_konfig[[#This Row],[PZ1 - 50m Retten]]</f>
        <v>4.4791666666666667E-4</v>
      </c>
      <c r="V8" s="28">
        <f>LK_konfig[[#This Row],[PZ1 - 50m Retten]]</f>
        <v>4.4791666666666667E-4</v>
      </c>
      <c r="W8" s="28">
        <f>LK_konfig[[#This Row],[PZ1 - 50m Retten]]</f>
        <v>4.4791666666666667E-4</v>
      </c>
      <c r="X8" s="28">
        <f>LK_konfig[[#This Row],[PZ1 - 50m Retten]]</f>
        <v>4.4791666666666667E-4</v>
      </c>
    </row>
    <row r="9" spans="1:24" x14ac:dyDescent="0.45">
      <c r="A9" s="25" t="s">
        <v>240</v>
      </c>
      <c r="B9" s="25" t="s">
        <v>148</v>
      </c>
      <c r="C9" s="25">
        <v>17</v>
      </c>
      <c r="D9" s="25">
        <v>17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8">
        <v>4.619444444444444E-4</v>
      </c>
      <c r="N9" s="28">
        <v>7.2763888888888889E-4</v>
      </c>
      <c r="O9" s="28">
        <v>9.9472222222222236E-4</v>
      </c>
      <c r="P9" s="28">
        <v>8.3263888888888895E-4</v>
      </c>
      <c r="Q9" s="28">
        <v>2.0587499999999998E-3</v>
      </c>
      <c r="R9" s="28">
        <v>1.8773611111111107E-3</v>
      </c>
      <c r="S9" s="28">
        <f>LK_konfig[[#This Row],[PZ1 - 50m Retten]]</f>
        <v>4.619444444444444E-4</v>
      </c>
      <c r="T9" s="28">
        <f>LK_konfig[[#This Row],[PZ1 - 50m Retten]]</f>
        <v>4.619444444444444E-4</v>
      </c>
      <c r="U9" s="28">
        <f>LK_konfig[[#This Row],[PZ1 - 50m Retten]]</f>
        <v>4.619444444444444E-4</v>
      </c>
      <c r="V9" s="28">
        <f>LK_konfig[[#This Row],[PZ1 - 50m Retten]]</f>
        <v>4.619444444444444E-4</v>
      </c>
      <c r="W9" s="28">
        <f>LK_konfig[[#This Row],[PZ1 - 50m Retten]]</f>
        <v>4.619444444444444E-4</v>
      </c>
      <c r="X9" s="28">
        <f>LK_konfig[[#This Row],[PZ1 - 50m Retten]]</f>
        <v>4.619444444444444E-4</v>
      </c>
    </row>
    <row r="10" spans="1:24" x14ac:dyDescent="0.45">
      <c r="A10" s="25" t="s">
        <v>240</v>
      </c>
      <c r="B10" s="25" t="s">
        <v>148</v>
      </c>
      <c r="C10" s="25">
        <v>14</v>
      </c>
      <c r="D10" s="25">
        <v>16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8">
        <v>4.7138888888888881E-4</v>
      </c>
      <c r="N10" s="28">
        <v>7.415277777777778E-4</v>
      </c>
      <c r="O10" s="28">
        <v>1.0176388888888889E-3</v>
      </c>
      <c r="P10" s="28">
        <v>8.5375000000000002E-4</v>
      </c>
      <c r="Q10" s="28">
        <v>2.1024999999999998E-3</v>
      </c>
      <c r="R10" s="28">
        <v>1.9152777777777779E-3</v>
      </c>
      <c r="S10" s="28">
        <f>LK_konfig[[#This Row],[PZ1 - 50m Retten]]</f>
        <v>4.7138888888888881E-4</v>
      </c>
      <c r="T10" s="28">
        <f>LK_konfig[[#This Row],[PZ1 - 50m Retten]]</f>
        <v>4.7138888888888881E-4</v>
      </c>
      <c r="U10" s="28">
        <f>LK_konfig[[#This Row],[PZ1 - 50m Retten]]</f>
        <v>4.7138888888888881E-4</v>
      </c>
      <c r="V10" s="28">
        <f>LK_konfig[[#This Row],[PZ1 - 50m Retten]]</f>
        <v>4.7138888888888881E-4</v>
      </c>
      <c r="W10" s="28">
        <f>LK_konfig[[#This Row],[PZ1 - 50m Retten]]</f>
        <v>4.7138888888888881E-4</v>
      </c>
      <c r="X10" s="28">
        <f>LK_konfig[[#This Row],[PZ1 - 50m Retten]]</f>
        <v>4.7138888888888881E-4</v>
      </c>
    </row>
    <row r="11" spans="1:24" x14ac:dyDescent="0.45">
      <c r="A11" s="25" t="s">
        <v>241</v>
      </c>
      <c r="B11" s="25" t="s">
        <v>130</v>
      </c>
      <c r="C11" s="25">
        <v>18</v>
      </c>
      <c r="D11" s="25">
        <v>18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8">
        <v>5.3782870370370367E-4</v>
      </c>
      <c r="N11" s="28">
        <v>8.139814814814815E-4</v>
      </c>
      <c r="O11" s="28">
        <v>1.1029722222222222E-3</v>
      </c>
      <c r="P11" s="28">
        <v>9.026180555555556E-4</v>
      </c>
      <c r="Q11" s="28">
        <v>2.1334236111111111E-3</v>
      </c>
      <c r="R11" s="28">
        <v>1.9327962962962962E-3</v>
      </c>
      <c r="S11" s="28">
        <f>LK_konfig[[#This Row],[PZ1 - 50m Retten]]</f>
        <v>5.3782870370370367E-4</v>
      </c>
      <c r="T11" s="28">
        <f>LK_konfig[[#This Row],[PZ1 - 50m Retten]]</f>
        <v>5.3782870370370367E-4</v>
      </c>
      <c r="U11" s="28">
        <f>LK_konfig[[#This Row],[PZ1 - 50m Retten]]</f>
        <v>5.3782870370370367E-4</v>
      </c>
      <c r="V11" s="28">
        <f>LK_konfig[[#This Row],[PZ1 - 50m Retten]]</f>
        <v>5.3782870370370367E-4</v>
      </c>
      <c r="W11" s="28">
        <f>LK_konfig[[#This Row],[PZ1 - 50m Retten]]</f>
        <v>5.3782870370370367E-4</v>
      </c>
      <c r="X11" s="28">
        <f>LK_konfig[[#This Row],[PZ1 - 50m Retten]]</f>
        <v>5.3782870370370367E-4</v>
      </c>
    </row>
    <row r="12" spans="1:24" x14ac:dyDescent="0.45">
      <c r="A12" s="25" t="s">
        <v>241</v>
      </c>
      <c r="B12" s="25" t="s">
        <v>130</v>
      </c>
      <c r="C12" s="25">
        <v>17</v>
      </c>
      <c r="D12" s="25">
        <v>17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8">
        <v>5.5107638888888882E-4</v>
      </c>
      <c r="N12" s="28">
        <v>8.3037037037037031E-4</v>
      </c>
      <c r="O12" s="28">
        <v>1.1436712962962963E-3</v>
      </c>
      <c r="P12" s="28">
        <v>9.2269444444444441E-4</v>
      </c>
      <c r="Q12" s="28">
        <v>2.1813611111111109E-3</v>
      </c>
      <c r="R12" s="28">
        <v>1.9621597222222223E-3</v>
      </c>
      <c r="S12" s="28">
        <f>LK_konfig[[#This Row],[PZ1 - 50m Retten]]</f>
        <v>5.5107638888888882E-4</v>
      </c>
      <c r="T12" s="28">
        <f>LK_konfig[[#This Row],[PZ1 - 50m Retten]]</f>
        <v>5.5107638888888882E-4</v>
      </c>
      <c r="U12" s="28">
        <f>LK_konfig[[#This Row],[PZ1 - 50m Retten]]</f>
        <v>5.5107638888888882E-4</v>
      </c>
      <c r="V12" s="28">
        <f>LK_konfig[[#This Row],[PZ1 - 50m Retten]]</f>
        <v>5.5107638888888882E-4</v>
      </c>
      <c r="W12" s="28">
        <f>LK_konfig[[#This Row],[PZ1 - 50m Retten]]</f>
        <v>5.5107638888888882E-4</v>
      </c>
      <c r="X12" s="28">
        <f>LK_konfig[[#This Row],[PZ1 - 50m Retten]]</f>
        <v>5.5107638888888882E-4</v>
      </c>
    </row>
    <row r="13" spans="1:24" x14ac:dyDescent="0.45">
      <c r="A13" s="25" t="s">
        <v>241</v>
      </c>
      <c r="B13" s="25" t="s">
        <v>130</v>
      </c>
      <c r="C13" s="25">
        <v>14</v>
      </c>
      <c r="D13" s="25">
        <v>16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8">
        <v>5.6336805555555545E-4</v>
      </c>
      <c r="N13" s="28">
        <v>8.4539351851851843E-4</v>
      </c>
      <c r="O13" s="28">
        <v>1.1842337962962963E-3</v>
      </c>
      <c r="P13" s="28">
        <v>9.4126851851851858E-4</v>
      </c>
      <c r="Q13" s="28">
        <v>2.2291620370370369E-3</v>
      </c>
      <c r="R13" s="28">
        <v>1.9916597222222219E-3</v>
      </c>
      <c r="S13" s="28">
        <f>LK_konfig[[#This Row],[PZ1 - 50m Retten]]</f>
        <v>5.6336805555555545E-4</v>
      </c>
      <c r="T13" s="28">
        <f>LK_konfig[[#This Row],[PZ1 - 50m Retten]]</f>
        <v>5.6336805555555545E-4</v>
      </c>
      <c r="U13" s="28">
        <f>LK_konfig[[#This Row],[PZ1 - 50m Retten]]</f>
        <v>5.6336805555555545E-4</v>
      </c>
      <c r="V13" s="28">
        <f>LK_konfig[[#This Row],[PZ1 - 50m Retten]]</f>
        <v>5.6336805555555545E-4</v>
      </c>
      <c r="W13" s="28">
        <f>LK_konfig[[#This Row],[PZ1 - 50m Retten]]</f>
        <v>5.6336805555555545E-4</v>
      </c>
      <c r="X13" s="28">
        <f>LK_konfig[[#This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7" sqref="F7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242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F7" sqref="F7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5">
        <v>2025</v>
      </c>
      <c r="B1" s="45" t="str">
        <f ca="1">CONCATENATE("in: ",YEAR(TODAY())-1," für: ", YEAR(TODAY()))</f>
        <v>in: 2025 für: 2026</v>
      </c>
      <c r="C1" s="106" t="s">
        <v>220</v>
      </c>
      <c r="D1" s="106"/>
      <c r="E1" s="107"/>
      <c r="F1" s="110" t="s">
        <v>221</v>
      </c>
      <c r="G1" s="111"/>
      <c r="H1" s="111"/>
      <c r="I1" s="111"/>
      <c r="J1" s="112"/>
      <c r="K1" s="116" t="s">
        <v>225</v>
      </c>
      <c r="L1" s="117"/>
      <c r="M1" s="117"/>
      <c r="N1" s="118"/>
      <c r="O1" s="108" t="s">
        <v>222</v>
      </c>
      <c r="P1" s="108"/>
      <c r="Q1" s="109"/>
      <c r="R1" s="122" t="s">
        <v>223</v>
      </c>
      <c r="S1" s="123"/>
      <c r="T1" s="123"/>
      <c r="U1" s="123"/>
      <c r="V1" s="124"/>
      <c r="W1" s="119" t="s">
        <v>226</v>
      </c>
      <c r="X1" s="120"/>
      <c r="Y1" s="120"/>
      <c r="Z1" s="121"/>
      <c r="AA1"/>
      <c r="AB1" s="45" t="str">
        <f ca="1">CONCATENATE("in: ",YEAR(TODAY())-1," für: ", YEAR(TODAY()))</f>
        <v>in: 2025 für: 2026</v>
      </c>
      <c r="AC1" s="126" t="s">
        <v>227</v>
      </c>
      <c r="AD1" s="126"/>
      <c r="AE1" s="127"/>
      <c r="AF1" s="128" t="s">
        <v>228</v>
      </c>
      <c r="AG1" s="129"/>
      <c r="AH1" s="129"/>
      <c r="AI1" s="129"/>
      <c r="AJ1" s="130"/>
      <c r="AK1" s="131" t="s">
        <v>229</v>
      </c>
      <c r="AL1" s="132"/>
      <c r="AM1" s="132"/>
      <c r="AN1" s="133"/>
      <c r="AO1" s="134" t="s">
        <v>230</v>
      </c>
      <c r="AP1" s="135"/>
      <c r="AQ1" s="136"/>
      <c r="AR1" s="137" t="s">
        <v>231</v>
      </c>
      <c r="AS1" s="138"/>
      <c r="AT1" s="138"/>
      <c r="AU1" s="138"/>
      <c r="AV1" s="139"/>
      <c r="AW1" s="113" t="s">
        <v>232</v>
      </c>
      <c r="AX1" s="114"/>
      <c r="AY1" s="114"/>
      <c r="AZ1" s="115"/>
      <c r="BB1" s="45" t="str">
        <f ca="1">CONCATENATE("in: ",YEAR(TODAY())-1," für: ", YEAR(TODAY()))</f>
        <v>in: 2025 für: 2026</v>
      </c>
      <c r="BC1" s="106" t="s">
        <v>233</v>
      </c>
      <c r="BD1" s="106"/>
      <c r="BE1" s="107"/>
      <c r="BF1" s="110" t="s">
        <v>234</v>
      </c>
      <c r="BG1" s="111"/>
      <c r="BH1" s="111"/>
      <c r="BI1" s="111"/>
      <c r="BJ1" s="112"/>
      <c r="BK1" s="116" t="s">
        <v>235</v>
      </c>
      <c r="BL1" s="117"/>
      <c r="BM1" s="117"/>
      <c r="BN1" s="118"/>
      <c r="BO1" s="108" t="s">
        <v>222</v>
      </c>
      <c r="BP1" s="108"/>
      <c r="BQ1" s="109"/>
      <c r="BR1" s="122" t="s">
        <v>223</v>
      </c>
      <c r="BS1" s="123"/>
      <c r="BT1" s="123"/>
      <c r="BU1" s="123"/>
      <c r="BV1" s="124"/>
      <c r="BW1" s="119" t="s">
        <v>236</v>
      </c>
      <c r="BX1" s="120"/>
      <c r="BY1" s="120"/>
      <c r="BZ1" s="121"/>
    </row>
    <row r="2" spans="1:78" s="94" customFormat="1" ht="21.4" thickBot="1" x14ac:dyDescent="0.55000000000000004">
      <c r="A2" s="125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CONCATENATE(YEAR(TODAY())-1-24,"-",YEAR(TODAY())-40-1)</f>
        <v>2001-1985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5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5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5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5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5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5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5">
        <v>2026</v>
      </c>
      <c r="B10" s="45" t="str">
        <f ca="1">CONCATENATE("in: ",YEAR(TODAY())," für: ", YEAR(TODAY())+1)</f>
        <v>in: 2026 für: 2027</v>
      </c>
      <c r="C10" s="106" t="s">
        <v>220</v>
      </c>
      <c r="D10" s="106"/>
      <c r="E10" s="107"/>
      <c r="F10" s="110" t="s">
        <v>221</v>
      </c>
      <c r="G10" s="111"/>
      <c r="H10" s="111"/>
      <c r="I10" s="111"/>
      <c r="J10" s="112"/>
      <c r="K10" s="116" t="s">
        <v>225</v>
      </c>
      <c r="L10" s="117"/>
      <c r="M10" s="117"/>
      <c r="N10" s="118"/>
      <c r="O10" s="108" t="s">
        <v>222</v>
      </c>
      <c r="P10" s="108"/>
      <c r="Q10" s="109"/>
      <c r="R10" s="122" t="s">
        <v>223</v>
      </c>
      <c r="S10" s="123"/>
      <c r="T10" s="123"/>
      <c r="U10" s="123"/>
      <c r="V10" s="124"/>
      <c r="W10" s="119" t="s">
        <v>226</v>
      </c>
      <c r="X10" s="120"/>
      <c r="Y10" s="120"/>
      <c r="Z10" s="121"/>
      <c r="AB10" s="45" t="str">
        <f ca="1">CONCATENATE("in: ",YEAR(TODAY())," für: ", YEAR(TODAY())+1)</f>
        <v>in: 2026 für: 2027</v>
      </c>
      <c r="AC10" s="126" t="s">
        <v>227</v>
      </c>
      <c r="AD10" s="126"/>
      <c r="AE10" s="127"/>
      <c r="AF10" s="128" t="s">
        <v>228</v>
      </c>
      <c r="AG10" s="129"/>
      <c r="AH10" s="129"/>
      <c r="AI10" s="129"/>
      <c r="AJ10" s="130"/>
      <c r="AK10" s="131" t="s">
        <v>229</v>
      </c>
      <c r="AL10" s="132"/>
      <c r="AM10" s="132"/>
      <c r="AN10" s="133"/>
      <c r="AO10" s="134" t="s">
        <v>230</v>
      </c>
      <c r="AP10" s="135"/>
      <c r="AQ10" s="136"/>
      <c r="AR10" s="137" t="s">
        <v>231</v>
      </c>
      <c r="AS10" s="138"/>
      <c r="AT10" s="138"/>
      <c r="AU10" s="138"/>
      <c r="AV10" s="139"/>
      <c r="AW10" s="113" t="s">
        <v>232</v>
      </c>
      <c r="AX10" s="114"/>
      <c r="AY10" s="114"/>
      <c r="AZ10" s="115"/>
      <c r="BB10" s="45" t="str">
        <f ca="1">CONCATENATE("in: ",YEAR(TODAY())," für: ", YEAR(TODAY())+1)</f>
        <v>in: 2026 für: 2027</v>
      </c>
      <c r="BC10" s="106" t="s">
        <v>233</v>
      </c>
      <c r="BD10" s="106"/>
      <c r="BE10" s="107"/>
      <c r="BF10" s="110" t="s">
        <v>234</v>
      </c>
      <c r="BG10" s="111"/>
      <c r="BH10" s="111"/>
      <c r="BI10" s="111"/>
      <c r="BJ10" s="112"/>
      <c r="BK10" s="116" t="s">
        <v>235</v>
      </c>
      <c r="BL10" s="117"/>
      <c r="BM10" s="117"/>
      <c r="BN10" s="118"/>
      <c r="BO10" s="108" t="s">
        <v>222</v>
      </c>
      <c r="BP10" s="108"/>
      <c r="BQ10" s="109"/>
      <c r="BR10" s="122" t="s">
        <v>223</v>
      </c>
      <c r="BS10" s="123"/>
      <c r="BT10" s="123"/>
      <c r="BU10" s="123"/>
      <c r="BV10" s="124"/>
      <c r="BW10" s="119" t="s">
        <v>236</v>
      </c>
      <c r="BX10" s="120"/>
      <c r="BY10" s="120"/>
      <c r="BZ10" s="121"/>
    </row>
    <row r="11" spans="1:78" ht="21.4" thickBot="1" x14ac:dyDescent="0.5">
      <c r="A11" s="125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CONCATENATE(YEAR(TODAY())-24,"-",YEAR(TODAY())-40)</f>
        <v>2002-1986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5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0.18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5.6336805555555556E-4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5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5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5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5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5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LK Kalender</vt:lpstr>
      <vt:lpstr>NK-LK Transf.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2026-03-05T00:17:56Z</dcterms:modified>
</cp:coreProperties>
</file>