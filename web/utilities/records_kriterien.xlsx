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F6E63697-3764-40A1-B36A-F770F954392D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9" i="13" l="1"/>
  <c r="W9" i="13"/>
  <c r="V9" i="13"/>
  <c r="U9" i="13"/>
  <c r="T9" i="13"/>
  <c r="S9" i="13"/>
  <c r="X8" i="13"/>
  <c r="W8" i="13"/>
  <c r="V8" i="13"/>
  <c r="U8" i="13"/>
  <c r="T8" i="13"/>
  <c r="S8" i="13"/>
  <c r="X7" i="13"/>
  <c r="W7" i="13"/>
  <c r="V7" i="13"/>
  <c r="U7" i="13"/>
  <c r="T7" i="13"/>
  <c r="S7" i="13"/>
  <c r="X6" i="13"/>
  <c r="W6" i="13"/>
  <c r="V6" i="13"/>
  <c r="U6" i="13"/>
  <c r="T6" i="13"/>
  <c r="S6" i="13"/>
  <c r="X5" i="13"/>
  <c r="W5" i="13"/>
  <c r="V5" i="13"/>
  <c r="U5" i="13"/>
  <c r="T5" i="13"/>
  <c r="S5" i="13"/>
  <c r="X4" i="13"/>
  <c r="W4" i="13"/>
  <c r="V4" i="13"/>
  <c r="U4" i="13"/>
  <c r="T4" i="13"/>
  <c r="S4" i="13"/>
  <c r="K19" i="14"/>
  <c r="Q7" i="13" s="1"/>
  <c r="J19" i="14"/>
  <c r="Q8" i="13" s="1"/>
  <c r="I19" i="14"/>
  <c r="Q9" i="13" s="1"/>
  <c r="K18" i="14"/>
  <c r="R7" i="13" s="1"/>
  <c r="J18" i="14"/>
  <c r="R8" i="13" s="1"/>
  <c r="I18" i="14"/>
  <c r="R9" i="13" s="1"/>
  <c r="K17" i="14"/>
  <c r="P7" i="13" s="1"/>
  <c r="J17" i="14"/>
  <c r="P8" i="13" s="1"/>
  <c r="I17" i="14"/>
  <c r="P9" i="13" s="1"/>
  <c r="K16" i="14"/>
  <c r="N7" i="13" s="1"/>
  <c r="J16" i="14"/>
  <c r="N8" i="13" s="1"/>
  <c r="I16" i="14"/>
  <c r="N9" i="13" s="1"/>
  <c r="K15" i="14"/>
  <c r="O7" i="13" s="1"/>
  <c r="J15" i="14"/>
  <c r="O8" i="13" s="1"/>
  <c r="I15" i="14"/>
  <c r="O9" i="13" s="1"/>
  <c r="K14" i="14"/>
  <c r="M7" i="13" s="1"/>
  <c r="J14" i="14"/>
  <c r="M8" i="13" s="1"/>
  <c r="I14" i="14"/>
  <c r="M9" i="13" s="1"/>
  <c r="E19" i="14"/>
  <c r="Q4" i="13" s="1"/>
  <c r="D19" i="14"/>
  <c r="Q5" i="13" s="1"/>
  <c r="C19" i="14"/>
  <c r="Q6" i="13" s="1"/>
  <c r="C15" i="14"/>
  <c r="O6" i="13" s="1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P4" i="13" s="1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<sst xmlns="http://schemas.openxmlformats.org/spreadsheetml/2006/main" count="662" uniqueCount="235">
  <si>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</si>
  <si>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</si>
  <si>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</si>
  <si>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</si>
  <si>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</si>
  <si>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</si>
  <si>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</si>
  <si>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</si>
  <si>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</si>
  <si>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</si>
  <si>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</si>
  <si>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</si>
  <si>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</si>
  <si>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</si>
  <si>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</si>
  <si>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</si>
  <si>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</si>
  <si>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</si>
  <si>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</si>
  <si>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</si>
  <si>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</si>
  <si>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</si>
  <si>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</si>
  <si>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</si>
  <si>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</si>
  <si>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</si>
  <si>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</si>
  <si>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</si>
  <si>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</si>
  <si>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</si>
  <si>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</si>
  <si>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</si>
  <si>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</si>
  <si>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</si>
  <si>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</si>
  <si>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</si>
  <si>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</si>
  <si>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</si>
  <si>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</si>
  <si>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</si>
  <si>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</si>
  <si>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</si>
  <si>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</si>
  <si>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</si>
  <si>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</si>
  <si>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</si>
  <si>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</si>
  <si>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</si>
  <si>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</si>
  <si>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</si>
  <si>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</si>
  <si>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</si>
  <si>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</si>
  <si>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</si>
  <si>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</si>
  <si>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</si>
  <si>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</si>
  <si>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</si>
  <si>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</si>
  <si>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</si>
  <si>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</si>
  <si>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</si>
  <si>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</si>
  <si>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</si>
  <si>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</si>
  <si>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</si>
  <si>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</si>
  <si>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</si>
  <si>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</si>
  <si>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</si>
  <si>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</si>
  <si>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</si>
  <si>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</si>
  <si>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</si>
  <si>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</si>
  <si>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</si>
  <si>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</si>
  <si>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</si>
  <si>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</si>
  <si>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</si>
  <si>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</si>
  <si>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</si>
  <si>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</si>
  <si>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</si>
  <si>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</si>
  <si>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</si>
  <si>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</si>
  <si>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</si>
  <si>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</si>
  <si>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</si>
  <si>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</si>
  <si>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</si>
  <si>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</si>
  <si>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</si>
  <si>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</si>
  <si>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</si>
  <si>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</si>
  <si>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</si>
  <si>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</si>
  <si>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</si>
  <si>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</si>
  <si>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</si>
  <si>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</si>
  <si>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</si>
  <si>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</si>
  <si>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</si>
  <si>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</si>
  <si>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</si>
  <si>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</si>
  <si>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</si>
  <si>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</si>
  <si>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</si>
  <si>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</si>
  <si>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</si>
  <si>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</si>
  <si>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</si>
  <si>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</si>
  <si>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</si>
  <si>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</si>
  <si>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</si>
  <si>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</si>
  <si>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</si>
  <si>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</si>
  <si>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</si>
  <si>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</si>
  <si>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</si>
  <si>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</si>
  <si>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</si>
  <si>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</si>
  <si>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</si>
  <si>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</si>
  <si>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</si>
  <si>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</si>
  <si>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</si>
  <si>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</si>
  <si>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</si>
  <si>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</si>
  <si>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</si>
  <si>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</si>
  <si>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</si>
  <si>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</si>
  <si>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</si>
  <si>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</si>
  <si>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</si>
  <si>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</si>
  <si>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</si>
  <si>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</si>
  <si>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</si>
  <si>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</si>
  <si>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</si>
  <si>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</si>
  <si>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</si>
  <si>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</si>
  <si>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</si>
  <si>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</si>
  <si>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</si>
  <si>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</si>
  <si>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</si>
  <si>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</si>
  <si>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</si>
  <si>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</si>
  <si>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</si>
  <si>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</si>
  <si>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</si>
  <si>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</si>
  <si>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</si>
  <si>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</si>
  <si>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</si>
  <si>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</si>
  <si>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</si>
  <si>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</si>
  <si>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</si>
  <si>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</si>
  <si>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</si>
  <si>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</si>
  <si>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</si>
  <si>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</si>
  <si>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</si>
  <si>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</si>
  <si>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</si>
  <si>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</si>
  <si>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</si>
  <si>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</si>
  <si>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</si>
  <si>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</si>
  <si>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</si>
  <si>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</si>
  <si>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</si>
  <si>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</si>
  <si>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</si>
  <si>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</si>
  <si>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</si>
  <si>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</si>
  <si>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</si>
  <si>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</si>
  <si>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</si>
  <si>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</si>
  <si>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</si>
  <si>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</si>
  <si>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</si>
  <si>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</si>
  <si>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</si>
  <si>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</si>
  <si>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</si>
  <si>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</si>
  <si>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</si>
  <si>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</si>
  <si>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</si>
  <si>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</si>
  <si>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</si>
  <si>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</si>
  <si>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</si>
  <si>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</si>
  <si>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</si>
  <si>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</si>
  <si>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</si>
  <si>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</si>
  <si>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</si>
  <si>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</si>
  <si>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</si>
  <si>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</si>
  <si>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</si>
  <si>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</si>
  <si>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</si>
  <si>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</si>
  <si>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</si>
  <si>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</si>
  <si>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</si>
  <si>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</si>
  <si>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</si>
  <si>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</si>
  <si>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</si>
  <si>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</si>
  <si>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NK2-M (20% / 25%Test)</t>
  </si>
  <si>
    <t>NK2-W (10% / 15%Test)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</si>
</sst>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J8" sqref="J8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A7" sqref="A7:A9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233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>
        <f>(M4/Tabelle1!$F$12)*(Tabelle1!$F$12+0.05)</f>
        <v>4.5775462962962962E-4</v>
      </c>
      <c r="T4" s="62">
        <f>(N4/Tabelle1!$F$12)*(Tabelle1!$F$12+0.05)</f>
        <v>7.2410300925925919E-4</v>
      </c>
      <c r="U4" s="62">
        <f>(O4/Tabelle1!$F$12)*(Tabelle1!$F$12+0.05)</f>
        <v>9.8365162037037019E-4</v>
      </c>
      <c r="V4" s="62">
        <f>(P4/Tabelle1!$F$12)*(Tabelle1!$F$12+0.05)</f>
        <v>8.2494212962962968E-4</v>
      </c>
      <c r="W4" s="62">
        <f>(Q4/Tabelle1!$F$12)*(Tabelle1!$F$12+0.05)</f>
        <v>2.0394965277777777E-3</v>
      </c>
      <c r="X4" s="62">
        <f>(R4/Tabelle1!$F$12)*(Tabelle1!$F$12+0.05)</f>
        <v>1.8660300925925923E-3</v>
      </c>
    </row>
    <row r="5" spans="1:24" x14ac:dyDescent="0.45">
      <c r="A5" s="59" t="s">
        <v>233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>
        <f>(M5/Tabelle1!$F$12)*(Tabelle1!$F$12+0.05)</f>
        <v>4.6281828703703703E-4</v>
      </c>
      <c r="T5" s="62">
        <f>(N5/Tabelle1!$F$12)*(Tabelle1!$F$12+0.05)</f>
        <v>7.311921296296297E-4</v>
      </c>
      <c r="U5" s="62">
        <f>(O5/Tabelle1!$F$12)*(Tabelle1!$F$12+0.05)</f>
        <v>9.9797453703703702E-4</v>
      </c>
      <c r="V5" s="62">
        <f>(P5/Tabelle1!$F$12)*(Tabelle1!$F$12+0.05)</f>
        <v>8.427372685185186E-4</v>
      </c>
      <c r="W5" s="62">
        <f>(Q5/Tabelle1!$F$12)*(Tabelle1!$F$12+0.05)</f>
        <v>2.0636574074074068E-3</v>
      </c>
      <c r="X5" s="62">
        <f>(R5/Tabelle1!$F$12)*(Tabelle1!$F$12+0.05)</f>
        <v>1.8880208333333333E-3</v>
      </c>
    </row>
    <row r="6" spans="1:24" x14ac:dyDescent="0.45">
      <c r="A6" s="59" t="s">
        <v>233</v>
      </c>
      <c r="B6" s="59" t="s">
        <v>182</v>
      </c>
      <c r="C6" s="59">
        <v>14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>
        <f>(M6/Tabelle1!$F$12)*(Tabelle1!$F$12+0.05)</f>
        <v>4.6730324074074068E-4</v>
      </c>
      <c r="T6" s="62">
        <f>(N6/Tabelle1!$F$12)*(Tabelle1!$F$12+0.05)</f>
        <v>7.378472222222222E-4</v>
      </c>
      <c r="U6" s="62">
        <f>(O6/Tabelle1!$F$12)*(Tabelle1!$F$12+0.05)</f>
        <v>1.0112847222222224E-3</v>
      </c>
      <c r="V6" s="62">
        <f>(P6/Tabelle1!$F$12)*(Tabelle1!$F$12+0.05)</f>
        <v>8.5908564814814821E-4</v>
      </c>
      <c r="W6" s="62">
        <f>(Q6/Tabelle1!$F$12)*(Tabelle1!$F$12+0.05)</f>
        <v>2.0860821759259261E-3</v>
      </c>
      <c r="X6" s="62">
        <f>(R6/Tabelle1!$F$12)*(Tabelle1!$F$12+0.05)</f>
        <v>1.9082754629629632E-3</v>
      </c>
    </row>
    <row r="7" spans="1:24" x14ac:dyDescent="0.45">
      <c r="A7" s="59" t="s">
        <v>234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4.9831018518518529E-4</v>
      </c>
      <c r="N7" s="62">
        <f>Tabelle1!K16</f>
        <v>7.4988425925925928E-4</v>
      </c>
      <c r="O7" s="62">
        <f>Tabelle1!K15</f>
        <v>1.0141898148148148E-3</v>
      </c>
      <c r="P7" s="62">
        <f>Tabelle1!K17</f>
        <v>8.3289351851851851E-4</v>
      </c>
      <c r="Q7" s="62">
        <f>Tabelle1!K19</f>
        <v>1.9631944444444445E-3</v>
      </c>
      <c r="R7" s="62">
        <f>Tabelle1!K18</f>
        <v>1.7831712962962964E-3</v>
      </c>
      <c r="S7" s="62">
        <f>(M7/Tabelle1!$L$12)*(Tabelle1!$L$12+0.05)</f>
        <v>5.2096064814814832E-4</v>
      </c>
      <c r="T7" s="62">
        <f>(N7/Tabelle1!$L$12)*(Tabelle1!$L$12+0.05)</f>
        <v>7.8396990740740749E-4</v>
      </c>
      <c r="U7" s="62">
        <f>(O7/Tabelle1!$L$12)*(Tabelle1!$L$12+0.05)</f>
        <v>1.0602893518518518E-3</v>
      </c>
      <c r="V7" s="62">
        <f>(P7/Tabelle1!$L$12)*(Tabelle1!$L$12+0.05)</f>
        <v>8.7075231481481487E-4</v>
      </c>
      <c r="W7" s="62">
        <f>(Q7/Tabelle1!$L$12)*(Tabelle1!$L$12+0.05)</f>
        <v>2.0524305555555556E-3</v>
      </c>
      <c r="X7" s="62">
        <f>(R7/Tabelle1!$L$12)*(Tabelle1!$L$12+0.05)</f>
        <v>1.8642245370370373E-3</v>
      </c>
    </row>
    <row r="8" spans="1:24" x14ac:dyDescent="0.45">
      <c r="A8" s="59" t="s">
        <v>234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5.0836805555555563E-4</v>
      </c>
      <c r="N8" s="62">
        <f>Tabelle1!J16</f>
        <v>7.5841435185185202E-4</v>
      </c>
      <c r="O8" s="62">
        <f>Tabelle1!J15</f>
        <v>1.0323958333333335E-3</v>
      </c>
      <c r="P8" s="62">
        <f>Tabelle1!J17</f>
        <v>8.4511574074074068E-4</v>
      </c>
      <c r="Q8" s="62">
        <f>Tabelle1!J19</f>
        <v>1.9777083333333335E-3</v>
      </c>
      <c r="R8" s="62">
        <f>Tabelle1!J18</f>
        <v>1.7899189814814817E-3</v>
      </c>
      <c r="S8" s="62">
        <f>(M8/Tabelle1!$L$12)*(Tabelle1!$L$12+0.05)</f>
        <v>5.3147569444444455E-4</v>
      </c>
      <c r="T8" s="62">
        <f>(N8/Tabelle1!$L$12)*(Tabelle1!$L$12+0.05)</f>
        <v>7.9288773148148166E-4</v>
      </c>
      <c r="U8" s="62">
        <f>(O8/Tabelle1!$L$12)*(Tabelle1!$L$12+0.05)</f>
        <v>1.0793229166666668E-3</v>
      </c>
      <c r="V8" s="62">
        <f>(P8/Tabelle1!$L$12)*(Tabelle1!$L$12+0.05)</f>
        <v>8.8353009259259255E-4</v>
      </c>
      <c r="W8" s="62">
        <f>(Q8/Tabelle1!$L$12)*(Tabelle1!$L$12+0.05)</f>
        <v>2.0676041666666668E-3</v>
      </c>
      <c r="X8" s="62">
        <f>(R8/Tabelle1!$L$12)*(Tabelle1!$L$12+0.05)</f>
        <v>1.8712789351851855E-3</v>
      </c>
    </row>
    <row r="9" spans="1:24" x14ac:dyDescent="0.45">
      <c r="A9" s="59" t="s">
        <v>234</v>
      </c>
      <c r="B9" s="59" t="s">
        <v>164</v>
      </c>
      <c r="C9" s="59">
        <v>14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5.1791666666666663E-4</v>
      </c>
      <c r="N9" s="62">
        <f>Tabelle1!I16</f>
        <v>7.6630787037037043E-4</v>
      </c>
      <c r="O9" s="62">
        <f>Tabelle1!I15</f>
        <v>1.049201388888889E-3</v>
      </c>
      <c r="P9" s="62">
        <f>Tabelle1!I17</f>
        <v>8.563194444444446E-4</v>
      </c>
      <c r="Q9" s="62">
        <f>Tabelle1!I19</f>
        <v>1.9912037037037038E-3</v>
      </c>
      <c r="R9" s="62">
        <f>Tabelle1!I18</f>
        <v>1.7961574074074073E-3</v>
      </c>
      <c r="S9" s="62">
        <f>(M9/Tabelle1!$L$12)*(Tabelle1!$L$12+0.05)</f>
        <v>5.4145833333333335E-4</v>
      </c>
      <c r="T9" s="62">
        <f>(N9/Tabelle1!$L$12)*(Tabelle1!$L$12+0.05)</f>
        <v>8.0114004629629643E-4</v>
      </c>
      <c r="U9" s="62">
        <f>(O9/Tabelle1!$L$12)*(Tabelle1!$L$12+0.05)</f>
        <v>1.0968923611111114E-3</v>
      </c>
      <c r="V9" s="62">
        <f>(P9/Tabelle1!$L$12)*(Tabelle1!$L$12+0.05)</f>
        <v>8.952430555555557E-4</v>
      </c>
      <c r="W9" s="62">
        <f>(Q9/Tabelle1!$L$12)*(Tabelle1!$L$12+0.05)</f>
        <v>2.0817129629629632E-3</v>
      </c>
      <c r="X9" s="62">
        <f>(R9/Tabelle1!$L$12)*(Tabelle1!$L$12+0.05)</f>
        <v>1.877800925925926E-3</v>
      </c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topLeftCell="A7" workbookViewId="0">
      <selection activeCell="K17" sqref="K17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231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230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232</v>
      </c>
      <c r="F12">
        <v>1.2</v>
      </c>
      <c r="H12" t="s">
        <v>232</v>
      </c>
      <c r="L12">
        <v>1.1000000000000001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5.1791666666666663E-4</v>
      </c>
      <c r="J14" s="65">
        <f t="shared" ref="J14:K14" si="1">J5*$L$12</f>
        <v>5.0836805555555563E-4</v>
      </c>
      <c r="K14" s="65">
        <f t="shared" si="1"/>
        <v>4.9831018518518529E-4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1.049201388888889E-3</v>
      </c>
      <c r="J15" s="65">
        <f t="shared" si="3"/>
        <v>1.0323958333333335E-3</v>
      </c>
      <c r="K15" s="65">
        <f t="shared" si="3"/>
        <v>1.0141898148148148E-3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7.6630787037037043E-4</v>
      </c>
      <c r="J16" s="65">
        <f t="shared" si="5"/>
        <v>7.5841435185185202E-4</v>
      </c>
      <c r="K16" s="65">
        <f t="shared" si="5"/>
        <v>7.4988425925925928E-4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8.563194444444446E-4</v>
      </c>
      <c r="J17" s="65">
        <f t="shared" si="7"/>
        <v>8.4511574074074068E-4</v>
      </c>
      <c r="K17" s="65">
        <f t="shared" si="7"/>
        <v>8.3289351851851851E-4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1.7961574074074073E-3</v>
      </c>
      <c r="J18" s="65">
        <f t="shared" si="9"/>
        <v>1.7899189814814817E-3</v>
      </c>
      <c r="K18" s="65">
        <f t="shared" si="9"/>
        <v>1.7831712962962964E-3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1.9912037037037038E-3</v>
      </c>
      <c r="J19" s="65">
        <f t="shared" si="10"/>
        <v>1.9777083333333335E-3</v>
      </c>
      <c r="K19" s="65">
        <f t="shared" si="10"/>
        <v>1.9631944444444445E-3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2026-01-20T22:58:05Z</dcterms:modified>
</cp:coreProperties>
</file>