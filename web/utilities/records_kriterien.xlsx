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7412C3B3-4A7B-4AB6-BDF4-5C1DC445D931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<sst xmlns="http://schemas.openxmlformats.org/spreadsheetml/2006/main" count="1110" uniqueCount="301">
  <si>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</si>
  <si>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</si>
  <si>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</si>
  <si>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</si>
  <si>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</si>
  <si>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</si>
  <si>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</si>
  <si>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</si>
  <si>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</si>
  <si>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</si>
  <si>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</si>
  <si>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</si>
  <si>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</si>
  <si>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</si>
  <si>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</si>
  <si>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</si>
  <si>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</si>
  <si>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</si>
  <si>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</si>
  <si>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</si>
  <si>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</si>
  <si>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</si>
  <si>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</si>
  <si>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</si>
  <si>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</si>
  <si>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</si>
  <si>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</si>
  <si>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</si>
  <si>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</si>
  <si>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</si>
  <si>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</si>
  <si>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</si>
  <si>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</si>
  <si>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</si>
  <si>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</si>
  <si>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</si>
  <si>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</si>
  <si>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</si>
  <si>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</si>
  <si>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</si>
  <si>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</si>
  <si>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</si>
  <si>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</si>
  <si>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</si>
  <si>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</si>
  <si>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</si>
  <si>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</si>
  <si>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</si>
  <si>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</si>
  <si>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</si>
  <si>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</si>
  <si>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</si>
  <si>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</si>
  <si>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</si>
  <si>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</si>
  <si>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</si>
  <si>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</si>
  <si>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</si>
  <si>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</si>
  <si>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</si>
  <si>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</si>
  <si>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</si>
  <si>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</si>
  <si>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</si>
  <si>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</si>
  <si>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</si>
  <si>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</si>
  <si>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</si>
  <si>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</si>
  <si>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</si>
  <si>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</si>
  <si>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</si>
  <si>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</si>
  <si>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</si>
  <si>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</si>
  <si>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</si>
  <si>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</si>
  <si>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</si>
  <si>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</si>
  <si>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</si>
  <si>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</si>
  <si>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</si>
  <si>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</si>
  <si>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</si>
  <si>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</si>
  <si>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</si>
  <si>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</si>
  <si>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</si>
  <si>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</si>
  <si>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</si>
  <si>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</si>
  <si>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</si>
  <si>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</si>
  <si>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</si>
  <si>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</si>
  <si>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</si>
  <si>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</si>
  <si>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</si>
  <si>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</si>
  <si>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</si>
  <si>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</si>
  <si>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</si>
  <si>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</si>
  <si>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</si>
  <si>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</si>
  <si>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</si>
  <si>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</si>
  <si>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</si>
  <si>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</si>
  <si>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</si>
  <si>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</si>
  <si>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</si>
  <si>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</si>
  <si>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</si>
  <si>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</si>
  <si>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</si>
  <si>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</si>
  <si>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</si>
  <si>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</si>
  <si>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</si>
  <si>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</si>
  <si>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</si>
  <si>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</si>
  <si>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</si>
  <si>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</si>
  <si>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</si>
  <si>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</si>
  <si>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</si>
  <si>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</si>
  <si>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</si>
  <si>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</si>
  <si>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</si>
  <si>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</si>
  <si>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</si>
  <si>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</si>
  <si>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</si>
  <si>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</si>
  <si>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</si>
  <si>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</si>
  <si>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</si>
  <si>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</si>
  <si>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</si>
  <si>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</si>
  <si>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</si>
  <si>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</si>
  <si>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</si>
  <si>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</si>
  <si>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</si>
  <si>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</si>
  <si>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</si>
  <si>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</si>
  <si>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</si>
  <si>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</si>
  <si>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</si>
  <si>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</si>
  <si>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</si>
  <si>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</si>
  <si>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</si>
  <si>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</si>
  <si>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</si>
  <si>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</si>
  <si>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</si>
  <si>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</si>
  <si>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</si>
  <si>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</si>
  <si>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</si>
  <si>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</si>
  <si>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</si>
  <si>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</si>
  <si>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</si>
  <si>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</si>
  <si>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</si>
  <si>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</si>
  <si>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</si>
  <si>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</si>
  <si>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</si>
  <si>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</si>
  <si>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</si>
  <si>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</si>
  <si>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</si>
  <si>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</si>
  <si>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</si>
  <si>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</si>
  <si>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</si>
  <si>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</si>
  <si>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</si>
  <si>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</si>
  <si>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</si>
  <si>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</si>
  <si>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</si>
  <si>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</si>
  <si>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</si>
  <si>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</si>
  <si>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</si>
  <si>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</si>
  <si>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</si>
  <si>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</si>
  <si>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</si>
  <si>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</si>
  <si>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</si>
  <si>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</si>
  <si>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</si>
  <si>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</si>
  <si>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</si>
  <si>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</si>
  <si>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</si>
  <si>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</si>
  <si>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</si>
  <si>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</si>
  <si>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</si>
  <si>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</si>
  <si>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</si>
  <si>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</si>
  <si>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</si>
  <si>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</si>
  <si>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</si>
  <si>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</si>
  <si>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</si>
  <si>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</si>
  <si>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</si>
  <si>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</si>
  <si>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</si>
  <si>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</si>
  <si>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</si>
  <si>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</si>
  <si>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</si>
  <si>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</si>
  <si>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</si>
  <si>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</si>
  <si>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</si>
  <si>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</si>
  <si>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</si>
  <si>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</si>
  <si>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</si>
  <si>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+25% Mäner</t>
  </si>
  <si>
    <t>NK2 +25% Frauen</t>
  </si>
  <si>
    <t>NK2 +27,5% Mäner</t>
  </si>
  <si>
    <t>NK2 +27,5%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</si>
  <si>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</si>
  <si>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</si>
  <si>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</si>
  <si>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</si>
  <si>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</si>
  <si>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</si>
  <si>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</si>
  <si>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</si>
  <si>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</si>
  <si>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</si>
  <si>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</si>
  <si>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</si>
  <si>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</si>
  <si>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</si>
  <si>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</si>
  <si>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</si>
  <si>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</si>
  <si>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</si>
  <si>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</si>
  <si>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</si>
  <si>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</si>
  <si>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</si>
  <si>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</si>
  <si>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</si>
  <si>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</si>
  <si>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</si>
  <si>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&gt;2008</t>
  </si>
  <si>
    <t>2005-2007</t>
  </si>
  <si>
    <t>&lt;2005</t>
  </si>
  <si>
    <t>NK2 +18% Frauen</t>
  </si>
  <si>
    <t>NK2 +19% Mäner</t>
  </si>
  <si>
    <t>NK1 +14% Mäner</t>
  </si>
  <si>
    <t>NK1 +21% Frauen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</si>
  <si>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</si>
  <si>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</si>
  <si>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</si>
  <si>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</si>
  <si>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</si>
  <si>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</si>
  <si>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</si>
  <si>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</si>
  <si>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</si>
  <si>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</si>
  <si>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</si>
  <si>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</si>
  <si>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</si>
  <si>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 Up, 50m Bahn, Cool Down, Treffpunkt 11:30 im Foyer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</si>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</sst>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9" totalsRowShown="0" headerRowDxfId="49" dataDxfId="48">
  <autoFilter ref="A1:X9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99"/>
  <sheetViews>
    <sheetView zoomScale="46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248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249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268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4.4418402777777777E-4</v>
      </c>
      <c r="N4" s="62">
        <f>NK!E16</f>
        <v>7.0146643518518518E-4</v>
      </c>
      <c r="O4" s="62">
        <f>NK!E15</f>
        <v>9.532395833333335E-4</v>
      </c>
      <c r="P4" s="62">
        <f>NK!E17</f>
        <v>7.951238425925925E-4</v>
      </c>
      <c r="Q4" s="62">
        <f>NK!E19</f>
        <v>1.9779618055555557E-3</v>
      </c>
      <c r="R4" s="62">
        <f>NK!E18</f>
        <v>1.8066238425925923E-3</v>
      </c>
      <c r="S4" s="62">
        <f>M4</f>
        <v>4.4418402777777777E-4</v>
      </c>
      <c r="T4" s="62">
        <f t="shared" ref="T4:T9" si="0">N4</f>
        <v>7.0146643518518518E-4</v>
      </c>
      <c r="U4" s="62">
        <f t="shared" ref="U4:U9" si="1">O4</f>
        <v>9.532395833333335E-4</v>
      </c>
      <c r="V4" s="62">
        <f t="shared" ref="V4:V9" si="2">P4</f>
        <v>7.951238425925925E-4</v>
      </c>
      <c r="W4" s="62">
        <f t="shared" ref="W4:W9" si="3">Q4</f>
        <v>1.9779618055555557E-3</v>
      </c>
      <c r="X4" s="62">
        <f t="shared" ref="X4:X9" si="4">R4</f>
        <v>1.8066238425925923E-3</v>
      </c>
    </row>
    <row r="5" spans="1:24" x14ac:dyDescent="0.45">
      <c r="A5" s="59" t="s">
        <v>268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4.5809490740740739E-4</v>
      </c>
      <c r="N5" s="62">
        <f>NK!D16</f>
        <v>7.2157523148148146E-4</v>
      </c>
      <c r="O5" s="62">
        <f>NK!D15</f>
        <v>9.9166666666666674E-4</v>
      </c>
      <c r="P5" s="62">
        <f>NK!D17</f>
        <v>8.2570023148148151E-4</v>
      </c>
      <c r="Q5" s="62">
        <f>NK!D19</f>
        <v>2.04159375E-3</v>
      </c>
      <c r="R5" s="62">
        <f>NK!D18</f>
        <v>1.8617164351851848E-3</v>
      </c>
      <c r="S5" s="62">
        <f t="shared" ref="S5:S9" si="5">M5</f>
        <v>4.5809490740740739E-4</v>
      </c>
      <c r="T5" s="62">
        <f t="shared" si="0"/>
        <v>7.2157523148148146E-4</v>
      </c>
      <c r="U5" s="62">
        <f t="shared" si="1"/>
        <v>9.9166666666666674E-4</v>
      </c>
      <c r="V5" s="62">
        <f t="shared" si="2"/>
        <v>8.2570023148148151E-4</v>
      </c>
      <c r="W5" s="62">
        <f t="shared" si="3"/>
        <v>2.04159375E-3</v>
      </c>
      <c r="X5" s="62">
        <f t="shared" si="4"/>
        <v>1.8617164351851848E-3</v>
      </c>
    </row>
    <row r="6" spans="1:24" x14ac:dyDescent="0.45">
      <c r="A6" s="59" t="s">
        <v>268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4.6746064814814805E-4</v>
      </c>
      <c r="N6" s="62">
        <f>NK!C16</f>
        <v>7.3534837962962963E-4</v>
      </c>
      <c r="O6" s="62">
        <f>NK!C15</f>
        <v>1.0091585648148147E-3</v>
      </c>
      <c r="P6" s="62">
        <f>NK!C17</f>
        <v>8.4663541666666665E-4</v>
      </c>
      <c r="Q6" s="62">
        <f>NK!C19</f>
        <v>2.0849791666666664E-3</v>
      </c>
      <c r="R6" s="62">
        <f>NK!C18</f>
        <v>1.8993171296296297E-3</v>
      </c>
      <c r="S6" s="62">
        <f t="shared" si="5"/>
        <v>4.6746064814814805E-4</v>
      </c>
      <c r="T6" s="62">
        <f t="shared" si="0"/>
        <v>7.3534837962962963E-4</v>
      </c>
      <c r="U6" s="62">
        <f t="shared" si="1"/>
        <v>1.0091585648148147E-3</v>
      </c>
      <c r="V6" s="62">
        <f t="shared" si="2"/>
        <v>8.4663541666666665E-4</v>
      </c>
      <c r="W6" s="62">
        <f t="shared" si="3"/>
        <v>2.0849791666666664E-3</v>
      </c>
      <c r="X6" s="62">
        <f t="shared" si="4"/>
        <v>1.8993171296296297E-3</v>
      </c>
    </row>
    <row r="7" spans="1:24" x14ac:dyDescent="0.45">
      <c r="A7" s="59" t="s">
        <v>267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267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267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269</v>
      </c>
      <c r="B10" s="59" t="s">
        <v>182</v>
      </c>
      <c r="C10" s="59">
        <v>19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4.1166666666666663E-4</v>
      </c>
      <c r="N10" s="62">
        <f>NK!$R$16</f>
        <v>6.5180555555555554E-4</v>
      </c>
      <c r="O10" s="62">
        <f>NK!$R$15</f>
        <v>8.7993749999999997E-4</v>
      </c>
      <c r="P10" s="62">
        <f>NK!$R$17</f>
        <v>7.3110416666666647E-4</v>
      </c>
      <c r="Q10" s="62">
        <f>NK!$R$19</f>
        <v>1.8311249999999999E-3</v>
      </c>
      <c r="R10" s="62">
        <f>NK!$R$18</f>
        <v>1.6755624999999998E-3</v>
      </c>
      <c r="S10" s="62">
        <f>M10</f>
        <v>4.1166666666666663E-4</v>
      </c>
      <c r="T10" s="62">
        <f t="shared" ref="T10:T15" si="6">N10</f>
        <v>6.5180555555555554E-4</v>
      </c>
      <c r="U10" s="62">
        <f t="shared" ref="U10:U15" si="7">O10</f>
        <v>8.7993749999999997E-4</v>
      </c>
      <c r="V10" s="62">
        <f t="shared" ref="V10:V15" si="8">P10</f>
        <v>7.3110416666666647E-4</v>
      </c>
      <c r="W10" s="62">
        <f t="shared" ref="W10:W15" si="9">Q10</f>
        <v>1.8311249999999999E-3</v>
      </c>
      <c r="X10" s="62">
        <f t="shared" ref="X10:X15" si="10">R10</f>
        <v>1.6755624999999998E-3</v>
      </c>
    </row>
    <row r="11" spans="1:24" x14ac:dyDescent="0.45">
      <c r="A11" s="59" t="s">
        <v>269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3.9992361111111104E-4</v>
      </c>
      <c r="N11" s="62">
        <f>NK!$S$16</f>
        <v>6.3452083333333329E-4</v>
      </c>
      <c r="O11" s="62">
        <f>NK!$S$15</f>
        <v>8.5196527777777766E-4</v>
      </c>
      <c r="P11" s="62">
        <f>NK!$S$17</f>
        <v>7.0550694444444437E-4</v>
      </c>
      <c r="Q11" s="62">
        <f>NK!$S$19</f>
        <v>1.8133124999999998E-3</v>
      </c>
      <c r="R11" s="62">
        <f>NK!$S$18</f>
        <v>1.6285902777777778E-3</v>
      </c>
      <c r="S11" s="62">
        <f t="shared" ref="S11:S15" si="11">M11</f>
        <v>3.9992361111111104E-4</v>
      </c>
      <c r="T11" s="62">
        <f t="shared" si="6"/>
        <v>6.3452083333333329E-4</v>
      </c>
      <c r="U11" s="62">
        <f t="shared" si="7"/>
        <v>8.5196527777777766E-4</v>
      </c>
      <c r="V11" s="62">
        <f t="shared" si="8"/>
        <v>7.0550694444444437E-4</v>
      </c>
      <c r="W11" s="62">
        <f t="shared" si="9"/>
        <v>1.8133124999999998E-3</v>
      </c>
      <c r="X11" s="62">
        <f t="shared" si="10"/>
        <v>1.6285902777777778E-3</v>
      </c>
    </row>
    <row r="12" spans="1:24" x14ac:dyDescent="0.45">
      <c r="A12" s="59" t="s">
        <v>269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3.8646527777777773E-4</v>
      </c>
      <c r="N12" s="62">
        <f>NK!$T$16</f>
        <v>6.1486111111111106E-4</v>
      </c>
      <c r="O12" s="62">
        <f>NK!$T$15</f>
        <v>8.1990277777777769E-4</v>
      </c>
      <c r="P12" s="62">
        <f>NK!$T$17</f>
        <v>6.7621527777777775E-4</v>
      </c>
      <c r="Q12" s="62">
        <f>NK!$T$19</f>
        <v>1.7581597222222222E-3</v>
      </c>
      <c r="R12" s="62">
        <f>NK!$T$18</f>
        <v>1.5750208333333332E-3</v>
      </c>
      <c r="S12" s="62">
        <f t="shared" si="11"/>
        <v>3.8646527777777773E-4</v>
      </c>
      <c r="T12" s="62">
        <f t="shared" si="6"/>
        <v>6.1486111111111106E-4</v>
      </c>
      <c r="U12" s="62">
        <f t="shared" si="7"/>
        <v>8.1990277777777769E-4</v>
      </c>
      <c r="V12" s="62">
        <f t="shared" si="8"/>
        <v>6.7621527777777775E-4</v>
      </c>
      <c r="W12" s="62">
        <f t="shared" si="9"/>
        <v>1.7581597222222222E-3</v>
      </c>
      <c r="X12" s="62">
        <f t="shared" si="10"/>
        <v>1.5750208333333332E-3</v>
      </c>
    </row>
    <row r="13" spans="1:24" x14ac:dyDescent="0.45">
      <c r="A13" s="59" t="s">
        <v>270</v>
      </c>
      <c r="B13" s="59" t="s">
        <v>164</v>
      </c>
      <c r="C13" s="59">
        <v>19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5.3357638888888888E-4</v>
      </c>
      <c r="N13" s="62">
        <f>NK!$X$16</f>
        <v>8.1268865740740748E-4</v>
      </c>
      <c r="O13" s="62">
        <f>NK!$X$15</f>
        <v>1.0894201388888887E-3</v>
      </c>
      <c r="P13" s="62">
        <f>NK!$X$17</f>
        <v>8.9853703703703699E-4</v>
      </c>
      <c r="Q13" s="62">
        <f>NK!$X$19</f>
        <v>2.1385069444444442E-3</v>
      </c>
      <c r="R13" s="62">
        <f>NK!$X$18</f>
        <v>1.9516851851851854E-3</v>
      </c>
      <c r="S13" s="62">
        <f t="shared" si="11"/>
        <v>5.3357638888888888E-4</v>
      </c>
      <c r="T13" s="62">
        <f t="shared" si="6"/>
        <v>8.1268865740740748E-4</v>
      </c>
      <c r="U13" s="62">
        <f t="shared" si="7"/>
        <v>1.0894201388888887E-3</v>
      </c>
      <c r="V13" s="62">
        <f t="shared" si="8"/>
        <v>8.9853703703703699E-4</v>
      </c>
      <c r="W13" s="62">
        <f t="shared" si="9"/>
        <v>2.1385069444444442E-3</v>
      </c>
      <c r="X13" s="62">
        <f t="shared" si="10"/>
        <v>1.9516851851851854E-3</v>
      </c>
    </row>
    <row r="14" spans="1:24" x14ac:dyDescent="0.45">
      <c r="A14" s="59" t="s">
        <v>270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5.0878819444444441E-4</v>
      </c>
      <c r="N14" s="62">
        <f>NK!$Y$16</f>
        <v>7.8159837962962959E-4</v>
      </c>
      <c r="O14" s="62">
        <f>NK!$Y$15</f>
        <v>1.0401238425925925E-3</v>
      </c>
      <c r="P14" s="62">
        <f>NK!$Y$17</f>
        <v>8.6072453703703701E-4</v>
      </c>
      <c r="Q14" s="62">
        <f>NK!$Y$19</f>
        <v>2.0781469907407406E-3</v>
      </c>
      <c r="R14" s="62">
        <f>NK!$Y$18</f>
        <v>1.9138726851851851E-3</v>
      </c>
      <c r="S14" s="62">
        <f t="shared" si="11"/>
        <v>5.0878819444444441E-4</v>
      </c>
      <c r="T14" s="62">
        <f t="shared" si="6"/>
        <v>7.8159837962962959E-4</v>
      </c>
      <c r="U14" s="62">
        <f t="shared" si="7"/>
        <v>1.0401238425925925E-3</v>
      </c>
      <c r="V14" s="62">
        <f t="shared" si="8"/>
        <v>8.6072453703703701E-4</v>
      </c>
      <c r="W14" s="62">
        <f t="shared" si="9"/>
        <v>2.0781469907407406E-3</v>
      </c>
      <c r="X14" s="62">
        <f t="shared" si="10"/>
        <v>1.9138726851851851E-3</v>
      </c>
    </row>
    <row r="15" spans="1:24" x14ac:dyDescent="0.45">
      <c r="A15" s="59" t="s">
        <v>270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4.9058217592592589E-4</v>
      </c>
      <c r="N15" s="62">
        <f>NK!$Z$16</f>
        <v>7.5891087962962956E-4</v>
      </c>
      <c r="O15" s="62">
        <f>NK!$Z$15</f>
        <v>1.0039918981481482E-3</v>
      </c>
      <c r="P15" s="62">
        <f>NK!$Z$17</f>
        <v>8.3299537037037033E-4</v>
      </c>
      <c r="Q15" s="62">
        <f>NK!$Z$19</f>
        <v>2.0340324074074076E-3</v>
      </c>
      <c r="R15" s="62">
        <f>NK!$Z$18</f>
        <v>1.8862835648148148E-3</v>
      </c>
      <c r="S15" s="62">
        <f t="shared" si="11"/>
        <v>4.9058217592592589E-4</v>
      </c>
      <c r="T15" s="62">
        <f t="shared" si="6"/>
        <v>7.5891087962962956E-4</v>
      </c>
      <c r="U15" s="62">
        <f t="shared" si="7"/>
        <v>1.0039918981481482E-3</v>
      </c>
      <c r="V15" s="62">
        <f t="shared" si="8"/>
        <v>8.3299537037037033E-4</v>
      </c>
      <c r="W15" s="62">
        <f t="shared" si="9"/>
        <v>2.0340324074074076E-3</v>
      </c>
      <c r="X15" s="62">
        <f t="shared" si="10"/>
        <v>1.8862835648148148E-3</v>
      </c>
    </row>
    <row r="16" spans="1:24" x14ac:dyDescent="0.45">
      <c r="A16" s="59" t="s">
        <v>246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4.1992187500000005E-4</v>
      </c>
      <c r="N16" s="62">
        <v>6.6315104166666671E-4</v>
      </c>
      <c r="O16" s="62">
        <v>9.0117187500000017E-4</v>
      </c>
      <c r="P16" s="62">
        <v>7.5169270833333327E-4</v>
      </c>
      <c r="Q16" s="62">
        <v>1.8699218750000003E-3</v>
      </c>
      <c r="R16" s="62">
        <v>1.707942708333333E-3</v>
      </c>
      <c r="S16" s="62">
        <v>4.1992187500000005E-4</v>
      </c>
      <c r="T16" s="62">
        <v>6.6315104166666671E-4</v>
      </c>
      <c r="U16" s="62">
        <v>9.0117187500000017E-4</v>
      </c>
      <c r="V16" s="62">
        <v>7.5169270833333327E-4</v>
      </c>
      <c r="W16" s="62">
        <v>1.8699218750000003E-3</v>
      </c>
      <c r="X16" s="62">
        <v>1.707942708333333E-3</v>
      </c>
    </row>
    <row r="17" spans="1:24" x14ac:dyDescent="0.45">
      <c r="A17" s="59" t="s">
        <v>246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4.3307291666666668E-4</v>
      </c>
      <c r="N17" s="62">
        <v>6.8216145833333334E-4</v>
      </c>
      <c r="O17" s="62">
        <v>9.3255208333333341E-4</v>
      </c>
      <c r="P17" s="62">
        <v>7.8059895833333334E-4</v>
      </c>
      <c r="Q17" s="62">
        <v>1.9300781249999999E-3</v>
      </c>
      <c r="R17" s="62">
        <v>1.7600260416666665E-3</v>
      </c>
      <c r="S17" s="62">
        <v>4.3307291666666668E-4</v>
      </c>
      <c r="T17" s="62">
        <v>6.8216145833333334E-4</v>
      </c>
      <c r="U17" s="62">
        <v>9.3255208333333341E-4</v>
      </c>
      <c r="V17" s="62">
        <v>7.8059895833333334E-4</v>
      </c>
      <c r="W17" s="62">
        <v>1.9300781249999999E-3</v>
      </c>
      <c r="X17" s="62">
        <v>1.7600260416666665E-3</v>
      </c>
    </row>
    <row r="18" spans="1:24" x14ac:dyDescent="0.45">
      <c r="A18" s="59" t="s">
        <v>246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4.4192708333333329E-4</v>
      </c>
      <c r="N18" s="62">
        <v>6.9518229166666676E-4</v>
      </c>
      <c r="O18" s="62">
        <v>9.5403645833333332E-4</v>
      </c>
      <c r="P18" s="62">
        <v>8.00390625E-4</v>
      </c>
      <c r="Q18" s="62">
        <v>1.9710937500000002E-3</v>
      </c>
      <c r="R18" s="62">
        <v>1.7955729166666667E-3</v>
      </c>
      <c r="S18" s="62">
        <v>4.4192708333333329E-4</v>
      </c>
      <c r="T18" s="62">
        <v>6.9518229166666676E-4</v>
      </c>
      <c r="U18" s="62">
        <v>9.5403645833333332E-4</v>
      </c>
      <c r="V18" s="62">
        <v>8.00390625E-4</v>
      </c>
      <c r="W18" s="62">
        <v>1.9710937500000002E-3</v>
      </c>
      <c r="X18" s="62">
        <v>1.7955729166666667E-3</v>
      </c>
    </row>
    <row r="19" spans="1:24" x14ac:dyDescent="0.45">
      <c r="A19" s="59" t="s">
        <v>247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5.1276041666666668E-4</v>
      </c>
      <c r="N19" s="62">
        <v>7.7604166666666674E-4</v>
      </c>
      <c r="O19" s="62">
        <v>1.0515625000000002E-3</v>
      </c>
      <c r="P19" s="62">
        <v>8.6054687499999998E-4</v>
      </c>
      <c r="Q19" s="62">
        <v>2.0339843750000002E-3</v>
      </c>
      <c r="R19" s="62">
        <v>1.8427083333333334E-3</v>
      </c>
      <c r="S19" s="62">
        <v>5.1276041666666668E-4</v>
      </c>
      <c r="T19" s="62">
        <v>7.7604166666666674E-4</v>
      </c>
      <c r="U19" s="62">
        <v>1.0515625000000002E-3</v>
      </c>
      <c r="V19" s="62">
        <v>8.6054687499999998E-4</v>
      </c>
      <c r="W19" s="62">
        <v>2.0339843750000002E-3</v>
      </c>
      <c r="X19" s="62">
        <v>1.8427083333333334E-3</v>
      </c>
    </row>
    <row r="20" spans="1:24" x14ac:dyDescent="0.45">
      <c r="A20" s="59" t="s">
        <v>247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5.2539062500000003E-4</v>
      </c>
      <c r="N20" s="62">
        <v>7.9166666666666665E-4</v>
      </c>
      <c r="O20" s="62">
        <v>1.0903645833333334E-3</v>
      </c>
      <c r="P20" s="62">
        <v>8.7968750000000004E-4</v>
      </c>
      <c r="Q20" s="62">
        <v>2.0796874999999999E-3</v>
      </c>
      <c r="R20" s="62">
        <v>1.8707031250000002E-3</v>
      </c>
      <c r="S20" s="62">
        <v>5.2539062500000003E-4</v>
      </c>
      <c r="T20" s="62">
        <v>7.9166666666666665E-4</v>
      </c>
      <c r="U20" s="62">
        <v>1.0903645833333334E-3</v>
      </c>
      <c r="V20" s="62">
        <v>8.7968750000000004E-4</v>
      </c>
      <c r="W20" s="62">
        <v>2.0796874999999999E-3</v>
      </c>
      <c r="X20" s="62">
        <v>1.8707031250000002E-3</v>
      </c>
    </row>
    <row r="21" spans="1:24" x14ac:dyDescent="0.45">
      <c r="A21" s="59" t="s">
        <v>247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5.3710937499999993E-4</v>
      </c>
      <c r="N21" s="62">
        <v>8.0598958333333336E-4</v>
      </c>
      <c r="O21" s="62">
        <v>1.1290364583333335E-3</v>
      </c>
      <c r="P21" s="62">
        <v>8.9739583333333338E-4</v>
      </c>
      <c r="Q21" s="62">
        <v>2.1252604166666668E-3</v>
      </c>
      <c r="R21" s="62">
        <v>1.8988281249999999E-3</v>
      </c>
      <c r="S21" s="62">
        <v>5.3710937499999993E-4</v>
      </c>
      <c r="T21" s="62">
        <v>8.0598958333333336E-4</v>
      </c>
      <c r="U21" s="62">
        <v>1.1290364583333335E-3</v>
      </c>
      <c r="V21" s="62">
        <v>8.9739583333333338E-4</v>
      </c>
      <c r="W21" s="62">
        <v>2.1252604166666668E-3</v>
      </c>
      <c r="X21" s="62">
        <v>1.8988281249999999E-3</v>
      </c>
    </row>
    <row r="22" spans="1:24" x14ac:dyDescent="0.45">
      <c r="A22" s="59" t="s">
        <v>250</v>
      </c>
      <c r="B22" s="59" t="s">
        <v>182</v>
      </c>
      <c r="C22" s="59">
        <v>19</v>
      </c>
      <c r="D22" s="59">
        <v>19</v>
      </c>
      <c r="E22" s="61">
        <v>45658</v>
      </c>
      <c r="F22" s="61">
        <v>46174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4.0624999999999998E-4</v>
      </c>
      <c r="N22" s="62">
        <v>6.4322916666666673E-4</v>
      </c>
      <c r="O22" s="62">
        <v>8.6835937499999999E-4</v>
      </c>
      <c r="P22" s="62">
        <v>7.214843749999999E-4</v>
      </c>
      <c r="Q22" s="62">
        <v>1.80703125E-3</v>
      </c>
      <c r="R22" s="62">
        <v>1.6535156249999998E-3</v>
      </c>
      <c r="S22" s="62">
        <v>4.0624999999999998E-4</v>
      </c>
      <c r="T22" s="62">
        <v>6.4322916666666673E-4</v>
      </c>
      <c r="U22" s="62">
        <v>8.6835937499999999E-4</v>
      </c>
      <c r="V22" s="62">
        <v>7.214843749999999E-4</v>
      </c>
      <c r="W22" s="62">
        <v>1.80703125E-3</v>
      </c>
      <c r="X22" s="62">
        <v>1.6535156249999998E-3</v>
      </c>
    </row>
    <row r="23" spans="1:24" x14ac:dyDescent="0.45">
      <c r="A23" s="59" t="s">
        <v>250</v>
      </c>
      <c r="B23" s="59" t="s">
        <v>182</v>
      </c>
      <c r="C23" s="59">
        <v>20</v>
      </c>
      <c r="D23" s="59">
        <v>22</v>
      </c>
      <c r="E23" s="61">
        <v>45658</v>
      </c>
      <c r="F23" s="61">
        <v>46174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3.9466145833333334E-4</v>
      </c>
      <c r="N23" s="62">
        <v>6.2617187499999999E-4</v>
      </c>
      <c r="O23" s="62">
        <v>8.4075520833333322E-4</v>
      </c>
      <c r="P23" s="62">
        <v>6.9622395833333331E-4</v>
      </c>
      <c r="Q23" s="62">
        <v>1.789453125E-3</v>
      </c>
      <c r="R23" s="62">
        <v>1.6071614583333335E-3</v>
      </c>
      <c r="S23" s="62">
        <v>3.9466145833333334E-4</v>
      </c>
      <c r="T23" s="62">
        <v>6.2617187499999999E-4</v>
      </c>
      <c r="U23" s="62">
        <v>8.4075520833333322E-4</v>
      </c>
      <c r="V23" s="62">
        <v>6.9622395833333331E-4</v>
      </c>
      <c r="W23" s="62">
        <v>1.789453125E-3</v>
      </c>
      <c r="X23" s="62">
        <v>1.6071614583333335E-3</v>
      </c>
    </row>
    <row r="24" spans="1:24" x14ac:dyDescent="0.45">
      <c r="A24" s="59" t="s">
        <v>250</v>
      </c>
      <c r="B24" s="59" t="s">
        <v>182</v>
      </c>
      <c r="C24" s="59">
        <v>23</v>
      </c>
      <c r="D24" s="59">
        <v>40</v>
      </c>
      <c r="E24" s="61">
        <v>45658</v>
      </c>
      <c r="F24" s="61">
        <v>46174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3.8138020833333334E-4</v>
      </c>
      <c r="N24" s="62">
        <v>6.0677083333333329E-4</v>
      </c>
      <c r="O24" s="62">
        <v>8.0911458333333334E-4</v>
      </c>
      <c r="P24" s="62">
        <v>6.6731770833333335E-4</v>
      </c>
      <c r="Q24" s="62">
        <v>1.7350260416666668E-3</v>
      </c>
      <c r="R24" s="62">
        <v>1.5542968749999999E-3</v>
      </c>
      <c r="S24" s="62">
        <v>3.8138020833333334E-4</v>
      </c>
      <c r="T24" s="62">
        <v>6.0677083333333329E-4</v>
      </c>
      <c r="U24" s="62">
        <v>8.0911458333333334E-4</v>
      </c>
      <c r="V24" s="62">
        <v>6.6731770833333335E-4</v>
      </c>
      <c r="W24" s="62">
        <v>1.7350260416666668E-3</v>
      </c>
      <c r="X24" s="62">
        <v>1.5542968749999999E-3</v>
      </c>
    </row>
    <row r="25" spans="1:24" x14ac:dyDescent="0.45">
      <c r="A25" s="59" t="s">
        <v>251</v>
      </c>
      <c r="B25" s="59" t="s">
        <v>164</v>
      </c>
      <c r="C25" s="59">
        <v>19</v>
      </c>
      <c r="D25" s="59">
        <v>19</v>
      </c>
      <c r="E25" s="61">
        <v>45658</v>
      </c>
      <c r="F25" s="61">
        <v>46174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4.9609375000000001E-4</v>
      </c>
      <c r="N25" s="62">
        <v>7.5559895833333338E-4</v>
      </c>
      <c r="O25" s="62">
        <v>1.0128906249999999E-3</v>
      </c>
      <c r="P25" s="62">
        <v>8.354166666666666E-4</v>
      </c>
      <c r="Q25" s="62">
        <v>1.98828125E-3</v>
      </c>
      <c r="R25" s="62">
        <v>1.8145833333333336E-3</v>
      </c>
      <c r="S25" s="62">
        <v>4.9609375000000001E-4</v>
      </c>
      <c r="T25" s="62">
        <v>7.5559895833333338E-4</v>
      </c>
      <c r="U25" s="62">
        <v>1.0128906249999999E-3</v>
      </c>
      <c r="V25" s="62">
        <v>8.354166666666666E-4</v>
      </c>
      <c r="W25" s="62">
        <v>1.98828125E-3</v>
      </c>
      <c r="X25" s="62">
        <v>1.8145833333333336E-3</v>
      </c>
    </row>
    <row r="26" spans="1:24" x14ac:dyDescent="0.45">
      <c r="A26" s="59" t="s">
        <v>251</v>
      </c>
      <c r="B26" s="59" t="s">
        <v>164</v>
      </c>
      <c r="C26" s="59">
        <v>20</v>
      </c>
      <c r="D26" s="59">
        <v>22</v>
      </c>
      <c r="E26" s="61">
        <v>45658</v>
      </c>
      <c r="F26" s="61">
        <v>46174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4.73046875E-4</v>
      </c>
      <c r="N26" s="62">
        <v>7.2669270833333331E-4</v>
      </c>
      <c r="O26" s="62">
        <v>9.6705729166666663E-4</v>
      </c>
      <c r="P26" s="62">
        <v>8.0026041666666668E-4</v>
      </c>
      <c r="Q26" s="62">
        <v>1.9321614583333333E-3</v>
      </c>
      <c r="R26" s="62">
        <v>1.7794270833333334E-3</v>
      </c>
      <c r="S26" s="62">
        <v>4.73046875E-4</v>
      </c>
      <c r="T26" s="62">
        <v>7.2669270833333331E-4</v>
      </c>
      <c r="U26" s="62">
        <v>9.6705729166666663E-4</v>
      </c>
      <c r="V26" s="62">
        <v>8.0026041666666668E-4</v>
      </c>
      <c r="W26" s="62">
        <v>1.9321614583333333E-3</v>
      </c>
      <c r="X26" s="62">
        <v>1.7794270833333334E-3</v>
      </c>
    </row>
    <row r="27" spans="1:24" x14ac:dyDescent="0.45">
      <c r="A27" s="59" t="s">
        <v>251</v>
      </c>
      <c r="B27" s="59" t="s">
        <v>164</v>
      </c>
      <c r="C27" s="59">
        <v>23</v>
      </c>
      <c r="D27" s="59">
        <v>40</v>
      </c>
      <c r="E27" s="61">
        <v>45658</v>
      </c>
      <c r="F27" s="61">
        <v>46174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4.5611979166666663E-4</v>
      </c>
      <c r="N27" s="62">
        <v>7.0559895833333336E-4</v>
      </c>
      <c r="O27" s="62">
        <v>9.3346354166666664E-4</v>
      </c>
      <c r="P27" s="62">
        <v>7.7447916666666659E-4</v>
      </c>
      <c r="Q27" s="62">
        <v>1.8911458333333334E-3</v>
      </c>
      <c r="R27" s="62">
        <v>1.7537760416666667E-3</v>
      </c>
      <c r="S27" s="62">
        <v>4.5611979166666663E-4</v>
      </c>
      <c r="T27" s="62">
        <v>7.0559895833333336E-4</v>
      </c>
      <c r="U27" s="62">
        <v>9.3346354166666664E-4</v>
      </c>
      <c r="V27" s="62">
        <v>7.7447916666666659E-4</v>
      </c>
      <c r="W27" s="62">
        <v>1.8911458333333334E-3</v>
      </c>
      <c r="X27" s="62">
        <v>1.7537760416666667E-3</v>
      </c>
    </row>
    <row r="28" spans="1:24" x14ac:dyDescent="0.45">
      <c r="A28" s="59" t="s">
        <v>244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4.292534722222222E-4</v>
      </c>
      <c r="N28" s="62">
        <v>6.7788773148148146E-4</v>
      </c>
      <c r="O28" s="62">
        <v>9.2119791666666674E-4</v>
      </c>
      <c r="P28" s="62">
        <v>7.6839699074074061E-4</v>
      </c>
      <c r="Q28" s="62">
        <v>1.9114756944444446E-3</v>
      </c>
      <c r="R28" s="62">
        <v>1.7458969907407404E-3</v>
      </c>
      <c r="S28" s="62">
        <v>4.292534722222222E-4</v>
      </c>
      <c r="T28" s="62">
        <v>6.7788773148148146E-4</v>
      </c>
      <c r="U28" s="62">
        <v>9.2119791666666674E-4</v>
      </c>
      <c r="V28" s="62">
        <v>7.6839699074074061E-4</v>
      </c>
      <c r="W28" s="62">
        <v>1.9114756944444446E-3</v>
      </c>
      <c r="X28" s="62">
        <v>1.7458969907407404E-3</v>
      </c>
    </row>
    <row r="29" spans="1:24" x14ac:dyDescent="0.45">
      <c r="A29" s="59" t="s">
        <v>244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4.4269675925925922E-4</v>
      </c>
      <c r="N29" s="62">
        <v>6.9732060185185186E-4</v>
      </c>
      <c r="O29" s="62">
        <v>9.5327546296296295E-4</v>
      </c>
      <c r="P29" s="62">
        <v>7.9794560185185188E-4</v>
      </c>
      <c r="Q29" s="62">
        <v>1.9729687499999999E-3</v>
      </c>
      <c r="R29" s="62">
        <v>1.799137731481481E-3</v>
      </c>
      <c r="S29" s="62">
        <v>4.4269675925925922E-4</v>
      </c>
      <c r="T29" s="62">
        <v>6.9732060185185186E-4</v>
      </c>
      <c r="U29" s="62">
        <v>9.5327546296296295E-4</v>
      </c>
      <c r="V29" s="62">
        <v>7.9794560185185188E-4</v>
      </c>
      <c r="W29" s="62">
        <v>1.9729687499999999E-3</v>
      </c>
      <c r="X29" s="62">
        <v>1.799137731481481E-3</v>
      </c>
    </row>
    <row r="30" spans="1:24" x14ac:dyDescent="0.45">
      <c r="A30" s="59" t="s">
        <v>244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4.5174768518518508E-4</v>
      </c>
      <c r="N30" s="62">
        <v>7.1063078703703707E-4</v>
      </c>
      <c r="O30" s="62">
        <v>9.752372685185184E-4</v>
      </c>
      <c r="P30" s="62">
        <v>8.181770833333333E-4</v>
      </c>
      <c r="Q30" s="62">
        <v>2.0148958333333334E-3</v>
      </c>
      <c r="R30" s="62">
        <v>1.8354745370370369E-3</v>
      </c>
      <c r="S30" s="62">
        <v>4.5174768518518508E-4</v>
      </c>
      <c r="T30" s="62">
        <v>7.1063078703703707E-4</v>
      </c>
      <c r="U30" s="62">
        <v>9.752372685185184E-4</v>
      </c>
      <c r="V30" s="62">
        <v>8.181770833333333E-4</v>
      </c>
      <c r="W30" s="62">
        <v>2.0148958333333334E-3</v>
      </c>
      <c r="X30" s="62">
        <v>1.8354745370370369E-3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5.2415509259259255E-4</v>
      </c>
      <c r="N31" s="62">
        <v>7.9328703703703701E-4</v>
      </c>
      <c r="O31" s="62">
        <v>1.0749305555555555E-3</v>
      </c>
      <c r="P31" s="62">
        <v>8.7967013888888882E-4</v>
      </c>
      <c r="Q31" s="62">
        <v>2.0791840277777775E-3</v>
      </c>
      <c r="R31" s="62">
        <v>1.8836574074074072E-3</v>
      </c>
      <c r="S31" s="62">
        <v>5.2415509259259255E-4</v>
      </c>
      <c r="T31" s="62">
        <v>7.9328703703703701E-4</v>
      </c>
      <c r="U31" s="62">
        <v>1.0749305555555555E-3</v>
      </c>
      <c r="V31" s="62">
        <v>8.7967013888888882E-4</v>
      </c>
      <c r="W31" s="62">
        <v>2.0791840277777775E-3</v>
      </c>
      <c r="X31" s="62">
        <v>1.8836574074074072E-3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5.370659722222222E-4</v>
      </c>
      <c r="N32" s="62">
        <v>8.0925925925925913E-4</v>
      </c>
      <c r="O32" s="62">
        <v>1.1145949074074072E-3</v>
      </c>
      <c r="P32" s="62">
        <v>8.9923611111111107E-4</v>
      </c>
      <c r="Q32" s="62">
        <v>2.1259027777777778E-3</v>
      </c>
      <c r="R32" s="62">
        <v>1.9122743055555557E-3</v>
      </c>
      <c r="S32" s="62">
        <v>5.370659722222222E-4</v>
      </c>
      <c r="T32" s="62">
        <v>8.0925925925925913E-4</v>
      </c>
      <c r="U32" s="62">
        <v>1.1145949074074072E-3</v>
      </c>
      <c r="V32" s="62">
        <v>8.9923611111111107E-4</v>
      </c>
      <c r="W32" s="62">
        <v>2.1259027777777778E-3</v>
      </c>
      <c r="X32" s="62">
        <v>1.9122743055555557E-3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5.4904513888888885E-4</v>
      </c>
      <c r="N33" s="62">
        <v>8.2390046296296291E-4</v>
      </c>
      <c r="O33" s="62">
        <v>1.1541261574074075E-3</v>
      </c>
      <c r="P33" s="62">
        <v>9.173379629629629E-4</v>
      </c>
      <c r="Q33" s="62">
        <v>2.1724884259259258E-3</v>
      </c>
      <c r="R33" s="62">
        <v>1.9410243055555552E-3</v>
      </c>
      <c r="S33" s="62">
        <v>5.4904513888888885E-4</v>
      </c>
      <c r="T33" s="62">
        <v>8.2390046296296291E-4</v>
      </c>
      <c r="U33" s="62">
        <v>1.1541261574074075E-3</v>
      </c>
      <c r="V33" s="62">
        <v>9.173379629629629E-4</v>
      </c>
      <c r="W33" s="62">
        <v>2.1724884259259258E-3</v>
      </c>
      <c r="X33" s="62">
        <v>1.9410243055555552E-3</v>
      </c>
    </row>
    <row r="34" spans="1:24" x14ac:dyDescent="0.45">
      <c r="A34" s="59" t="s">
        <v>252</v>
      </c>
      <c r="B34" s="59" t="s">
        <v>182</v>
      </c>
      <c r="C34" s="59">
        <v>19</v>
      </c>
      <c r="D34" s="59">
        <v>19</v>
      </c>
      <c r="E34" s="61">
        <v>45658</v>
      </c>
      <c r="F34" s="61">
        <v>46174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v>4.152777777777777E-4</v>
      </c>
      <c r="N34" s="62">
        <v>6.5752314814814807E-4</v>
      </c>
      <c r="O34" s="62">
        <v>8.8765624999999988E-4</v>
      </c>
      <c r="P34" s="62">
        <v>7.3751736111111099E-4</v>
      </c>
      <c r="Q34" s="62">
        <v>1.8471874999999999E-3</v>
      </c>
      <c r="R34" s="62">
        <v>1.6902604166666663E-3</v>
      </c>
      <c r="S34" s="62">
        <v>4.152777777777777E-4</v>
      </c>
      <c r="T34" s="62">
        <v>6.5752314814814807E-4</v>
      </c>
      <c r="U34" s="62">
        <v>8.8765624999999988E-4</v>
      </c>
      <c r="V34" s="62">
        <v>7.3751736111111099E-4</v>
      </c>
      <c r="W34" s="62">
        <v>1.8471874999999999E-3</v>
      </c>
      <c r="X34" s="62">
        <v>1.6902604166666663E-3</v>
      </c>
    </row>
    <row r="35" spans="1:24" x14ac:dyDescent="0.45">
      <c r="A35" s="59" t="s">
        <v>252</v>
      </c>
      <c r="B35" s="59" t="s">
        <v>182</v>
      </c>
      <c r="C35" s="59">
        <v>20</v>
      </c>
      <c r="D35" s="59">
        <v>22</v>
      </c>
      <c r="E35" s="61">
        <v>45658</v>
      </c>
      <c r="F35" s="61">
        <v>46174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v>4.0343171296296291E-4</v>
      </c>
      <c r="N35" s="62">
        <v>6.4008680555555553E-4</v>
      </c>
      <c r="O35" s="62">
        <v>8.5943865740740729E-4</v>
      </c>
      <c r="P35" s="62">
        <v>7.116956018518517E-4</v>
      </c>
      <c r="Q35" s="62">
        <v>1.8292187499999999E-3</v>
      </c>
      <c r="R35" s="62">
        <v>1.6428761574074073E-3</v>
      </c>
      <c r="S35" s="62">
        <v>4.0343171296296291E-4</v>
      </c>
      <c r="T35" s="62">
        <v>6.4008680555555553E-4</v>
      </c>
      <c r="U35" s="62">
        <v>8.5943865740740729E-4</v>
      </c>
      <c r="V35" s="62">
        <v>7.116956018518517E-4</v>
      </c>
      <c r="W35" s="62">
        <v>1.8292187499999999E-3</v>
      </c>
      <c r="X35" s="62">
        <v>1.6428761574074073E-3</v>
      </c>
    </row>
    <row r="36" spans="1:24" x14ac:dyDescent="0.45">
      <c r="A36" s="59" t="s">
        <v>252</v>
      </c>
      <c r="B36" s="59" t="s">
        <v>182</v>
      </c>
      <c r="C36" s="59">
        <v>23</v>
      </c>
      <c r="D36" s="59">
        <v>40</v>
      </c>
      <c r="E36" s="61">
        <v>45658</v>
      </c>
      <c r="F36" s="61">
        <v>46174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v>3.8985532407407404E-4</v>
      </c>
      <c r="N36" s="62">
        <v>6.2025462962962956E-4</v>
      </c>
      <c r="O36" s="62">
        <v>8.2709490740740736E-4</v>
      </c>
      <c r="P36" s="62">
        <v>6.8214699074074065E-4</v>
      </c>
      <c r="Q36" s="62">
        <v>1.7735821759259258E-3</v>
      </c>
      <c r="R36" s="62">
        <v>1.5888368055555554E-3</v>
      </c>
      <c r="S36" s="62">
        <v>3.8985532407407404E-4</v>
      </c>
      <c r="T36" s="62">
        <v>6.2025462962962956E-4</v>
      </c>
      <c r="U36" s="62">
        <v>8.2709490740740736E-4</v>
      </c>
      <c r="V36" s="62">
        <v>6.8214699074074065E-4</v>
      </c>
      <c r="W36" s="62">
        <v>1.7735821759259258E-3</v>
      </c>
      <c r="X36" s="62">
        <v>1.5888368055555554E-3</v>
      </c>
    </row>
    <row r="37" spans="1:24" x14ac:dyDescent="0.45">
      <c r="A37" s="59" t="s">
        <v>253</v>
      </c>
      <c r="B37" s="59" t="s">
        <v>164</v>
      </c>
      <c r="C37" s="59">
        <v>19</v>
      </c>
      <c r="D37" s="59">
        <v>19</v>
      </c>
      <c r="E37" s="61">
        <v>45658</v>
      </c>
      <c r="F37" s="61">
        <v>46174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v>5.0711805555555558E-4</v>
      </c>
      <c r="N37" s="62">
        <v>7.723900462962963E-4</v>
      </c>
      <c r="O37" s="62">
        <v>1.0353993055555552E-3</v>
      </c>
      <c r="P37" s="62">
        <v>8.5398148148148139E-4</v>
      </c>
      <c r="Q37" s="62">
        <v>2.0324652777777776E-3</v>
      </c>
      <c r="R37" s="62">
        <v>1.8549074074074075E-3</v>
      </c>
      <c r="S37" s="62">
        <v>5.0711805555555558E-4</v>
      </c>
      <c r="T37" s="62">
        <v>7.723900462962963E-4</v>
      </c>
      <c r="U37" s="62">
        <v>1.0353993055555552E-3</v>
      </c>
      <c r="V37" s="62">
        <v>8.5398148148148139E-4</v>
      </c>
      <c r="W37" s="62">
        <v>2.0324652777777776E-3</v>
      </c>
      <c r="X37" s="62">
        <v>1.8549074074074075E-3</v>
      </c>
    </row>
    <row r="38" spans="1:24" x14ac:dyDescent="0.45">
      <c r="A38" s="59" t="s">
        <v>253</v>
      </c>
      <c r="B38" s="59" t="s">
        <v>164</v>
      </c>
      <c r="C38" s="59">
        <v>20</v>
      </c>
      <c r="D38" s="59">
        <v>22</v>
      </c>
      <c r="E38" s="61">
        <v>45658</v>
      </c>
      <c r="F38" s="61">
        <v>46174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v>4.8355902777777774E-4</v>
      </c>
      <c r="N38" s="62">
        <v>7.4284143518518514E-4</v>
      </c>
      <c r="O38" s="62">
        <v>9.8854745370370372E-4</v>
      </c>
      <c r="P38" s="62">
        <v>8.1804398148148144E-4</v>
      </c>
      <c r="Q38" s="62">
        <v>1.9750983796296292E-3</v>
      </c>
      <c r="R38" s="62">
        <v>1.8189699074074072E-3</v>
      </c>
      <c r="S38" s="62">
        <v>4.8355902777777774E-4</v>
      </c>
      <c r="T38" s="62">
        <v>7.4284143518518514E-4</v>
      </c>
      <c r="U38" s="62">
        <v>9.8854745370370372E-4</v>
      </c>
      <c r="V38" s="62">
        <v>8.1804398148148144E-4</v>
      </c>
      <c r="W38" s="62">
        <v>1.9750983796296292E-3</v>
      </c>
      <c r="X38" s="62">
        <v>1.8189699074074072E-3</v>
      </c>
    </row>
    <row r="39" spans="1:24" x14ac:dyDescent="0.45">
      <c r="A39" s="59" t="s">
        <v>253</v>
      </c>
      <c r="B39" s="59" t="s">
        <v>164</v>
      </c>
      <c r="C39" s="59">
        <v>23</v>
      </c>
      <c r="D39" s="59">
        <v>40</v>
      </c>
      <c r="E39" s="61">
        <v>45658</v>
      </c>
      <c r="F39" s="61">
        <v>46174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v>4.66255787037037E-4</v>
      </c>
      <c r="N39" s="62">
        <v>7.2127893518518515E-4</v>
      </c>
      <c r="O39" s="62">
        <v>9.5420717592592584E-4</v>
      </c>
      <c r="P39" s="62">
        <v>7.9168981481481473E-4</v>
      </c>
      <c r="Q39" s="62">
        <v>1.9331712962962961E-3</v>
      </c>
      <c r="R39" s="62">
        <v>1.7927488425925925E-3</v>
      </c>
      <c r="S39" s="62">
        <v>4.66255787037037E-4</v>
      </c>
      <c r="T39" s="62">
        <v>7.2127893518518515E-4</v>
      </c>
      <c r="U39" s="62">
        <v>9.5420717592592584E-4</v>
      </c>
      <c r="V39" s="62">
        <v>7.9168981481481473E-4</v>
      </c>
      <c r="W39" s="62">
        <v>1.9331712962962961E-3</v>
      </c>
      <c r="X39" s="62">
        <v>1.7927488425925925E-3</v>
      </c>
    </row>
    <row r="40" spans="1:24" x14ac:dyDescent="0.45">
      <c r="A40" s="59" t="s">
        <v>243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4.3858506944444446E-4</v>
      </c>
      <c r="N40" s="62">
        <v>6.9262442129629633E-4</v>
      </c>
      <c r="O40" s="62">
        <v>9.4122395833333352E-4</v>
      </c>
      <c r="P40" s="62">
        <v>7.8510127314814816E-4</v>
      </c>
      <c r="Q40" s="62">
        <v>1.9530295138888893E-3</v>
      </c>
      <c r="R40" s="62">
        <v>1.7838512731481479E-3</v>
      </c>
      <c r="S40" s="62">
        <v>4.3858506944444446E-4</v>
      </c>
      <c r="T40" s="62">
        <v>6.9262442129629633E-4</v>
      </c>
      <c r="U40" s="62">
        <v>9.4122395833333352E-4</v>
      </c>
      <c r="V40" s="62">
        <v>7.8510127314814816E-4</v>
      </c>
      <c r="W40" s="62">
        <v>1.9530295138888893E-3</v>
      </c>
      <c r="X40" s="62">
        <v>1.7838512731481479E-3</v>
      </c>
    </row>
    <row r="41" spans="1:24" x14ac:dyDescent="0.45">
      <c r="A41" s="59" t="s">
        <v>243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4.5232060185185186E-4</v>
      </c>
      <c r="N41" s="62">
        <v>7.1247974537037037E-4</v>
      </c>
      <c r="O41" s="62">
        <v>9.7399884259259271E-4</v>
      </c>
      <c r="P41" s="62">
        <v>8.1529224537037041E-4</v>
      </c>
      <c r="Q41" s="62">
        <v>2.0158593749999999E-3</v>
      </c>
      <c r="R41" s="62">
        <v>1.8382494212962962E-3</v>
      </c>
      <c r="S41" s="62">
        <v>4.5232060185185186E-4</v>
      </c>
      <c r="T41" s="62">
        <v>7.1247974537037037E-4</v>
      </c>
      <c r="U41" s="62">
        <v>9.7399884259259271E-4</v>
      </c>
      <c r="V41" s="62">
        <v>8.1529224537037041E-4</v>
      </c>
      <c r="W41" s="62">
        <v>2.0158593749999999E-3</v>
      </c>
      <c r="X41" s="62">
        <v>1.8382494212962962E-3</v>
      </c>
    </row>
    <row r="42" spans="1:24" x14ac:dyDescent="0.45">
      <c r="A42" s="59" t="s">
        <v>243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4.6156828703703703E-4</v>
      </c>
      <c r="N42" s="62">
        <v>7.2607928240740749E-4</v>
      </c>
      <c r="O42" s="62">
        <v>9.9643807870370359E-4</v>
      </c>
      <c r="P42" s="62">
        <v>8.3596354166666671E-4</v>
      </c>
      <c r="Q42" s="62">
        <v>2.0586979166666666E-3</v>
      </c>
      <c r="R42" s="62">
        <v>1.8753761574074076E-3</v>
      </c>
      <c r="S42" s="62">
        <v>4.6156828703703703E-4</v>
      </c>
      <c r="T42" s="62">
        <v>7.2607928240740749E-4</v>
      </c>
      <c r="U42" s="62">
        <v>9.9643807870370359E-4</v>
      </c>
      <c r="V42" s="62">
        <v>8.3596354166666671E-4</v>
      </c>
      <c r="W42" s="62">
        <v>2.0586979166666666E-3</v>
      </c>
      <c r="X42" s="62">
        <v>1.8753761574074076E-3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5.3554976851851854E-4</v>
      </c>
      <c r="N43" s="62">
        <v>8.1053240740740749E-4</v>
      </c>
      <c r="O43" s="62">
        <v>1.0982986111111113E-3</v>
      </c>
      <c r="P43" s="62">
        <v>8.9879340277777787E-4</v>
      </c>
      <c r="Q43" s="62">
        <v>2.1243836805555556E-3</v>
      </c>
      <c r="R43" s="62">
        <v>1.9246064814814816E-3</v>
      </c>
      <c r="S43" s="62">
        <v>5.3554976851851854E-4</v>
      </c>
      <c r="T43" s="62">
        <v>8.1053240740740749E-4</v>
      </c>
      <c r="U43" s="62">
        <v>1.0982986111111113E-3</v>
      </c>
      <c r="V43" s="62">
        <v>8.9879340277777787E-4</v>
      </c>
      <c r="W43" s="62">
        <v>2.1243836805555556E-3</v>
      </c>
      <c r="X43" s="62">
        <v>1.9246064814814816E-3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5.4874131944444447E-4</v>
      </c>
      <c r="N44" s="62">
        <v>8.2685185185185184E-4</v>
      </c>
      <c r="O44" s="62">
        <v>1.1388252314814815E-3</v>
      </c>
      <c r="P44" s="62">
        <v>9.1878472222222231E-4</v>
      </c>
      <c r="Q44" s="62">
        <v>2.1721180555555556E-3</v>
      </c>
      <c r="R44" s="62">
        <v>1.9538454861111115E-3</v>
      </c>
      <c r="S44" s="62">
        <v>5.4874131944444447E-4</v>
      </c>
      <c r="T44" s="62">
        <v>8.2685185185185184E-4</v>
      </c>
      <c r="U44" s="62">
        <v>1.1388252314814815E-3</v>
      </c>
      <c r="V44" s="62">
        <v>9.1878472222222231E-4</v>
      </c>
      <c r="W44" s="62">
        <v>2.1721180555555556E-3</v>
      </c>
      <c r="X44" s="62">
        <v>1.9538454861111115E-3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5.6098090277777776E-4</v>
      </c>
      <c r="N45" s="62">
        <v>8.4181134259259268E-4</v>
      </c>
      <c r="O45" s="62">
        <v>1.1792158564814816E-3</v>
      </c>
      <c r="P45" s="62">
        <v>9.3728009259259274E-4</v>
      </c>
      <c r="Q45" s="62">
        <v>2.2197164351851852E-3</v>
      </c>
      <c r="R45" s="62">
        <v>1.9832204861111109E-3</v>
      </c>
      <c r="S45" s="62">
        <v>5.6098090277777776E-4</v>
      </c>
      <c r="T45" s="62">
        <v>8.4181134259259268E-4</v>
      </c>
      <c r="U45" s="62">
        <v>1.1792158564814816E-3</v>
      </c>
      <c r="V45" s="62">
        <v>9.3728009259259274E-4</v>
      </c>
      <c r="W45" s="62">
        <v>2.2197164351851852E-3</v>
      </c>
      <c r="X45" s="62">
        <v>1.9832204861111109E-3</v>
      </c>
    </row>
    <row r="46" spans="1:24" x14ac:dyDescent="0.45">
      <c r="A46" s="59" t="s">
        <v>254</v>
      </c>
      <c r="B46" s="59" t="s">
        <v>182</v>
      </c>
      <c r="C46" s="59">
        <v>19</v>
      </c>
      <c r="D46" s="59">
        <v>19</v>
      </c>
      <c r="E46" s="61">
        <v>45658</v>
      </c>
      <c r="F46" s="61">
        <v>46174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4.2430555555555554E-4</v>
      </c>
      <c r="N46" s="62">
        <v>6.7181712962962963E-4</v>
      </c>
      <c r="O46" s="62">
        <v>9.0695312499999999E-4</v>
      </c>
      <c r="P46" s="62">
        <v>7.5355034722222219E-4</v>
      </c>
      <c r="Q46" s="62">
        <v>1.8873437500000001E-3</v>
      </c>
      <c r="R46" s="62">
        <v>1.7270052083333332E-3</v>
      </c>
      <c r="S46" s="62">
        <v>4.2430555555555554E-4</v>
      </c>
      <c r="T46" s="62">
        <v>6.7181712962962963E-4</v>
      </c>
      <c r="U46" s="62">
        <v>9.0695312499999999E-4</v>
      </c>
      <c r="V46" s="62">
        <v>7.5355034722222219E-4</v>
      </c>
      <c r="W46" s="62">
        <v>1.8873437500000001E-3</v>
      </c>
      <c r="X46" s="62">
        <v>1.7270052083333332E-3</v>
      </c>
    </row>
    <row r="47" spans="1:24" x14ac:dyDescent="0.45">
      <c r="A47" s="59" t="s">
        <v>254</v>
      </c>
      <c r="B47" s="59" t="s">
        <v>182</v>
      </c>
      <c r="C47" s="59">
        <v>20</v>
      </c>
      <c r="D47" s="59">
        <v>22</v>
      </c>
      <c r="E47" s="61">
        <v>45658</v>
      </c>
      <c r="F47" s="61">
        <v>46174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4.1220196759259259E-4</v>
      </c>
      <c r="N47" s="62">
        <v>6.5400173611111117E-4</v>
      </c>
      <c r="O47" s="62">
        <v>8.7812210648148146E-4</v>
      </c>
      <c r="P47" s="62">
        <v>7.2716724537037032E-4</v>
      </c>
      <c r="Q47" s="62">
        <v>1.8689843750000002E-3</v>
      </c>
      <c r="R47" s="62">
        <v>1.6785908564814816E-3</v>
      </c>
      <c r="S47" s="62">
        <v>4.1220196759259259E-4</v>
      </c>
      <c r="T47" s="62">
        <v>6.5400173611111117E-4</v>
      </c>
      <c r="U47" s="62">
        <v>8.7812210648148146E-4</v>
      </c>
      <c r="V47" s="62">
        <v>7.2716724537037032E-4</v>
      </c>
      <c r="W47" s="62">
        <v>1.8689843750000002E-3</v>
      </c>
      <c r="X47" s="62">
        <v>1.6785908564814816E-3</v>
      </c>
    </row>
    <row r="48" spans="1:24" x14ac:dyDescent="0.45">
      <c r="A48" s="59" t="s">
        <v>254</v>
      </c>
      <c r="B48" s="59" t="s">
        <v>182</v>
      </c>
      <c r="C48" s="59">
        <v>23</v>
      </c>
      <c r="D48" s="59">
        <v>40</v>
      </c>
      <c r="E48" s="61">
        <v>45658</v>
      </c>
      <c r="F48" s="61">
        <v>46174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3.9833043981481485E-4</v>
      </c>
      <c r="N48" s="62">
        <v>6.3373842592592594E-4</v>
      </c>
      <c r="O48" s="62">
        <v>8.4507523148148148E-4</v>
      </c>
      <c r="P48" s="62">
        <v>6.9697627314814817E-4</v>
      </c>
      <c r="Q48" s="62">
        <v>1.8121383101851853E-3</v>
      </c>
      <c r="R48" s="62">
        <v>1.6233767361111112E-3</v>
      </c>
      <c r="S48" s="62">
        <v>3.9833043981481485E-4</v>
      </c>
      <c r="T48" s="62">
        <v>6.3373842592592594E-4</v>
      </c>
      <c r="U48" s="62">
        <v>8.4507523148148148E-4</v>
      </c>
      <c r="V48" s="62">
        <v>6.9697627314814817E-4</v>
      </c>
      <c r="W48" s="62">
        <v>1.8121383101851853E-3</v>
      </c>
      <c r="X48" s="62">
        <v>1.6233767361111112E-3</v>
      </c>
    </row>
    <row r="49" spans="1:24" x14ac:dyDescent="0.45">
      <c r="A49" s="59" t="s">
        <v>255</v>
      </c>
      <c r="B49" s="59" t="s">
        <v>164</v>
      </c>
      <c r="C49" s="59">
        <v>19</v>
      </c>
      <c r="D49" s="59">
        <v>19</v>
      </c>
      <c r="E49" s="61">
        <v>45658</v>
      </c>
      <c r="F49" s="61">
        <v>46174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5.1814236111111115E-4</v>
      </c>
      <c r="N49" s="62">
        <v>7.8918113425925933E-4</v>
      </c>
      <c r="O49" s="62">
        <v>1.057907986111111E-3</v>
      </c>
      <c r="P49" s="62">
        <v>8.7254629629629629E-4</v>
      </c>
      <c r="Q49" s="62">
        <v>2.0766493055555555E-3</v>
      </c>
      <c r="R49" s="62">
        <v>1.8952314814814819E-3</v>
      </c>
      <c r="S49" s="62">
        <v>5.1814236111111115E-4</v>
      </c>
      <c r="T49" s="62">
        <v>7.8918113425925933E-4</v>
      </c>
      <c r="U49" s="62">
        <v>1.057907986111111E-3</v>
      </c>
      <c r="V49" s="62">
        <v>8.7254629629629629E-4</v>
      </c>
      <c r="W49" s="62">
        <v>2.0766493055555555E-3</v>
      </c>
      <c r="X49" s="62">
        <v>1.8952314814814819E-3</v>
      </c>
    </row>
    <row r="50" spans="1:24" x14ac:dyDescent="0.45">
      <c r="A50" s="59" t="s">
        <v>255</v>
      </c>
      <c r="B50" s="59" t="s">
        <v>164</v>
      </c>
      <c r="C50" s="59">
        <v>20</v>
      </c>
      <c r="D50" s="59">
        <v>22</v>
      </c>
      <c r="E50" s="61">
        <v>45658</v>
      </c>
      <c r="F50" s="61">
        <v>46174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4.9407118055555554E-4</v>
      </c>
      <c r="N50" s="62">
        <v>7.5899016203703708E-4</v>
      </c>
      <c r="O50" s="62">
        <v>1.0100376157407408E-3</v>
      </c>
      <c r="P50" s="62">
        <v>8.3582754629629632E-4</v>
      </c>
      <c r="Q50" s="62">
        <v>2.0180353009259257E-3</v>
      </c>
      <c r="R50" s="62">
        <v>1.8585127314814816E-3</v>
      </c>
      <c r="S50" s="62">
        <v>4.9407118055555554E-4</v>
      </c>
      <c r="T50" s="62">
        <v>7.5899016203703708E-4</v>
      </c>
      <c r="U50" s="62">
        <v>1.0100376157407408E-3</v>
      </c>
      <c r="V50" s="62">
        <v>8.3582754629629632E-4</v>
      </c>
      <c r="W50" s="62">
        <v>2.0180353009259257E-3</v>
      </c>
      <c r="X50" s="62">
        <v>1.8585127314814816E-3</v>
      </c>
    </row>
    <row r="51" spans="1:24" x14ac:dyDescent="0.45">
      <c r="A51" s="59" t="s">
        <v>255</v>
      </c>
      <c r="B51" s="59" t="s">
        <v>164</v>
      </c>
      <c r="C51" s="59">
        <v>23</v>
      </c>
      <c r="D51" s="59">
        <v>40</v>
      </c>
      <c r="E51" s="61">
        <v>45658</v>
      </c>
      <c r="F51" s="61">
        <v>46174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4.7639178240740742E-4</v>
      </c>
      <c r="N51" s="62">
        <v>7.3695891203703705E-4</v>
      </c>
      <c r="O51" s="62">
        <v>9.7495081018518514E-4</v>
      </c>
      <c r="P51" s="62">
        <v>8.0890046296296298E-4</v>
      </c>
      <c r="Q51" s="62">
        <v>1.9751967592592594E-3</v>
      </c>
      <c r="R51" s="62">
        <v>1.8317216435185186E-3</v>
      </c>
      <c r="S51" s="62">
        <v>4.7639178240740742E-4</v>
      </c>
      <c r="T51" s="62">
        <v>7.3695891203703705E-4</v>
      </c>
      <c r="U51" s="62">
        <v>9.7495081018518514E-4</v>
      </c>
      <c r="V51" s="62">
        <v>8.0890046296296298E-4</v>
      </c>
      <c r="W51" s="62">
        <v>1.9751967592592594E-3</v>
      </c>
      <c r="X51" s="62">
        <v>1.8317216435185186E-3</v>
      </c>
    </row>
    <row r="52" spans="1:24" x14ac:dyDescent="0.45">
      <c r="A52" s="59" t="s">
        <v>241</v>
      </c>
      <c r="B52" s="59" t="s">
        <v>182</v>
      </c>
      <c r="C52" s="59">
        <v>18</v>
      </c>
      <c r="D52" s="59">
        <v>18</v>
      </c>
      <c r="E52" s="61">
        <v>45658</v>
      </c>
      <c r="F52" s="61">
        <v>46023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4.4791666666666667E-4</v>
      </c>
      <c r="N52" s="62">
        <v>7.0736111111111108E-4</v>
      </c>
      <c r="O52" s="62">
        <v>9.6125000000000008E-4</v>
      </c>
      <c r="P52" s="62">
        <v>8.018055555555555E-4</v>
      </c>
      <c r="Q52" s="62">
        <v>1.9945833333333335E-3</v>
      </c>
      <c r="R52" s="62">
        <v>1.8218055555555552E-3</v>
      </c>
      <c r="S52" s="62">
        <v>4.4791666666666667E-4</v>
      </c>
      <c r="T52" s="62">
        <v>7.0736111111111108E-4</v>
      </c>
      <c r="U52" s="62">
        <v>9.6125000000000008E-4</v>
      </c>
      <c r="V52" s="62">
        <v>8.018055555555555E-4</v>
      </c>
      <c r="W52" s="62">
        <v>1.9945833333333335E-3</v>
      </c>
      <c r="X52" s="62">
        <v>1.8218055555555552E-3</v>
      </c>
    </row>
    <row r="53" spans="1:24" x14ac:dyDescent="0.45">
      <c r="A53" s="59" t="s">
        <v>241</v>
      </c>
      <c r="B53" s="59" t="s">
        <v>182</v>
      </c>
      <c r="C53" s="59">
        <v>17</v>
      </c>
      <c r="D53" s="59">
        <v>17</v>
      </c>
      <c r="E53" s="61">
        <v>45658</v>
      </c>
      <c r="F53" s="61">
        <v>46023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4.619444444444444E-4</v>
      </c>
      <c r="N53" s="62">
        <v>7.2763888888888889E-4</v>
      </c>
      <c r="O53" s="62">
        <v>9.9472222222222236E-4</v>
      </c>
      <c r="P53" s="62">
        <v>8.3263888888888895E-4</v>
      </c>
      <c r="Q53" s="62">
        <v>2.0587499999999998E-3</v>
      </c>
      <c r="R53" s="62">
        <v>1.8773611111111107E-3</v>
      </c>
      <c r="S53" s="62">
        <v>4.619444444444444E-4</v>
      </c>
      <c r="T53" s="62">
        <v>7.2763888888888889E-4</v>
      </c>
      <c r="U53" s="62">
        <v>9.9472222222222236E-4</v>
      </c>
      <c r="V53" s="62">
        <v>8.3263888888888895E-4</v>
      </c>
      <c r="W53" s="62">
        <v>2.0587499999999998E-3</v>
      </c>
      <c r="X53" s="62">
        <v>1.8773611111111107E-3</v>
      </c>
    </row>
    <row r="54" spans="1:24" x14ac:dyDescent="0.45">
      <c r="A54" s="59" t="s">
        <v>241</v>
      </c>
      <c r="B54" s="59" t="s">
        <v>182</v>
      </c>
      <c r="C54" s="59">
        <v>14</v>
      </c>
      <c r="D54" s="59">
        <v>16</v>
      </c>
      <c r="E54" s="61">
        <v>45658</v>
      </c>
      <c r="F54" s="61">
        <v>46023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4.7138888888888881E-4</v>
      </c>
      <c r="N54" s="62">
        <v>7.415277777777778E-4</v>
      </c>
      <c r="O54" s="62">
        <v>1.0176388888888889E-3</v>
      </c>
      <c r="P54" s="62">
        <v>8.5375000000000002E-4</v>
      </c>
      <c r="Q54" s="62">
        <v>2.1024999999999998E-3</v>
      </c>
      <c r="R54" s="62">
        <v>1.9152777777777779E-3</v>
      </c>
      <c r="S54" s="62">
        <v>4.7138888888888881E-4</v>
      </c>
      <c r="T54" s="62">
        <v>7.415277777777778E-4</v>
      </c>
      <c r="U54" s="62">
        <v>1.0176388888888889E-3</v>
      </c>
      <c r="V54" s="62">
        <v>8.5375000000000002E-4</v>
      </c>
      <c r="W54" s="62">
        <v>2.1024999999999998E-3</v>
      </c>
      <c r="X54" s="62">
        <v>1.9152777777777779E-3</v>
      </c>
    </row>
    <row r="55" spans="1:24" x14ac:dyDescent="0.45">
      <c r="A55" s="59" t="s">
        <v>240</v>
      </c>
      <c r="B55" s="59" t="s">
        <v>164</v>
      </c>
      <c r="C55" s="59">
        <v>18</v>
      </c>
      <c r="D55" s="59">
        <v>18</v>
      </c>
      <c r="E55" s="61">
        <v>45658</v>
      </c>
      <c r="F55" s="61">
        <v>46023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5.4694444444444441E-4</v>
      </c>
      <c r="N55" s="62">
        <v>8.2777777777777786E-4</v>
      </c>
      <c r="O55" s="62">
        <v>1.1216666666666666E-3</v>
      </c>
      <c r="P55" s="62">
        <v>9.1791666666666671E-4</v>
      </c>
      <c r="Q55" s="62">
        <v>2.1695833333333333E-3</v>
      </c>
      <c r="R55" s="62">
        <v>1.9655555555555555E-3</v>
      </c>
      <c r="S55" s="62">
        <v>5.4694444444444441E-4</v>
      </c>
      <c r="T55" s="62">
        <v>8.2777777777777786E-4</v>
      </c>
      <c r="U55" s="62">
        <v>1.1216666666666666E-3</v>
      </c>
      <c r="V55" s="62">
        <v>9.1791666666666671E-4</v>
      </c>
      <c r="W55" s="62">
        <v>2.1695833333333333E-3</v>
      </c>
      <c r="X55" s="62">
        <v>1.9655555555555555E-3</v>
      </c>
    </row>
    <row r="56" spans="1:24" x14ac:dyDescent="0.45">
      <c r="A56" s="59" t="s">
        <v>240</v>
      </c>
      <c r="B56" s="59" t="s">
        <v>164</v>
      </c>
      <c r="C56" s="59">
        <v>17</v>
      </c>
      <c r="D56" s="59">
        <v>17</v>
      </c>
      <c r="E56" s="61">
        <v>45658</v>
      </c>
      <c r="F56" s="61">
        <v>46023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5.6041666666666664E-4</v>
      </c>
      <c r="N56" s="62">
        <v>8.4444444444444443E-4</v>
      </c>
      <c r="O56" s="62">
        <v>1.1630555555555554E-3</v>
      </c>
      <c r="P56" s="62">
        <v>9.3833333333333334E-4</v>
      </c>
      <c r="Q56" s="62">
        <v>2.2183333333333334E-3</v>
      </c>
      <c r="R56" s="62">
        <v>1.995416666666667E-3</v>
      </c>
      <c r="S56" s="62">
        <v>5.6041666666666664E-4</v>
      </c>
      <c r="T56" s="62">
        <v>8.4444444444444443E-4</v>
      </c>
      <c r="U56" s="62">
        <v>1.1630555555555554E-3</v>
      </c>
      <c r="V56" s="62">
        <v>9.3833333333333334E-4</v>
      </c>
      <c r="W56" s="62">
        <v>2.2183333333333334E-3</v>
      </c>
      <c r="X56" s="62">
        <v>1.995416666666667E-3</v>
      </c>
    </row>
    <row r="57" spans="1:24" x14ac:dyDescent="0.45">
      <c r="A57" s="59" t="s">
        <v>240</v>
      </c>
      <c r="B57" s="59" t="s">
        <v>164</v>
      </c>
      <c r="C57" s="59">
        <v>14</v>
      </c>
      <c r="D57" s="59">
        <v>16</v>
      </c>
      <c r="E57" s="61">
        <v>45658</v>
      </c>
      <c r="F57" s="61">
        <v>46023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5.7291666666666667E-4</v>
      </c>
      <c r="N57" s="62">
        <v>8.5972222222222222E-4</v>
      </c>
      <c r="O57" s="62">
        <v>1.2043055555555557E-3</v>
      </c>
      <c r="P57" s="62">
        <v>9.5722222222222226E-4</v>
      </c>
      <c r="Q57" s="62">
        <v>2.2669444444444443E-3</v>
      </c>
      <c r="R57" s="62">
        <v>2.0254166666666663E-3</v>
      </c>
      <c r="S57" s="62">
        <v>5.7291666666666667E-4</v>
      </c>
      <c r="T57" s="62">
        <v>8.5972222222222222E-4</v>
      </c>
      <c r="U57" s="62">
        <v>1.2043055555555557E-3</v>
      </c>
      <c r="V57" s="62">
        <v>9.5722222222222226E-4</v>
      </c>
      <c r="W57" s="62">
        <v>2.2669444444444443E-3</v>
      </c>
      <c r="X57" s="62">
        <v>2.0254166666666663E-3</v>
      </c>
    </row>
    <row r="58" spans="1:24" x14ac:dyDescent="0.45">
      <c r="A58" s="59" t="s">
        <v>256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4.3333333333333331E-4</v>
      </c>
      <c r="N58" s="62">
        <v>6.8611111111111108E-4</v>
      </c>
      <c r="O58" s="62">
        <v>9.2624999999999999E-4</v>
      </c>
      <c r="P58" s="62">
        <v>7.6958333333333317E-4</v>
      </c>
      <c r="Q58" s="62">
        <v>1.9275E-3</v>
      </c>
      <c r="R58" s="62">
        <v>1.7637499999999997E-3</v>
      </c>
      <c r="S58" s="62">
        <v>4.3333333333333331E-4</v>
      </c>
      <c r="T58" s="62">
        <v>6.8611111111111108E-4</v>
      </c>
      <c r="U58" s="62">
        <v>9.2624999999999999E-4</v>
      </c>
      <c r="V58" s="62">
        <v>7.6958333333333317E-4</v>
      </c>
      <c r="W58" s="62">
        <v>1.9275E-3</v>
      </c>
      <c r="X58" s="62">
        <v>1.7637499999999997E-3</v>
      </c>
    </row>
    <row r="59" spans="1:24" x14ac:dyDescent="0.45">
      <c r="A59" s="59" t="s">
        <v>256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4.2097222222222221E-4</v>
      </c>
      <c r="N59" s="62">
        <v>6.6791666666666659E-4</v>
      </c>
      <c r="O59" s="62">
        <v>8.9680555555555542E-4</v>
      </c>
      <c r="P59" s="62">
        <v>7.4263888888888882E-4</v>
      </c>
      <c r="Q59" s="62">
        <v>1.9087499999999999E-3</v>
      </c>
      <c r="R59" s="62">
        <v>1.7143055555555557E-3</v>
      </c>
      <c r="S59" s="62">
        <v>4.2097222222222221E-4</v>
      </c>
      <c r="T59" s="62">
        <v>6.6791666666666659E-4</v>
      </c>
      <c r="U59" s="62">
        <v>8.9680555555555542E-4</v>
      </c>
      <c r="V59" s="62">
        <v>7.4263888888888882E-4</v>
      </c>
      <c r="W59" s="62">
        <v>1.9087499999999999E-3</v>
      </c>
      <c r="X59" s="62">
        <v>1.7143055555555557E-3</v>
      </c>
    </row>
    <row r="60" spans="1:24" x14ac:dyDescent="0.45">
      <c r="A60" s="59" t="s">
        <v>256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4.0680555555555554E-4</v>
      </c>
      <c r="N60" s="62">
        <v>6.4722222222222221E-4</v>
      </c>
      <c r="O60" s="62">
        <v>8.6305555555555549E-4</v>
      </c>
      <c r="P60" s="62">
        <v>7.1180555555555548E-4</v>
      </c>
      <c r="Q60" s="62">
        <v>1.8506944444444445E-3</v>
      </c>
      <c r="R60" s="62">
        <v>1.6579166666666667E-3</v>
      </c>
      <c r="S60" s="62">
        <v>4.0680555555555554E-4</v>
      </c>
      <c r="T60" s="62">
        <v>6.4722222222222221E-4</v>
      </c>
      <c r="U60" s="62">
        <v>8.6305555555555549E-4</v>
      </c>
      <c r="V60" s="62">
        <v>7.1180555555555548E-4</v>
      </c>
      <c r="W60" s="62">
        <v>1.8506944444444445E-3</v>
      </c>
      <c r="X60" s="62">
        <v>1.6579166666666667E-3</v>
      </c>
    </row>
    <row r="61" spans="1:24" x14ac:dyDescent="0.45">
      <c r="A61" s="59" t="s">
        <v>257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5.2916666666666672E-4</v>
      </c>
      <c r="N61" s="62">
        <v>8.0597222222222225E-4</v>
      </c>
      <c r="O61" s="62">
        <v>1.0804166666666664E-3</v>
      </c>
      <c r="P61" s="62">
        <v>8.9111111111111097E-4</v>
      </c>
      <c r="Q61" s="62">
        <v>2.1208333333333331E-3</v>
      </c>
      <c r="R61" s="62">
        <v>1.9355555555555558E-3</v>
      </c>
      <c r="S61" s="62">
        <v>5.2916666666666672E-4</v>
      </c>
      <c r="T61" s="62">
        <v>8.0597222222222225E-4</v>
      </c>
      <c r="U61" s="62">
        <v>1.0804166666666664E-3</v>
      </c>
      <c r="V61" s="62">
        <v>8.9111111111111097E-4</v>
      </c>
      <c r="W61" s="62">
        <v>2.1208333333333331E-3</v>
      </c>
      <c r="X61" s="62">
        <v>1.9355555555555558E-3</v>
      </c>
    </row>
    <row r="62" spans="1:24" x14ac:dyDescent="0.45">
      <c r="A62" s="59" t="s">
        <v>257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5.0458333333333334E-4</v>
      </c>
      <c r="N62" s="62">
        <v>7.751388888888889E-4</v>
      </c>
      <c r="O62" s="62">
        <v>1.0315277777777777E-3</v>
      </c>
      <c r="P62" s="62">
        <v>8.5361111111111109E-4</v>
      </c>
      <c r="Q62" s="62">
        <v>2.0609722222222219E-3</v>
      </c>
      <c r="R62" s="62">
        <v>1.8980555555555554E-3</v>
      </c>
      <c r="S62" s="62">
        <v>5.0458333333333334E-4</v>
      </c>
      <c r="T62" s="62">
        <v>7.751388888888889E-4</v>
      </c>
      <c r="U62" s="62">
        <v>1.0315277777777777E-3</v>
      </c>
      <c r="V62" s="62">
        <v>8.5361111111111109E-4</v>
      </c>
      <c r="W62" s="62">
        <v>2.0609722222222219E-3</v>
      </c>
      <c r="X62" s="62">
        <v>1.8980555555555554E-3</v>
      </c>
    </row>
    <row r="63" spans="1:24" x14ac:dyDescent="0.45">
      <c r="A63" s="59" t="s">
        <v>257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4.8652777777777773E-4</v>
      </c>
      <c r="N63" s="62">
        <v>7.5263888888888885E-4</v>
      </c>
      <c r="O63" s="62">
        <v>9.9569444444444445E-4</v>
      </c>
      <c r="P63" s="62">
        <v>8.2611111111111101E-4</v>
      </c>
      <c r="Q63" s="62">
        <v>2.0172222222222223E-3</v>
      </c>
      <c r="R63" s="62">
        <v>1.8706944444444444E-3</v>
      </c>
      <c r="S63" s="62">
        <v>4.8652777777777773E-4</v>
      </c>
      <c r="T63" s="62">
        <v>7.5263888888888885E-4</v>
      </c>
      <c r="U63" s="62">
        <v>9.9569444444444445E-4</v>
      </c>
      <c r="V63" s="62">
        <v>8.2611111111111101E-4</v>
      </c>
      <c r="W63" s="62">
        <v>2.0172222222222223E-3</v>
      </c>
      <c r="X63" s="62">
        <v>1.8706944444444444E-3</v>
      </c>
    </row>
    <row r="64" spans="1:24" x14ac:dyDescent="0.45">
      <c r="A64" s="59" t="s">
        <v>239</v>
      </c>
      <c r="B64" s="59" t="s">
        <v>182</v>
      </c>
      <c r="C64" s="59">
        <v>18</v>
      </c>
      <c r="D64" s="59">
        <v>18</v>
      </c>
      <c r="E64" s="61">
        <v>45658</v>
      </c>
      <c r="F64" s="61">
        <v>46023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4.5724826388888893E-4</v>
      </c>
      <c r="N64" s="62">
        <v>7.2209780092592595E-4</v>
      </c>
      <c r="O64" s="62">
        <v>9.8127604166666697E-4</v>
      </c>
      <c r="P64" s="62">
        <v>8.1850983796296294E-4</v>
      </c>
      <c r="Q64" s="62">
        <v>2.0361371527777782E-3</v>
      </c>
      <c r="R64" s="62">
        <v>1.8597598379629628E-3</v>
      </c>
      <c r="S64" s="62">
        <v>4.5724826388888893E-4</v>
      </c>
      <c r="T64" s="62">
        <v>7.2209780092592595E-4</v>
      </c>
      <c r="U64" s="62">
        <v>9.8127604166666697E-4</v>
      </c>
      <c r="V64" s="62">
        <v>8.1850983796296294E-4</v>
      </c>
      <c r="W64" s="62">
        <v>2.0361371527777782E-3</v>
      </c>
      <c r="X64" s="62">
        <v>1.8597598379629628E-3</v>
      </c>
    </row>
    <row r="65" spans="1:24" x14ac:dyDescent="0.45">
      <c r="A65" s="59" t="s">
        <v>239</v>
      </c>
      <c r="B65" s="59" t="s">
        <v>182</v>
      </c>
      <c r="C65" s="59">
        <v>17</v>
      </c>
      <c r="D65" s="59">
        <v>17</v>
      </c>
      <c r="E65" s="61">
        <v>45658</v>
      </c>
      <c r="F65" s="61">
        <v>46023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4.7156828703703705E-4</v>
      </c>
      <c r="N65" s="62">
        <v>7.4279803240740751E-4</v>
      </c>
      <c r="O65" s="62">
        <v>1.0208333333333334E-3</v>
      </c>
      <c r="P65" s="62">
        <v>8.4998553240740748E-4</v>
      </c>
      <c r="Q65" s="62">
        <v>2.1016406250000002E-3</v>
      </c>
      <c r="R65" s="62">
        <v>1.9164728009259259E-3</v>
      </c>
      <c r="S65" s="62">
        <v>4.7156828703703705E-4</v>
      </c>
      <c r="T65" s="62">
        <v>7.4279803240740751E-4</v>
      </c>
      <c r="U65" s="62">
        <v>1.0208333333333334E-3</v>
      </c>
      <c r="V65" s="62">
        <v>8.4998553240740748E-4</v>
      </c>
      <c r="W65" s="62">
        <v>2.1016406250000002E-3</v>
      </c>
      <c r="X65" s="62">
        <v>1.9164728009259259E-3</v>
      </c>
    </row>
    <row r="66" spans="1:24" x14ac:dyDescent="0.45">
      <c r="A66" s="59" t="s">
        <v>239</v>
      </c>
      <c r="B66" s="59" t="s">
        <v>182</v>
      </c>
      <c r="C66" s="59">
        <v>14</v>
      </c>
      <c r="D66" s="59">
        <v>16</v>
      </c>
      <c r="E66" s="61">
        <v>45658</v>
      </c>
      <c r="F66" s="61">
        <v>46023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4.8120949074074071E-4</v>
      </c>
      <c r="N66" s="62">
        <v>7.5697627314814822E-4</v>
      </c>
      <c r="O66" s="62">
        <v>1.0388396990740742E-3</v>
      </c>
      <c r="P66" s="62">
        <v>8.7153645833333343E-4</v>
      </c>
      <c r="Q66" s="62">
        <v>2.1463020833333334E-3</v>
      </c>
      <c r="R66" s="62">
        <v>1.9551793981481486E-3</v>
      </c>
      <c r="S66" s="62">
        <v>4.8120949074074071E-4</v>
      </c>
      <c r="T66" s="62">
        <v>7.5697627314814822E-4</v>
      </c>
      <c r="U66" s="62">
        <v>1.0388396990740742E-3</v>
      </c>
      <c r="V66" s="62">
        <v>8.7153645833333343E-4</v>
      </c>
      <c r="W66" s="62">
        <v>2.1463020833333334E-3</v>
      </c>
      <c r="X66" s="62">
        <v>1.9551793981481486E-3</v>
      </c>
    </row>
    <row r="67" spans="1:24" x14ac:dyDescent="0.45">
      <c r="A67" s="59" t="s">
        <v>238</v>
      </c>
      <c r="B67" s="59" t="s">
        <v>164</v>
      </c>
      <c r="C67" s="59">
        <v>18</v>
      </c>
      <c r="D67" s="59">
        <v>18</v>
      </c>
      <c r="E67" s="61">
        <v>45658</v>
      </c>
      <c r="F67" s="61">
        <v>46023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5.5833912037037039E-4</v>
      </c>
      <c r="N67" s="62">
        <v>8.4502314814814824E-4</v>
      </c>
      <c r="O67" s="62">
        <v>1.1450347222222224E-3</v>
      </c>
      <c r="P67" s="62">
        <v>9.3703993055555565E-4</v>
      </c>
      <c r="Q67" s="62">
        <v>2.2147829861111114E-3</v>
      </c>
      <c r="R67" s="62">
        <v>2.0065046296296298E-3</v>
      </c>
      <c r="S67" s="62">
        <v>5.5833912037037039E-4</v>
      </c>
      <c r="T67" s="62">
        <v>8.4502314814814824E-4</v>
      </c>
      <c r="U67" s="62">
        <v>1.1450347222222224E-3</v>
      </c>
      <c r="V67" s="62">
        <v>9.3703993055555565E-4</v>
      </c>
      <c r="W67" s="62">
        <v>2.2147829861111114E-3</v>
      </c>
      <c r="X67" s="62">
        <v>2.0065046296296298E-3</v>
      </c>
    </row>
    <row r="68" spans="1:24" x14ac:dyDescent="0.45">
      <c r="A68" s="59" t="s">
        <v>238</v>
      </c>
      <c r="B68" s="59" t="s">
        <v>164</v>
      </c>
      <c r="C68" s="59">
        <v>17</v>
      </c>
      <c r="D68" s="59">
        <v>17</v>
      </c>
      <c r="E68" s="61">
        <v>45658</v>
      </c>
      <c r="F68" s="61">
        <v>46023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5.7209201388888891E-4</v>
      </c>
      <c r="N68" s="62">
        <v>8.6203703703703703E-4</v>
      </c>
      <c r="O68" s="62">
        <v>1.1872858796296297E-3</v>
      </c>
      <c r="P68" s="62">
        <v>9.5788194444444458E-4</v>
      </c>
      <c r="Q68" s="62">
        <v>2.2645486111111113E-3</v>
      </c>
      <c r="R68" s="62">
        <v>2.0369878472222226E-3</v>
      </c>
      <c r="S68" s="62">
        <v>5.7209201388888891E-4</v>
      </c>
      <c r="T68" s="62">
        <v>8.6203703703703703E-4</v>
      </c>
      <c r="U68" s="62">
        <v>1.1872858796296297E-3</v>
      </c>
      <c r="V68" s="62">
        <v>9.5788194444444458E-4</v>
      </c>
      <c r="W68" s="62">
        <v>2.2645486111111113E-3</v>
      </c>
      <c r="X68" s="62">
        <v>2.0369878472222226E-3</v>
      </c>
    </row>
    <row r="69" spans="1:24" x14ac:dyDescent="0.45">
      <c r="A69" s="59" t="s">
        <v>238</v>
      </c>
      <c r="B69" s="59" t="s">
        <v>164</v>
      </c>
      <c r="C69" s="59">
        <v>14</v>
      </c>
      <c r="D69" s="59">
        <v>16</v>
      </c>
      <c r="E69" s="61">
        <v>45658</v>
      </c>
      <c r="F69" s="61">
        <v>46023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5.8485243055555558E-4</v>
      </c>
      <c r="N69" s="62">
        <v>8.7763310185185188E-4</v>
      </c>
      <c r="O69" s="62">
        <v>1.2293952546296298E-3</v>
      </c>
      <c r="P69" s="62">
        <v>9.7716435185185189E-4</v>
      </c>
      <c r="Q69" s="62">
        <v>2.3141724537037041E-3</v>
      </c>
      <c r="R69" s="62">
        <v>2.0676128472222224E-3</v>
      </c>
      <c r="S69" s="62">
        <v>5.8485243055555558E-4</v>
      </c>
      <c r="T69" s="62">
        <v>8.7763310185185188E-4</v>
      </c>
      <c r="U69" s="62">
        <v>1.2293952546296298E-3</v>
      </c>
      <c r="V69" s="62">
        <v>9.7716435185185189E-4</v>
      </c>
      <c r="W69" s="62">
        <v>2.3141724537037041E-3</v>
      </c>
      <c r="X69" s="62">
        <v>2.0676128472222224E-3</v>
      </c>
    </row>
    <row r="70" spans="1:24" x14ac:dyDescent="0.45">
      <c r="A70" s="59" t="s">
        <v>258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4.4236111111111115E-4</v>
      </c>
      <c r="N70" s="62">
        <v>7.0040509259259264E-4</v>
      </c>
      <c r="O70" s="62">
        <v>9.455468750000001E-4</v>
      </c>
      <c r="P70" s="62">
        <v>7.8561631944444436E-4</v>
      </c>
      <c r="Q70" s="62">
        <v>1.9676562500000002E-3</v>
      </c>
      <c r="R70" s="62">
        <v>1.8004947916666666E-3</v>
      </c>
      <c r="S70" s="62">
        <v>4.4236111111111115E-4</v>
      </c>
      <c r="T70" s="62">
        <v>7.0040509259259264E-4</v>
      </c>
      <c r="U70" s="62">
        <v>9.455468750000001E-4</v>
      </c>
      <c r="V70" s="62">
        <v>7.8561631944444436E-4</v>
      </c>
      <c r="W70" s="62">
        <v>1.9676562500000002E-3</v>
      </c>
      <c r="X70" s="62">
        <v>1.8004947916666666E-3</v>
      </c>
    </row>
    <row r="71" spans="1:24" x14ac:dyDescent="0.45">
      <c r="A71" s="59" t="s">
        <v>258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4.2974247685185189E-4</v>
      </c>
      <c r="N71" s="62">
        <v>6.8183159722222224E-4</v>
      </c>
      <c r="O71" s="62">
        <v>9.154890046296296E-4</v>
      </c>
      <c r="P71" s="62">
        <v>7.5811053240740743E-4</v>
      </c>
      <c r="Q71" s="62">
        <v>1.9485156250000002E-3</v>
      </c>
      <c r="R71" s="62">
        <v>1.75002025462963E-3</v>
      </c>
      <c r="S71" s="62">
        <v>4.2974247685185189E-4</v>
      </c>
      <c r="T71" s="62">
        <v>6.8183159722222224E-4</v>
      </c>
      <c r="U71" s="62">
        <v>9.154890046296296E-4</v>
      </c>
      <c r="V71" s="62">
        <v>7.5811053240740743E-4</v>
      </c>
      <c r="W71" s="62">
        <v>1.9485156250000002E-3</v>
      </c>
      <c r="X71" s="62">
        <v>1.75002025462963E-3</v>
      </c>
    </row>
    <row r="72" spans="1:24" x14ac:dyDescent="0.45">
      <c r="A72" s="59" t="s">
        <v>258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4.1528067129629635E-4</v>
      </c>
      <c r="N72" s="62">
        <v>6.6070601851851859E-4</v>
      </c>
      <c r="O72" s="62">
        <v>8.8103587962962973E-4</v>
      </c>
      <c r="P72" s="62">
        <v>7.26634837962963E-4</v>
      </c>
      <c r="Q72" s="62">
        <v>1.889250578703704E-3</v>
      </c>
      <c r="R72" s="62">
        <v>1.6924565972222224E-3</v>
      </c>
      <c r="S72" s="62">
        <v>4.1528067129629635E-4</v>
      </c>
      <c r="T72" s="62">
        <v>6.6070601851851859E-4</v>
      </c>
      <c r="U72" s="62">
        <v>8.8103587962962973E-4</v>
      </c>
      <c r="V72" s="62">
        <v>7.26634837962963E-4</v>
      </c>
      <c r="W72" s="62">
        <v>1.889250578703704E-3</v>
      </c>
      <c r="X72" s="62">
        <v>1.6924565972222224E-3</v>
      </c>
    </row>
    <row r="73" spans="1:24" x14ac:dyDescent="0.45">
      <c r="A73" s="59" t="s">
        <v>259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5.4019097222222229E-4</v>
      </c>
      <c r="N73" s="62">
        <v>8.2276331018518527E-4</v>
      </c>
      <c r="O73" s="62">
        <v>1.1029253472222222E-3</v>
      </c>
      <c r="P73" s="62">
        <v>9.0967592592592597E-4</v>
      </c>
      <c r="Q73" s="62">
        <v>2.165017361111111E-3</v>
      </c>
      <c r="R73" s="62">
        <v>1.9758796296296299E-3</v>
      </c>
      <c r="S73" s="62">
        <v>5.4019097222222229E-4</v>
      </c>
      <c r="T73" s="62">
        <v>8.2276331018518527E-4</v>
      </c>
      <c r="U73" s="62">
        <v>1.1029253472222222E-3</v>
      </c>
      <c r="V73" s="62">
        <v>9.0967592592592597E-4</v>
      </c>
      <c r="W73" s="62">
        <v>2.165017361111111E-3</v>
      </c>
      <c r="X73" s="62">
        <v>1.9758796296296299E-3</v>
      </c>
    </row>
    <row r="74" spans="1:24" x14ac:dyDescent="0.45">
      <c r="A74" s="59" t="s">
        <v>259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5.1509548611111114E-4</v>
      </c>
      <c r="N74" s="62">
        <v>7.9128761574074084E-4</v>
      </c>
      <c r="O74" s="62">
        <v>1.0530179398148148E-3</v>
      </c>
      <c r="P74" s="62">
        <v>8.7139467592592607E-4</v>
      </c>
      <c r="Q74" s="62">
        <v>2.1039091435185184E-3</v>
      </c>
      <c r="R74" s="62">
        <v>1.9375983796296298E-3</v>
      </c>
      <c r="S74" s="62">
        <v>5.1509548611111114E-4</v>
      </c>
      <c r="T74" s="62">
        <v>7.9128761574074084E-4</v>
      </c>
      <c r="U74" s="62">
        <v>1.0530179398148148E-3</v>
      </c>
      <c r="V74" s="62">
        <v>8.7139467592592607E-4</v>
      </c>
      <c r="W74" s="62">
        <v>2.1039091435185184E-3</v>
      </c>
      <c r="X74" s="62">
        <v>1.9375983796296298E-3</v>
      </c>
    </row>
    <row r="75" spans="1:24" x14ac:dyDescent="0.45">
      <c r="A75" s="59" t="s">
        <v>259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4.966637731481482E-4</v>
      </c>
      <c r="N75" s="62">
        <v>7.6831886574074075E-4</v>
      </c>
      <c r="O75" s="62">
        <v>1.0164380787037036E-3</v>
      </c>
      <c r="P75" s="62">
        <v>8.4332175925925926E-4</v>
      </c>
      <c r="Q75" s="62">
        <v>2.0592476851851852E-3</v>
      </c>
      <c r="R75" s="62">
        <v>1.9096672453703706E-3</v>
      </c>
      <c r="S75" s="62">
        <v>4.966637731481482E-4</v>
      </c>
      <c r="T75" s="62">
        <v>7.6831886574074075E-4</v>
      </c>
      <c r="U75" s="62">
        <v>1.0164380787037036E-3</v>
      </c>
      <c r="V75" s="62">
        <v>8.4332175925925926E-4</v>
      </c>
      <c r="W75" s="62">
        <v>2.0592476851851852E-3</v>
      </c>
      <c r="X75" s="62">
        <v>1.9096672453703706E-3</v>
      </c>
    </row>
    <row r="76" spans="1:24" x14ac:dyDescent="0.45">
      <c r="A76" s="59" t="s">
        <v>234</v>
      </c>
      <c r="B76" s="59" t="s">
        <v>182</v>
      </c>
      <c r="C76" s="59">
        <v>18</v>
      </c>
      <c r="D76" s="59">
        <v>18</v>
      </c>
      <c r="E76" s="61">
        <v>45658</v>
      </c>
      <c r="F76" s="61">
        <v>46023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4.6657986111111113E-4</v>
      </c>
      <c r="N76" s="62">
        <v>7.3683449074074081E-4</v>
      </c>
      <c r="O76" s="62">
        <v>1.0013020833333334E-3</v>
      </c>
      <c r="P76" s="62">
        <v>8.3521412037037028E-4</v>
      </c>
      <c r="Q76" s="62">
        <v>2.0776909722222225E-3</v>
      </c>
      <c r="R76" s="62">
        <v>1.8977141203703701E-3</v>
      </c>
      <c r="S76" s="62">
        <v>4.6657986111111113E-4</v>
      </c>
      <c r="T76" s="62">
        <v>7.3683449074074081E-4</v>
      </c>
      <c r="U76" s="62">
        <v>1.0013020833333334E-3</v>
      </c>
      <c r="V76" s="62">
        <v>8.3521412037037028E-4</v>
      </c>
      <c r="W76" s="62">
        <v>2.0776909722222225E-3</v>
      </c>
      <c r="X76" s="62">
        <v>1.8977141203703701E-3</v>
      </c>
    </row>
    <row r="77" spans="1:24" x14ac:dyDescent="0.45">
      <c r="A77" s="59" t="s">
        <v>234</v>
      </c>
      <c r="B77" s="59" t="s">
        <v>182</v>
      </c>
      <c r="C77" s="59">
        <v>17</v>
      </c>
      <c r="D77" s="59">
        <v>17</v>
      </c>
      <c r="E77" s="61">
        <v>45658</v>
      </c>
      <c r="F77" s="61">
        <v>46023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4.8119212962962965E-4</v>
      </c>
      <c r="N77" s="62">
        <v>7.5795717592592592E-4</v>
      </c>
      <c r="O77" s="62">
        <v>1.0416666666666667E-3</v>
      </c>
      <c r="P77" s="62">
        <v>8.6733217592592591E-4</v>
      </c>
      <c r="Q77" s="62">
        <v>2.1445312499999997E-3</v>
      </c>
      <c r="R77" s="62">
        <v>1.9555844907407404E-3</v>
      </c>
      <c r="S77" s="62">
        <v>4.8119212962962965E-4</v>
      </c>
      <c r="T77" s="62">
        <v>7.5795717592592592E-4</v>
      </c>
      <c r="U77" s="62">
        <v>1.0416666666666667E-3</v>
      </c>
      <c r="V77" s="62">
        <v>8.6733217592592591E-4</v>
      </c>
      <c r="W77" s="62">
        <v>2.1445312499999997E-3</v>
      </c>
      <c r="X77" s="62">
        <v>1.9555844907407404E-3</v>
      </c>
    </row>
    <row r="78" spans="1:24" x14ac:dyDescent="0.45">
      <c r="A78" s="59" t="s">
        <v>234</v>
      </c>
      <c r="B78" s="59" t="s">
        <v>182</v>
      </c>
      <c r="C78" s="59">
        <v>14</v>
      </c>
      <c r="D78" s="59">
        <v>16</v>
      </c>
      <c r="E78" s="61">
        <v>45658</v>
      </c>
      <c r="F78" s="61">
        <v>46023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4.9103009259259249E-4</v>
      </c>
      <c r="N78" s="62">
        <v>7.7242476851851864E-4</v>
      </c>
      <c r="O78" s="62">
        <v>1.0600405092592593E-3</v>
      </c>
      <c r="P78" s="62">
        <v>8.8932291666666673E-4</v>
      </c>
      <c r="Q78" s="62">
        <v>2.1901041666666666E-3</v>
      </c>
      <c r="R78" s="62">
        <v>1.9950810185185184E-3</v>
      </c>
      <c r="S78" s="62">
        <v>4.9103009259259249E-4</v>
      </c>
      <c r="T78" s="62">
        <v>7.7242476851851864E-4</v>
      </c>
      <c r="U78" s="62">
        <v>1.0600405092592593E-3</v>
      </c>
      <c r="V78" s="62">
        <v>8.8932291666666673E-4</v>
      </c>
      <c r="W78" s="62">
        <v>2.1901041666666666E-3</v>
      </c>
      <c r="X78" s="62">
        <v>1.9950810185185184E-3</v>
      </c>
    </row>
    <row r="79" spans="1:24" x14ac:dyDescent="0.45">
      <c r="A79" s="59" t="s">
        <v>235</v>
      </c>
      <c r="B79" s="59" t="s">
        <v>164</v>
      </c>
      <c r="C79" s="59">
        <v>18</v>
      </c>
      <c r="D79" s="59">
        <v>18</v>
      </c>
      <c r="E79" s="61">
        <v>45658</v>
      </c>
      <c r="F79" s="61">
        <v>46023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5.6973379629629626E-4</v>
      </c>
      <c r="N79" s="62">
        <v>8.6226851851851861E-4</v>
      </c>
      <c r="O79" s="62">
        <v>1.168402777777778E-3</v>
      </c>
      <c r="P79" s="62">
        <v>9.5616319444444449E-4</v>
      </c>
      <c r="Q79" s="62">
        <v>2.2599826388888891E-3</v>
      </c>
      <c r="R79" s="62">
        <v>2.0474537037037037E-3</v>
      </c>
      <c r="S79" s="62">
        <v>5.6973379629629626E-4</v>
      </c>
      <c r="T79" s="62">
        <v>8.6226851851851861E-4</v>
      </c>
      <c r="U79" s="62">
        <v>1.168402777777778E-3</v>
      </c>
      <c r="V79" s="62">
        <v>9.5616319444444449E-4</v>
      </c>
      <c r="W79" s="62">
        <v>2.2599826388888891E-3</v>
      </c>
      <c r="X79" s="62">
        <v>2.0474537037037037E-3</v>
      </c>
    </row>
    <row r="80" spans="1:24" x14ac:dyDescent="0.45">
      <c r="A80" s="59" t="s">
        <v>235</v>
      </c>
      <c r="B80" s="59" t="s">
        <v>164</v>
      </c>
      <c r="C80" s="59">
        <v>17</v>
      </c>
      <c r="D80" s="59">
        <v>17</v>
      </c>
      <c r="E80" s="61">
        <v>45658</v>
      </c>
      <c r="F80" s="61">
        <v>46023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5.8376736111111108E-4</v>
      </c>
      <c r="N80" s="62">
        <v>8.7962962962962962E-4</v>
      </c>
      <c r="O80" s="62">
        <v>1.2115162037037038E-3</v>
      </c>
      <c r="P80" s="62">
        <v>9.774305555555556E-4</v>
      </c>
      <c r="Q80" s="62">
        <v>2.3107638888888891E-3</v>
      </c>
      <c r="R80" s="62">
        <v>2.0785590277777781E-3</v>
      </c>
      <c r="S80" s="62">
        <v>5.8376736111111108E-4</v>
      </c>
      <c r="T80" s="62">
        <v>8.7962962962962962E-4</v>
      </c>
      <c r="U80" s="62">
        <v>1.2115162037037038E-3</v>
      </c>
      <c r="V80" s="62">
        <v>9.774305555555556E-4</v>
      </c>
      <c r="W80" s="62">
        <v>2.3107638888888891E-3</v>
      </c>
      <c r="X80" s="62">
        <v>2.0785590277777781E-3</v>
      </c>
    </row>
    <row r="81" spans="1:24" x14ac:dyDescent="0.45">
      <c r="A81" s="59" t="s">
        <v>235</v>
      </c>
      <c r="B81" s="59" t="s">
        <v>164</v>
      </c>
      <c r="C81" s="59">
        <v>14</v>
      </c>
      <c r="D81" s="59">
        <v>16</v>
      </c>
      <c r="E81" s="61">
        <v>45658</v>
      </c>
      <c r="F81" s="61">
        <v>46023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5.9678819444444438E-4</v>
      </c>
      <c r="N81" s="62">
        <v>8.9554398148148154E-4</v>
      </c>
      <c r="O81" s="62">
        <v>1.2544849537037038E-3</v>
      </c>
      <c r="P81" s="62">
        <v>9.9710648148148163E-4</v>
      </c>
      <c r="Q81" s="62">
        <v>2.3614004629629631E-3</v>
      </c>
      <c r="R81" s="62">
        <v>2.1098090277777777E-3</v>
      </c>
      <c r="S81" s="62">
        <v>5.9678819444444438E-4</v>
      </c>
      <c r="T81" s="62">
        <v>8.9554398148148154E-4</v>
      </c>
      <c r="U81" s="62">
        <v>1.2544849537037038E-3</v>
      </c>
      <c r="V81" s="62">
        <v>9.9710648148148163E-4</v>
      </c>
      <c r="W81" s="62">
        <v>2.3614004629629631E-3</v>
      </c>
      <c r="X81" s="62">
        <v>2.1098090277777777E-3</v>
      </c>
    </row>
    <row r="82" spans="1:24" x14ac:dyDescent="0.45">
      <c r="A82" s="59" t="s">
        <v>260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4.5138888888888887E-4</v>
      </c>
      <c r="N82" s="62">
        <v>7.1469907407407409E-4</v>
      </c>
      <c r="O82" s="62">
        <v>9.6484374999999999E-4</v>
      </c>
      <c r="P82" s="62">
        <v>8.0164930555555545E-4</v>
      </c>
      <c r="Q82" s="62">
        <v>2.0078125E-3</v>
      </c>
      <c r="R82" s="62">
        <v>1.8372395833333331E-3</v>
      </c>
      <c r="S82" s="62">
        <v>4.5138888888888887E-4</v>
      </c>
      <c r="T82" s="62">
        <v>7.1469907407407409E-4</v>
      </c>
      <c r="U82" s="62">
        <v>9.6484374999999999E-4</v>
      </c>
      <c r="V82" s="62">
        <v>8.0164930555555545E-4</v>
      </c>
      <c r="W82" s="62">
        <v>2.0078125E-3</v>
      </c>
      <c r="X82" s="62">
        <v>1.8372395833333331E-3</v>
      </c>
    </row>
    <row r="83" spans="1:24" x14ac:dyDescent="0.45">
      <c r="A83" s="59" t="s">
        <v>260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4.3851273148148146E-4</v>
      </c>
      <c r="N83" s="62">
        <v>6.9574652777777777E-4</v>
      </c>
      <c r="O83" s="62">
        <v>9.3417245370370355E-4</v>
      </c>
      <c r="P83" s="62">
        <v>7.7358217592592583E-4</v>
      </c>
      <c r="Q83" s="62">
        <v>1.98828125E-3</v>
      </c>
      <c r="R83" s="62">
        <v>1.7857349537037039E-3</v>
      </c>
      <c r="S83" s="62">
        <v>4.3851273148148146E-4</v>
      </c>
      <c r="T83" s="62">
        <v>6.9574652777777777E-4</v>
      </c>
      <c r="U83" s="62">
        <v>9.3417245370370355E-4</v>
      </c>
      <c r="V83" s="62">
        <v>7.7358217592592583E-4</v>
      </c>
      <c r="W83" s="62">
        <v>1.98828125E-3</v>
      </c>
      <c r="X83" s="62">
        <v>1.7857349537037039E-3</v>
      </c>
    </row>
    <row r="84" spans="1:24" x14ac:dyDescent="0.45">
      <c r="A84" s="59" t="s">
        <v>260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4.2375578703703705E-4</v>
      </c>
      <c r="N84" s="62">
        <v>6.7418981481481475E-4</v>
      </c>
      <c r="O84" s="62">
        <v>8.9901620370370374E-4</v>
      </c>
      <c r="P84" s="62">
        <v>7.4146412037037041E-4</v>
      </c>
      <c r="Q84" s="62">
        <v>1.9278067129629632E-3</v>
      </c>
      <c r="R84" s="62">
        <v>1.7269965277777778E-3</v>
      </c>
      <c r="S84" s="62">
        <v>4.2375578703703705E-4</v>
      </c>
      <c r="T84" s="62">
        <v>6.7418981481481475E-4</v>
      </c>
      <c r="U84" s="62">
        <v>8.9901620370370374E-4</v>
      </c>
      <c r="V84" s="62">
        <v>7.4146412037037041E-4</v>
      </c>
      <c r="W84" s="62">
        <v>1.9278067129629632E-3</v>
      </c>
      <c r="X84" s="62">
        <v>1.7269965277777778E-3</v>
      </c>
    </row>
    <row r="85" spans="1:24" x14ac:dyDescent="0.45">
      <c r="A85" s="59" t="s">
        <v>261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5.5121527777777786E-4</v>
      </c>
      <c r="N85" s="62">
        <v>8.3955439814814819E-4</v>
      </c>
      <c r="O85" s="62">
        <v>1.1254340277777777E-3</v>
      </c>
      <c r="P85" s="62">
        <v>9.2824074074074065E-4</v>
      </c>
      <c r="Q85" s="62">
        <v>2.209201388888889E-3</v>
      </c>
      <c r="R85" s="62">
        <v>2.0162037037037041E-3</v>
      </c>
      <c r="S85" s="62">
        <v>5.5121527777777786E-4</v>
      </c>
      <c r="T85" s="62">
        <v>8.3955439814814819E-4</v>
      </c>
      <c r="U85" s="62">
        <v>1.1254340277777777E-3</v>
      </c>
      <c r="V85" s="62">
        <v>9.2824074074074065E-4</v>
      </c>
      <c r="W85" s="62">
        <v>2.209201388888889E-3</v>
      </c>
      <c r="X85" s="62">
        <v>2.0162037037037041E-3</v>
      </c>
    </row>
    <row r="86" spans="1:24" x14ac:dyDescent="0.45">
      <c r="A86" s="59" t="s">
        <v>261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5.2560763888888893E-4</v>
      </c>
      <c r="N86" s="62">
        <v>8.0743634259259256E-4</v>
      </c>
      <c r="O86" s="62">
        <v>1.0745081018518519E-3</v>
      </c>
      <c r="P86" s="62">
        <v>8.8917824074074073E-4</v>
      </c>
      <c r="Q86" s="62">
        <v>2.1468460648148145E-3</v>
      </c>
      <c r="R86" s="62">
        <v>1.9771412037037036E-3</v>
      </c>
      <c r="S86" s="62">
        <v>5.2560763888888893E-4</v>
      </c>
      <c r="T86" s="62">
        <v>8.0743634259259256E-4</v>
      </c>
      <c r="U86" s="62">
        <v>1.0745081018518519E-3</v>
      </c>
      <c r="V86" s="62">
        <v>8.8917824074074073E-4</v>
      </c>
      <c r="W86" s="62">
        <v>2.1468460648148145E-3</v>
      </c>
      <c r="X86" s="62">
        <v>1.9771412037037036E-3</v>
      </c>
    </row>
    <row r="87" spans="1:24" x14ac:dyDescent="0.45">
      <c r="A87" s="59" t="s">
        <v>261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5.0679976851851851E-4</v>
      </c>
      <c r="N87" s="62">
        <v>7.8399884259259265E-4</v>
      </c>
      <c r="O87" s="62">
        <v>1.0371817129629628E-3</v>
      </c>
      <c r="P87" s="62">
        <v>8.605324074074073E-4</v>
      </c>
      <c r="Q87" s="62">
        <v>2.1012731481481481E-3</v>
      </c>
      <c r="R87" s="62">
        <v>1.9486400462962964E-3</v>
      </c>
      <c r="S87" s="62">
        <v>5.0679976851851851E-4</v>
      </c>
      <c r="T87" s="62">
        <v>7.8399884259259265E-4</v>
      </c>
      <c r="U87" s="62">
        <v>1.0371817129629628E-3</v>
      </c>
      <c r="V87" s="62">
        <v>8.605324074074073E-4</v>
      </c>
      <c r="W87" s="62">
        <v>2.1012731481481481E-3</v>
      </c>
      <c r="X87" s="62">
        <v>1.9486400462962964E-3</v>
      </c>
    </row>
    <row r="88" spans="1:24" x14ac:dyDescent="0.45">
      <c r="A88" s="59" t="s">
        <v>236</v>
      </c>
      <c r="B88" s="59" t="s">
        <v>182</v>
      </c>
      <c r="C88" s="59">
        <v>18</v>
      </c>
      <c r="D88" s="59">
        <v>18</v>
      </c>
      <c r="E88" s="61">
        <v>45658</v>
      </c>
      <c r="F88" s="61">
        <v>46023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4.7591145833333334E-4</v>
      </c>
      <c r="N88" s="62">
        <v>7.5157118055555556E-4</v>
      </c>
      <c r="O88" s="62">
        <v>1.0213281250000001E-3</v>
      </c>
      <c r="P88" s="62">
        <v>8.5191840277777772E-4</v>
      </c>
      <c r="Q88" s="62">
        <v>2.1192447916666668E-3</v>
      </c>
      <c r="R88" s="62">
        <v>1.9356684027777775E-3</v>
      </c>
      <c r="S88" s="62">
        <v>4.7591145833333334E-4</v>
      </c>
      <c r="T88" s="62">
        <v>7.5157118055555556E-4</v>
      </c>
      <c r="U88" s="62">
        <v>1.0213281250000001E-3</v>
      </c>
      <c r="V88" s="62">
        <v>8.5191840277777772E-4</v>
      </c>
      <c r="W88" s="62">
        <v>2.1192447916666668E-3</v>
      </c>
      <c r="X88" s="62">
        <v>1.9356684027777775E-3</v>
      </c>
    </row>
    <row r="89" spans="1:24" x14ac:dyDescent="0.45">
      <c r="A89" s="59" t="s">
        <v>236</v>
      </c>
      <c r="B89" s="59" t="s">
        <v>182</v>
      </c>
      <c r="C89" s="59">
        <v>17</v>
      </c>
      <c r="D89" s="59">
        <v>17</v>
      </c>
      <c r="E89" s="61">
        <v>45658</v>
      </c>
      <c r="F89" s="61">
        <v>46023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4.9081597222222224E-4</v>
      </c>
      <c r="N89" s="62">
        <v>7.7311631944444444E-4</v>
      </c>
      <c r="O89" s="62">
        <v>1.0625000000000001E-3</v>
      </c>
      <c r="P89" s="62">
        <v>8.8467881944444444E-4</v>
      </c>
      <c r="Q89" s="62">
        <v>2.1874218749999997E-3</v>
      </c>
      <c r="R89" s="62">
        <v>1.9946961805555551E-3</v>
      </c>
      <c r="S89" s="62">
        <v>4.9081597222222224E-4</v>
      </c>
      <c r="T89" s="62">
        <v>7.7311631944444444E-4</v>
      </c>
      <c r="U89" s="62">
        <v>1.0625000000000001E-3</v>
      </c>
      <c r="V89" s="62">
        <v>8.8467881944444444E-4</v>
      </c>
      <c r="W89" s="62">
        <v>2.1874218749999997E-3</v>
      </c>
      <c r="X89" s="62">
        <v>1.9946961805555551E-3</v>
      </c>
    </row>
    <row r="90" spans="1:24" x14ac:dyDescent="0.45">
      <c r="A90" s="59" t="s">
        <v>236</v>
      </c>
      <c r="B90" s="59" t="s">
        <v>182</v>
      </c>
      <c r="C90" s="59">
        <v>14</v>
      </c>
      <c r="D90" s="59">
        <v>16</v>
      </c>
      <c r="E90" s="61">
        <v>45658</v>
      </c>
      <c r="F90" s="61">
        <v>46023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5.0085069444444439E-4</v>
      </c>
      <c r="N90" s="62">
        <v>7.8787326388888895E-4</v>
      </c>
      <c r="O90" s="62">
        <v>1.0812413194444444E-3</v>
      </c>
      <c r="P90" s="62">
        <v>9.0710937499999993E-4</v>
      </c>
      <c r="Q90" s="62">
        <v>2.2339062499999998E-3</v>
      </c>
      <c r="R90" s="62">
        <v>2.0349826388888887E-3</v>
      </c>
      <c r="S90" s="62">
        <v>5.0085069444444439E-4</v>
      </c>
      <c r="T90" s="62">
        <v>7.8787326388888895E-4</v>
      </c>
      <c r="U90" s="62">
        <v>1.0812413194444444E-3</v>
      </c>
      <c r="V90" s="62">
        <v>9.0710937499999993E-4</v>
      </c>
      <c r="W90" s="62">
        <v>2.2339062499999998E-3</v>
      </c>
      <c r="X90" s="62">
        <v>2.0349826388888887E-3</v>
      </c>
    </row>
    <row r="91" spans="1:24" x14ac:dyDescent="0.45">
      <c r="A91" s="59" t="s">
        <v>237</v>
      </c>
      <c r="B91" s="59" t="s">
        <v>164</v>
      </c>
      <c r="C91" s="59">
        <v>18</v>
      </c>
      <c r="D91" s="59">
        <v>18</v>
      </c>
      <c r="E91" s="61">
        <v>45658</v>
      </c>
      <c r="F91" s="61">
        <v>46023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5.8112847222222214E-4</v>
      </c>
      <c r="N91" s="62">
        <v>8.7951388888888888E-4</v>
      </c>
      <c r="O91" s="62">
        <v>1.1917708333333333E-3</v>
      </c>
      <c r="P91" s="62">
        <v>9.7528645833333332E-4</v>
      </c>
      <c r="Q91" s="62">
        <v>2.3051822916666663E-3</v>
      </c>
      <c r="R91" s="62">
        <v>2.0884027777777776E-3</v>
      </c>
      <c r="S91" s="62">
        <v>5.8112847222222214E-4</v>
      </c>
      <c r="T91" s="62">
        <v>8.7951388888888888E-4</v>
      </c>
      <c r="U91" s="62">
        <v>1.1917708333333333E-3</v>
      </c>
      <c r="V91" s="62">
        <v>9.7528645833333332E-4</v>
      </c>
      <c r="W91" s="62">
        <v>2.3051822916666663E-3</v>
      </c>
      <c r="X91" s="62">
        <v>2.0884027777777776E-3</v>
      </c>
    </row>
    <row r="92" spans="1:24" x14ac:dyDescent="0.45">
      <c r="A92" s="59" t="s">
        <v>237</v>
      </c>
      <c r="B92" s="59" t="s">
        <v>164</v>
      </c>
      <c r="C92" s="59">
        <v>17</v>
      </c>
      <c r="D92" s="59">
        <v>17</v>
      </c>
      <c r="E92" s="61">
        <v>45658</v>
      </c>
      <c r="F92" s="61">
        <v>46023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5.9544270833333324E-4</v>
      </c>
      <c r="N92" s="62">
        <v>8.9722222222222211E-4</v>
      </c>
      <c r="O92" s="62">
        <v>1.2357465277777777E-3</v>
      </c>
      <c r="P92" s="62">
        <v>9.9697916666666663E-4</v>
      </c>
      <c r="Q92" s="62">
        <v>2.3569791666666665E-3</v>
      </c>
      <c r="R92" s="62">
        <v>2.1201302083333337E-3</v>
      </c>
      <c r="S92" s="62">
        <v>5.9544270833333324E-4</v>
      </c>
      <c r="T92" s="62">
        <v>8.9722222222222211E-4</v>
      </c>
      <c r="U92" s="62">
        <v>1.2357465277777777E-3</v>
      </c>
      <c r="V92" s="62">
        <v>9.9697916666666663E-4</v>
      </c>
      <c r="W92" s="62">
        <v>2.3569791666666665E-3</v>
      </c>
      <c r="X92" s="62">
        <v>2.1201302083333337E-3</v>
      </c>
    </row>
    <row r="93" spans="1:24" x14ac:dyDescent="0.45">
      <c r="A93" s="59" t="s">
        <v>237</v>
      </c>
      <c r="B93" s="59" t="s">
        <v>164</v>
      </c>
      <c r="C93" s="59">
        <v>14</v>
      </c>
      <c r="D93" s="59">
        <v>16</v>
      </c>
      <c r="E93" s="61">
        <v>45658</v>
      </c>
      <c r="F93" s="61">
        <v>46023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6.087239583333333E-4</v>
      </c>
      <c r="N93" s="62">
        <v>9.1345486111111109E-4</v>
      </c>
      <c r="O93" s="62">
        <v>1.2795746527777779E-3</v>
      </c>
      <c r="P93" s="62">
        <v>1.0170486111111111E-3</v>
      </c>
      <c r="Q93" s="62">
        <v>2.4086284722222222E-3</v>
      </c>
      <c r="R93" s="62">
        <v>2.152005208333333E-3</v>
      </c>
      <c r="S93" s="62">
        <v>6.087239583333333E-4</v>
      </c>
      <c r="T93" s="62">
        <v>9.1345486111111109E-4</v>
      </c>
      <c r="U93" s="62">
        <v>1.2795746527777779E-3</v>
      </c>
      <c r="V93" s="62">
        <v>1.0170486111111111E-3</v>
      </c>
      <c r="W93" s="62">
        <v>2.4086284722222222E-3</v>
      </c>
      <c r="X93" s="62">
        <v>2.152005208333333E-3</v>
      </c>
    </row>
    <row r="94" spans="1:24" x14ac:dyDescent="0.45">
      <c r="A94" s="59" t="s">
        <v>262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v>4.6041666666666659E-4</v>
      </c>
      <c r="T94" s="62">
        <v>7.2899305555555554E-4</v>
      </c>
      <c r="U94" s="62">
        <v>9.8414062499999999E-4</v>
      </c>
      <c r="V94" s="62">
        <v>8.1768229166666654E-4</v>
      </c>
      <c r="W94" s="62">
        <v>2.0479687499999999E-3</v>
      </c>
      <c r="X94" s="62">
        <v>1.8739843749999998E-3</v>
      </c>
    </row>
    <row r="95" spans="1:24" x14ac:dyDescent="0.45">
      <c r="A95" s="59" t="s">
        <v>262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4.4728298611111108E-4</v>
      </c>
      <c r="N95" s="62">
        <v>7.096614583333333E-4</v>
      </c>
      <c r="O95" s="62">
        <v>9.5285590277777762E-4</v>
      </c>
      <c r="P95" s="62">
        <v>7.8905381944444433E-4</v>
      </c>
      <c r="Q95" s="62">
        <v>2.0280468749999999E-3</v>
      </c>
      <c r="R95" s="62">
        <v>1.8214496527777777E-3</v>
      </c>
      <c r="S95" s="62">
        <v>4.4728298611111108E-4</v>
      </c>
      <c r="T95" s="62">
        <v>7.096614583333333E-4</v>
      </c>
      <c r="U95" s="62">
        <v>9.5285590277777762E-4</v>
      </c>
      <c r="V95" s="62">
        <v>7.8905381944444433E-4</v>
      </c>
      <c r="W95" s="62">
        <v>2.0280468749999999E-3</v>
      </c>
      <c r="X95" s="62">
        <v>1.8214496527777777E-3</v>
      </c>
    </row>
    <row r="96" spans="1:24" x14ac:dyDescent="0.45">
      <c r="A96" s="59" t="s">
        <v>262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4.3223090277777775E-4</v>
      </c>
      <c r="N96" s="62">
        <v>6.8767361111111102E-4</v>
      </c>
      <c r="O96" s="62">
        <v>9.1699652777777764E-4</v>
      </c>
      <c r="P96" s="62">
        <v>7.5629340277777771E-4</v>
      </c>
      <c r="Q96" s="62">
        <v>1.9663628472222222E-3</v>
      </c>
      <c r="R96" s="62">
        <v>1.7615364583333333E-3</v>
      </c>
      <c r="S96" s="62">
        <v>4.3223090277777775E-4</v>
      </c>
      <c r="T96" s="62">
        <v>6.8767361111111102E-4</v>
      </c>
      <c r="U96" s="62">
        <v>9.1699652777777764E-4</v>
      </c>
      <c r="V96" s="62">
        <v>7.5629340277777771E-4</v>
      </c>
      <c r="W96" s="62">
        <v>1.9663628472222222E-3</v>
      </c>
      <c r="X96" s="62">
        <v>1.7615364583333333E-3</v>
      </c>
    </row>
    <row r="97" spans="1:24" x14ac:dyDescent="0.45">
      <c r="A97" s="59" t="s">
        <v>263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v>5.6223958333333332E-4</v>
      </c>
      <c r="T97" s="62">
        <v>8.5634548611111111E-4</v>
      </c>
      <c r="U97" s="62">
        <v>1.1479427083333331E-3</v>
      </c>
      <c r="V97" s="62">
        <v>9.4680555555555544E-4</v>
      </c>
      <c r="W97" s="62">
        <v>2.2533854166666666E-3</v>
      </c>
      <c r="X97" s="62">
        <v>2.0565277777777778E-3</v>
      </c>
    </row>
    <row r="98" spans="1:24" x14ac:dyDescent="0.45">
      <c r="A98" s="59" t="s">
        <v>263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5.3611979166666662E-4</v>
      </c>
      <c r="N98" s="62">
        <v>8.2358506944444439E-4</v>
      </c>
      <c r="O98" s="62">
        <v>1.0959982638888888E-3</v>
      </c>
      <c r="P98" s="62">
        <v>9.0696180555555549E-4</v>
      </c>
      <c r="Q98" s="62">
        <v>2.1897829861111107E-3</v>
      </c>
      <c r="R98" s="62">
        <v>2.0166840277777774E-3</v>
      </c>
      <c r="S98" s="62">
        <v>5.3611979166666662E-4</v>
      </c>
      <c r="T98" s="62">
        <v>8.2358506944444439E-4</v>
      </c>
      <c r="U98" s="62">
        <v>1.0959982638888888E-3</v>
      </c>
      <c r="V98" s="62">
        <v>9.0696180555555549E-4</v>
      </c>
      <c r="W98" s="62">
        <v>2.1897829861111107E-3</v>
      </c>
      <c r="X98" s="62">
        <v>2.0166840277777774E-3</v>
      </c>
    </row>
    <row r="99" spans="1:24" x14ac:dyDescent="0.45">
      <c r="A99" s="59" t="s">
        <v>263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5.1693576388888883E-4</v>
      </c>
      <c r="N99" s="62">
        <v>7.9967881944444444E-4</v>
      </c>
      <c r="O99" s="62">
        <v>1.057925347222222E-3</v>
      </c>
      <c r="P99" s="62">
        <v>8.7774305555555544E-4</v>
      </c>
      <c r="Q99" s="62">
        <v>2.143298611111111E-3</v>
      </c>
      <c r="R99" s="62">
        <v>1.9876128472222222E-3</v>
      </c>
      <c r="S99" s="62">
        <v>5.1693576388888883E-4</v>
      </c>
      <c r="T99" s="62">
        <v>7.9967881944444444E-4</v>
      </c>
      <c r="U99" s="62">
        <v>1.057925347222222E-3</v>
      </c>
      <c r="V99" s="62">
        <v>8.7774305555555544E-4</v>
      </c>
      <c r="W99" s="62">
        <v>2.143298611111111E-3</v>
      </c>
      <c r="X99" s="62">
        <v>1.9876128472222222E-3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>
    <tabColor theme="3"/>
  </sheetPr>
  <dimension ref="A1:H10"/>
  <sheetViews>
    <sheetView tabSelected="1" workbookViewId="0">
      <selection activeCell="D11" sqref="D11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271</v>
      </c>
      <c r="B1" t="s">
        <v>272</v>
      </c>
      <c r="C1" t="s">
        <v>273</v>
      </c>
      <c r="D1" t="s">
        <v>274</v>
      </c>
      <c r="E1" t="s">
        <v>275</v>
      </c>
      <c r="F1" t="s">
        <v>281</v>
      </c>
      <c r="G1" t="s">
        <v>277</v>
      </c>
      <c r="H1" t="s">
        <v>276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278</v>
      </c>
      <c r="F2" s="72" t="s">
        <v>282</v>
      </c>
      <c r="G2" t="s">
        <v>279</v>
      </c>
      <c r="H2" t="s">
        <v>280</v>
      </c>
    </row>
    <row r="3" spans="1:8" x14ac:dyDescent="0.45">
      <c r="A3" s="70">
        <v>46075</v>
      </c>
      <c r="C3" s="71">
        <v>0.47916666666666669</v>
      </c>
      <c r="D3" s="71">
        <v>0.65625</v>
      </c>
      <c r="E3" s="72" t="s">
        <v>283</v>
      </c>
      <c r="F3" s="72" t="s">
        <v>284</v>
      </c>
      <c r="G3" t="s">
        <v>279</v>
      </c>
      <c r="H3" t="s">
        <v>285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278</v>
      </c>
      <c r="F4" s="72" t="s">
        <v>282</v>
      </c>
      <c r="G4" t="s">
        <v>279</v>
      </c>
      <c r="H4" t="s">
        <v>280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283</v>
      </c>
      <c r="F5" s="72" t="s">
        <v>286</v>
      </c>
      <c r="G5" t="s">
        <v>279</v>
      </c>
      <c r="H5" t="s">
        <v>285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283</v>
      </c>
      <c r="F6" s="72" t="s">
        <v>287</v>
      </c>
      <c r="G6" t="s">
        <v>288</v>
      </c>
      <c r="H6" t="s">
        <v>285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278</v>
      </c>
      <c r="F7" s="72" t="s">
        <v>289</v>
      </c>
      <c r="G7" t="s">
        <v>279</v>
      </c>
      <c r="H7" t="s">
        <v>280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290</v>
      </c>
      <c r="F8" s="72" t="s">
        <v>291</v>
      </c>
      <c r="G8" t="s">
        <v>292</v>
      </c>
      <c r="H8" t="s">
        <v>285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293</v>
      </c>
      <c r="F9" s="72" t="s">
        <v>294</v>
      </c>
      <c r="G9" t="s">
        <v>295</v>
      </c>
      <c r="H9" t="s">
        <v>296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297</v>
      </c>
      <c r="F10" s="72" t="s">
        <v>298</v>
      </c>
      <c r="G10" t="s">
        <v>299</v>
      </c>
      <c r="H10" t="s">
        <v>300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workbookViewId="0">
      <selection activeCell="AA14" sqref="AA14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264</v>
      </c>
      <c r="S4" s="69" t="s">
        <v>265</v>
      </c>
      <c r="T4" s="69" t="s">
        <v>266</v>
      </c>
      <c r="W4" s="63" t="s">
        <v>222</v>
      </c>
      <c r="X4" s="69" t="s">
        <v>264</v>
      </c>
      <c r="Y4" s="69" t="s">
        <v>265</v>
      </c>
      <c r="Z4" s="69" t="s">
        <v>266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233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264</v>
      </c>
      <c r="S13" s="69" t="s">
        <v>265</v>
      </c>
      <c r="T13" s="69" t="s">
        <v>266</v>
      </c>
      <c r="W13" s="63" t="s">
        <v>222</v>
      </c>
      <c r="X13" s="69" t="s">
        <v>264</v>
      </c>
      <c r="Y13" s="69" t="s">
        <v>265</v>
      </c>
      <c r="Z13" s="69" t="s">
        <v>266</v>
      </c>
    </row>
    <row r="14" spans="2:27" x14ac:dyDescent="0.45">
      <c r="B14" s="64" t="s">
        <v>0</v>
      </c>
      <c r="C14" s="65">
        <f>C5*$F14</f>
        <v>4.6746064814814805E-4</v>
      </c>
      <c r="D14" s="65">
        <f t="shared" ref="D14:E14" si="0">D5*$F14</f>
        <v>4.5809490740740739E-4</v>
      </c>
      <c r="E14" s="65">
        <f t="shared" si="0"/>
        <v>4.4418402777777777E-4</v>
      </c>
      <c r="F14">
        <v>1.19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4.1166666666666663E-4</v>
      </c>
      <c r="S14" s="65">
        <f t="shared" si="2"/>
        <v>3.9992361111111104E-4</v>
      </c>
      <c r="T14" s="65">
        <f t="shared" si="2"/>
        <v>3.8646527777777773E-4</v>
      </c>
      <c r="U14">
        <v>1.1399999999999999</v>
      </c>
      <c r="W14" s="64" t="s">
        <v>0</v>
      </c>
      <c r="X14" s="65">
        <f>X5*$AA14</f>
        <v>5.3357638888888888E-4</v>
      </c>
      <c r="Y14" s="65">
        <f t="shared" ref="Y14:Z14" si="3">Y5*$AA14</f>
        <v>5.0878819444444441E-4</v>
      </c>
      <c r="Z14" s="65">
        <f t="shared" si="3"/>
        <v>4.9058217592592589E-4</v>
      </c>
      <c r="AA14">
        <v>1.21</v>
      </c>
    </row>
    <row r="15" spans="2:27" x14ac:dyDescent="0.45">
      <c r="B15" s="64" t="s">
        <v>223</v>
      </c>
      <c r="C15" s="65">
        <f t="shared" ref="C15:E15" si="4">C6*$F15</f>
        <v>1.0091585648148147E-3</v>
      </c>
      <c r="D15" s="65">
        <f t="shared" si="4"/>
        <v>9.9166666666666674E-4</v>
      </c>
      <c r="E15" s="65">
        <f t="shared" si="4"/>
        <v>9.532395833333335E-4</v>
      </c>
      <c r="F15">
        <v>1.19</v>
      </c>
      <c r="H15" s="64" t="s">
        <v>223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223</v>
      </c>
      <c r="R15" s="65">
        <f t="shared" si="2"/>
        <v>8.7993749999999997E-4</v>
      </c>
      <c r="S15" s="65">
        <f t="shared" si="2"/>
        <v>8.5196527777777766E-4</v>
      </c>
      <c r="T15" s="65">
        <f t="shared" si="2"/>
        <v>8.1990277777777769E-4</v>
      </c>
      <c r="U15">
        <v>1.1399999999999999</v>
      </c>
      <c r="W15" s="64" t="s">
        <v>223</v>
      </c>
      <c r="X15" s="65">
        <f t="shared" ref="X15:Z15" si="6">X6*$AA15</f>
        <v>1.0894201388888887E-3</v>
      </c>
      <c r="Y15" s="65">
        <f t="shared" si="6"/>
        <v>1.0401238425925925E-3</v>
      </c>
      <c r="Z15" s="65">
        <f t="shared" si="6"/>
        <v>1.0039918981481482E-3</v>
      </c>
      <c r="AA15">
        <v>1.21</v>
      </c>
    </row>
    <row r="16" spans="2:27" x14ac:dyDescent="0.45">
      <c r="B16" s="64" t="s">
        <v>224</v>
      </c>
      <c r="C16" s="65">
        <f t="shared" ref="C16:E16" si="7">C7*$F16</f>
        <v>7.3534837962962963E-4</v>
      </c>
      <c r="D16" s="65">
        <f t="shared" si="7"/>
        <v>7.2157523148148146E-4</v>
      </c>
      <c r="E16" s="65">
        <f t="shared" si="7"/>
        <v>7.0146643518518518E-4</v>
      </c>
      <c r="F16">
        <v>1.19</v>
      </c>
      <c r="H16" s="64" t="s">
        <v>224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224</v>
      </c>
      <c r="R16" s="65">
        <f t="shared" si="2"/>
        <v>6.5180555555555554E-4</v>
      </c>
      <c r="S16" s="65">
        <f t="shared" si="2"/>
        <v>6.3452083333333329E-4</v>
      </c>
      <c r="T16" s="65">
        <f t="shared" si="2"/>
        <v>6.1486111111111106E-4</v>
      </c>
      <c r="U16">
        <v>1.1399999999999999</v>
      </c>
      <c r="W16" s="64" t="s">
        <v>224</v>
      </c>
      <c r="X16" s="65">
        <f t="shared" ref="X16:Z16" si="9">X7*$AA16</f>
        <v>8.1268865740740748E-4</v>
      </c>
      <c r="Y16" s="65">
        <f>Y7*$AA16</f>
        <v>7.8159837962962959E-4</v>
      </c>
      <c r="Z16" s="65">
        <f t="shared" si="9"/>
        <v>7.5891087962962956E-4</v>
      </c>
      <c r="AA16">
        <v>1.21</v>
      </c>
    </row>
    <row r="17" spans="2:27" ht="14.25" customHeight="1" x14ac:dyDescent="0.45">
      <c r="B17" s="64" t="s">
        <v>225</v>
      </c>
      <c r="C17" s="65">
        <f t="shared" ref="C17:E17" si="10">C8*$F17</f>
        <v>8.4663541666666665E-4</v>
      </c>
      <c r="D17" s="65">
        <f t="shared" si="10"/>
        <v>8.2570023148148151E-4</v>
      </c>
      <c r="E17" s="65">
        <f t="shared" si="10"/>
        <v>7.951238425925925E-4</v>
      </c>
      <c r="F17">
        <v>1.19</v>
      </c>
      <c r="H17" s="64" t="s">
        <v>225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225</v>
      </c>
      <c r="R17" s="65">
        <f t="shared" si="2"/>
        <v>7.3110416666666647E-4</v>
      </c>
      <c r="S17" s="65">
        <f t="shared" si="2"/>
        <v>7.0550694444444437E-4</v>
      </c>
      <c r="T17" s="65">
        <f t="shared" si="2"/>
        <v>6.7621527777777775E-4</v>
      </c>
      <c r="U17">
        <v>1.1399999999999999</v>
      </c>
      <c r="W17" s="64" t="s">
        <v>225</v>
      </c>
      <c r="X17" s="65">
        <f t="shared" ref="X17:Z17" si="12">X8*$AA17</f>
        <v>8.9853703703703699E-4</v>
      </c>
      <c r="Y17" s="65">
        <f>Y8*$AA17</f>
        <v>8.6072453703703701E-4</v>
      </c>
      <c r="Z17" s="65">
        <f t="shared" si="12"/>
        <v>8.3299537037037033E-4</v>
      </c>
      <c r="AA17">
        <v>1.21</v>
      </c>
    </row>
    <row r="18" spans="2:27" x14ac:dyDescent="0.45">
      <c r="B18" s="64" t="s">
        <v>226</v>
      </c>
      <c r="C18" s="65">
        <f t="shared" ref="C18:E18" si="13">C9*$F18</f>
        <v>1.8993171296296297E-3</v>
      </c>
      <c r="D18" s="65">
        <f t="shared" si="13"/>
        <v>1.8617164351851848E-3</v>
      </c>
      <c r="E18" s="65">
        <f t="shared" si="13"/>
        <v>1.8066238425925923E-3</v>
      </c>
      <c r="F18">
        <v>1.19</v>
      </c>
      <c r="H18" s="64" t="s">
        <v>226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226</v>
      </c>
      <c r="R18" s="65">
        <f t="shared" si="2"/>
        <v>1.6755624999999998E-3</v>
      </c>
      <c r="S18" s="65">
        <f t="shared" si="2"/>
        <v>1.6285902777777778E-3</v>
      </c>
      <c r="T18" s="65">
        <f t="shared" si="2"/>
        <v>1.5750208333333332E-3</v>
      </c>
      <c r="U18">
        <v>1.1399999999999999</v>
      </c>
      <c r="W18" s="64" t="s">
        <v>226</v>
      </c>
      <c r="X18" s="65">
        <f t="shared" ref="X18:Z18" si="15">X9*$AA18</f>
        <v>1.9516851851851854E-3</v>
      </c>
      <c r="Y18" s="65">
        <f t="shared" si="15"/>
        <v>1.9138726851851851E-3</v>
      </c>
      <c r="Z18" s="65">
        <f t="shared" si="15"/>
        <v>1.8862835648148148E-3</v>
      </c>
      <c r="AA18">
        <v>1.21</v>
      </c>
    </row>
    <row r="19" spans="2:27" x14ac:dyDescent="0.45">
      <c r="B19" s="64" t="s">
        <v>4</v>
      </c>
      <c r="C19" s="65">
        <f t="shared" ref="C19:E19" si="16">C10*$F19</f>
        <v>2.0849791666666664E-3</v>
      </c>
      <c r="D19" s="65">
        <f t="shared" si="16"/>
        <v>2.04159375E-3</v>
      </c>
      <c r="E19" s="65">
        <f t="shared" si="16"/>
        <v>1.9779618055555557E-3</v>
      </c>
      <c r="F19">
        <v>1.19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1.8311249999999999E-3</v>
      </c>
      <c r="S19" s="65">
        <f t="shared" si="2"/>
        <v>1.8133124999999998E-3</v>
      </c>
      <c r="T19" s="65">
        <f t="shared" si="2"/>
        <v>1.7581597222222222E-3</v>
      </c>
      <c r="U19">
        <v>1.1399999999999999</v>
      </c>
      <c r="W19" s="64" t="s">
        <v>4</v>
      </c>
      <c r="X19" s="65">
        <f t="shared" ref="X19:Z19" si="18">X10*$AA19</f>
        <v>2.1385069444444442E-3</v>
      </c>
      <c r="Y19" s="65">
        <f t="shared" si="18"/>
        <v>2.0781469907407406E-3</v>
      </c>
      <c r="Z19" s="65">
        <f t="shared" si="18"/>
        <v>2.0340324074074076E-3</v>
      </c>
      <c r="AA19">
        <v>1.21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2026-01-30T00:38:00Z</dcterms:modified>
</cp:coreProperties>
</file>