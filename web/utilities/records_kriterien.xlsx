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5AC9E8C-E325-4C36-93C7-98F07D111E46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1" i="13" l="1"/>
  <c r="W111" i="13"/>
  <c r="V111" i="13"/>
  <c r="U111" i="13"/>
  <c r="T111" i="13"/>
  <c r="S111" i="13"/>
  <c r="X110" i="13"/>
  <c r="W110" i="13"/>
  <c r="V110" i="13"/>
  <c r="U110" i="13"/>
  <c r="T110" i="13"/>
  <c r="S110" i="13"/>
  <c r="X109" i="13"/>
  <c r="W109" i="13"/>
  <c r="V109" i="13"/>
  <c r="U109" i="13"/>
  <c r="T109" i="13"/>
  <c r="S109" i="13"/>
  <c r="X108" i="13"/>
  <c r="W108" i="13"/>
  <c r="V108" i="13"/>
  <c r="U108" i="13"/>
  <c r="T108" i="13"/>
  <c r="S108" i="13"/>
  <c r="X107" i="13"/>
  <c r="W107" i="13"/>
  <c r="V107" i="13"/>
  <c r="U107" i="13"/>
  <c r="T107" i="13"/>
  <c r="S107" i="13"/>
  <c r="X106" i="13"/>
  <c r="W106" i="13"/>
  <c r="V106" i="13"/>
  <c r="U106" i="13"/>
  <c r="T106" i="13"/>
  <c r="S106" i="13"/>
  <c r="X99" i="13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<sst xmlns="http://schemas.openxmlformats.org/spreadsheetml/2006/main" count="1114" uniqueCount="275">
  <si>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</si>
  <si>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</si>
  <si>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</si>
  <si>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</si>
  <si>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</si>
  <si>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</si>
  <si>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</si>
  <si>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</si>
  <si>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</si>
  <si>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</si>
  <si>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</si>
  <si>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</si>
  <si>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</si>
  <si>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</si>
  <si>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</si>
  <si>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</si>
  <si>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</si>
  <si>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</si>
  <si>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</si>
  <si>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</si>
  <si>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</si>
  <si>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</si>
  <si>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</si>
  <si>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</si>
  <si>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</si>
  <si>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</si>
  <si>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</si>
  <si>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</si>
  <si>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</si>
  <si>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</si>
  <si>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</si>
  <si>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</si>
  <si>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</si>
  <si>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</si>
  <si>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</si>
  <si>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</si>
  <si>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</si>
  <si>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</si>
  <si>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</si>
  <si>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</si>
  <si>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</si>
  <si>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</si>
  <si>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</si>
  <si>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</si>
  <si>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</si>
  <si>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</si>
  <si>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</si>
  <si>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</si>
  <si>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</si>
  <si>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</si>
  <si>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</si>
  <si>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</si>
  <si>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</si>
  <si>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</si>
  <si>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</si>
  <si>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</si>
  <si>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</si>
  <si>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</si>
  <si>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</si>
  <si>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</si>
  <si>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</si>
  <si>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</si>
  <si>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</si>
  <si>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</si>
  <si>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</si>
  <si>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</si>
  <si>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</si>
  <si>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</si>
  <si>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</si>
  <si>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</si>
  <si>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</si>
  <si>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</si>
  <si>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</si>
  <si>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</si>
  <si>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</si>
  <si>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</si>
  <si>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</si>
  <si>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</si>
  <si>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</si>
  <si>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</si>
  <si>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</si>
  <si>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</si>
  <si>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</si>
  <si>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</si>
  <si>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</si>
  <si>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</si>
  <si>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</si>
  <si>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</si>
  <si>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</si>
  <si>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</si>
  <si>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</si>
  <si>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</si>
  <si>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</si>
  <si>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</si>
  <si>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</si>
  <si>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</si>
  <si>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</si>
  <si>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</si>
  <si>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</si>
  <si>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</si>
  <si>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</si>
  <si>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</si>
  <si>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</si>
  <si>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</si>
  <si>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</si>
  <si>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</si>
  <si>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</si>
  <si>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</si>
  <si>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</si>
  <si>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</si>
  <si>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</si>
  <si>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</si>
  <si>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</si>
  <si>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</si>
  <si>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</si>
  <si>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</si>
  <si>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</si>
  <si>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</si>
  <si>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</si>
  <si>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</si>
  <si>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</si>
  <si>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</si>
  <si>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</si>
  <si>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</si>
  <si>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</si>
  <si>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</si>
  <si>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</si>
  <si>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</si>
  <si>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</si>
  <si>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</si>
  <si>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</si>
  <si>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</si>
  <si>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</si>
  <si>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</si>
  <si>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</si>
  <si>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</si>
  <si>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</si>
  <si>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</si>
  <si>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</si>
  <si>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</si>
  <si>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</si>
  <si>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</si>
  <si>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</si>
  <si>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</si>
  <si>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</si>
  <si>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</si>
  <si>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</si>
  <si>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</si>
  <si>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</si>
  <si>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</si>
  <si>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</si>
  <si>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</si>
  <si>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</si>
  <si>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</si>
  <si>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</si>
  <si>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</si>
  <si>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</si>
  <si>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</si>
  <si>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</si>
  <si>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</si>
  <si>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</si>
  <si>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</si>
  <si>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</si>
  <si>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</si>
  <si>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</si>
  <si>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</si>
  <si>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</si>
  <si>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</si>
  <si>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</si>
  <si>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</si>
  <si>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</si>
  <si>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</si>
  <si>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</si>
  <si>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</si>
  <si>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</si>
  <si>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</si>
  <si>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</si>
  <si>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</si>
  <si>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</si>
  <si>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</si>
  <si>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</si>
  <si>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</si>
  <si>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</si>
  <si>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</si>
  <si>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</si>
  <si>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</si>
  <si>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</si>
  <si>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</si>
  <si>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</si>
  <si>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</si>
  <si>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</si>
  <si>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</si>
  <si>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</si>
  <si>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</si>
  <si>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</si>
  <si>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</si>
  <si>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</si>
  <si>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</si>
  <si>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</si>
  <si>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</si>
  <si>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</si>
  <si>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</si>
  <si>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</si>
  <si>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</si>
  <si>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</si>
  <si>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</si>
  <si>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</si>
  <si>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</si>
  <si>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</si>
  <si>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</si>
  <si>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</si>
  <si>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</si>
  <si>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</si>
  <si>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</si>
  <si>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</si>
  <si>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</si>
  <si>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</si>
  <si>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</si>
  <si>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</si>
  <si>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</si>
  <si>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</si>
  <si>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</si>
  <si>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</si>
  <si>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</si>
  <si>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</si>
  <si>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</si>
  <si>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</si>
  <si>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</si>
  <si>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</si>
  <si>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</si>
  <si>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</si>
  <si>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</si>
  <si>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</si>
  <si>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</si>
  <si>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</si>
  <si>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</si>
  <si>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</si>
  <si>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</si>
  <si>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</si>
  <si>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</si>
  <si>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</si>
  <si>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</si>
  <si>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</si>
  <si>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</si>
  <si>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</si>
  <si>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</si>
  <si>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</si>
  <si>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</si>
  <si>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</si>
  <si>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</si>
  <si>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</si>
  <si>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</si>
  <si>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</si>
  <si>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</si>
  <si>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</si>
  <si>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</si>
  <si>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</si>
  <si>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</si>
  <si>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</si>
  <si>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</si>
  <si>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</si>
  <si>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</si>
  <si>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</si>
  <si>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</si>
  <si>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</si>
  <si>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</si>
  <si>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</si>
  <si>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</si>
  <si>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</si>
  <si>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</si>
  <si>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</si>
  <si>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+14% Mäner (bis 10 nominiert)</t>
  </si>
  <si>
    <t>NK1 +19% Frauen (bis 10 nominiert)</t>
  </si>
  <si>
    <t>NK2 +24% Mäner  (bis 6 nominiert)</t>
  </si>
  <si>
    <t>NK2 +19% Frauen  (bis 6 nominiert)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</si>
</sst>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JRP!$M$2:$M$109</c:f>
              <c:numCache>
                <c:formatCode>m:ss.00</c:formatCode>
                <c:ptCount val="108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4.5409259259259258E-4</c:v>
                </c:pt>
                <c:pt idx="33">
                  <c:v>4.5911574074074073E-4</c:v>
                </c:pt>
                <c:pt idx="34">
                  <c:v>4.6356481481481476E-4</c:v>
                </c:pt>
                <c:pt idx="35">
                  <c:v>5.3908101851851849E-4</c:v>
                </c:pt>
                <c:pt idx="36">
                  <c:v>5.499618055555556E-4</c:v>
                </c:pt>
                <c:pt idx="37">
                  <c:v>5.6029166666666662E-4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4.152777777777777E-4</c:v>
                </c:pt>
                <c:pt idx="99">
                  <c:v>4.1155092592592589E-4</c:v>
                </c:pt>
                <c:pt idx="100">
                  <c:v>4.0023726851851852E-4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4.5409259259259258E-4</c:v>
                </c:pt>
                <c:pt idx="105">
                  <c:v>4.5911574074074073E-4</c:v>
                </c:pt>
                <c:pt idx="106">
                  <c:v>4.6356481481481476E-4</c:v>
                </c:pt>
                <c:pt idx="107">
                  <c:v>5.3908101851851849E-4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JRP!$N$2:$N$109</c:f>
              <c:numCache>
                <c:formatCode>m:ss.00</c:formatCode>
                <c:ptCount val="108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7.1831018518518511E-4</c:v>
                </c:pt>
                <c:pt idx="33">
                  <c:v>7.2534259259259264E-4</c:v>
                </c:pt>
                <c:pt idx="34">
                  <c:v>7.3194444444444446E-4</c:v>
                </c:pt>
                <c:pt idx="35">
                  <c:v>8.1123842592592586E-4</c:v>
                </c:pt>
                <c:pt idx="36">
                  <c:v>8.2046643518518525E-4</c:v>
                </c:pt>
                <c:pt idx="37">
                  <c:v>8.2900578703703706E-4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6.5752314814814807E-4</c:v>
                </c:pt>
                <c:pt idx="99">
                  <c:v>6.5219907407407403E-4</c:v>
                </c:pt>
                <c:pt idx="100">
                  <c:v>6.3556134259259251E-4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7.1831018518518511E-4</c:v>
                </c:pt>
                <c:pt idx="105">
                  <c:v>7.2534259259259264E-4</c:v>
                </c:pt>
                <c:pt idx="106">
                  <c:v>7.3194444444444446E-4</c:v>
                </c:pt>
                <c:pt idx="107">
                  <c:v>8.1123842592592586E-4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JRP!$O$2:$O$109</c:f>
              <c:numCache>
                <c:formatCode>m:ss.00</c:formatCode>
                <c:ptCount val="108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9.7578240740740731E-4</c:v>
                </c:pt>
                <c:pt idx="33">
                  <c:v>9.8999074074074072E-4</c:v>
                </c:pt>
                <c:pt idx="34">
                  <c:v>1.0031944444444446E-3</c:v>
                </c:pt>
                <c:pt idx="35">
                  <c:v>1.0971689814814813E-3</c:v>
                </c:pt>
                <c:pt idx="36">
                  <c:v>1.1168645833333334E-3</c:v>
                </c:pt>
                <c:pt idx="37">
                  <c:v>1.1350451388888888E-3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8.8765624999999988E-4</c:v>
                </c:pt>
                <c:pt idx="99">
                  <c:v>8.7714120370370365E-4</c:v>
                </c:pt>
                <c:pt idx="100">
                  <c:v>8.4439814814814805E-4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9.7578240740740731E-4</c:v>
                </c:pt>
                <c:pt idx="105">
                  <c:v>9.8999074074074072E-4</c:v>
                </c:pt>
                <c:pt idx="106">
                  <c:v>1.0031944444444446E-3</c:v>
                </c:pt>
                <c:pt idx="107">
                  <c:v>1.0971689814814813E-3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JRP!$P$2:$P$109</c:f>
              <c:numCache>
                <c:formatCode>m:ss.00</c:formatCode>
                <c:ptCount val="108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8.1834259259259262E-4</c:v>
                </c:pt>
                <c:pt idx="33">
                  <c:v>8.3599537037037041E-4</c:v>
                </c:pt>
                <c:pt idx="34">
                  <c:v>8.5221296296296304E-4</c:v>
                </c:pt>
                <c:pt idx="35">
                  <c:v>9.0103935185185176E-4</c:v>
                </c:pt>
                <c:pt idx="36">
                  <c:v>9.1426157407407396E-4</c:v>
                </c:pt>
                <c:pt idx="37">
                  <c:v>9.2638194444444452E-4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7.3751736111111099E-4</c:v>
                </c:pt>
                <c:pt idx="99">
                  <c:v>7.247395833333332E-4</c:v>
                </c:pt>
                <c:pt idx="100">
                  <c:v>6.853414351851851E-4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8.1834259259259262E-4</c:v>
                </c:pt>
                <c:pt idx="105">
                  <c:v>8.3599537037037041E-4</c:v>
                </c:pt>
                <c:pt idx="106">
                  <c:v>8.5221296296296304E-4</c:v>
                </c:pt>
                <c:pt idx="107">
                  <c:v>9.0103935185185176E-4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JRP!$Q$2:$Q$109</c:f>
              <c:numCache>
                <c:formatCode>m:ss.00</c:formatCode>
                <c:ptCount val="108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2.0231805555555554E-3</c:v>
                </c:pt>
                <c:pt idx="33">
                  <c:v>2.0471481481481478E-3</c:v>
                </c:pt>
                <c:pt idx="34">
                  <c:v>2.0693935185185186E-3</c:v>
                </c:pt>
                <c:pt idx="35">
                  <c:v>2.1238194444444442E-3</c:v>
                </c:pt>
                <c:pt idx="36">
                  <c:v>2.1395208333333331E-3</c:v>
                </c:pt>
                <c:pt idx="37">
                  <c:v>2.1541203703703705E-3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1.8471874999999999E-3</c:v>
                </c:pt>
                <c:pt idx="99">
                  <c:v>1.8292187499999999E-3</c:v>
                </c:pt>
                <c:pt idx="100">
                  <c:v>1.7735821759259258E-3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2.0231805555555554E-3</c:v>
                </c:pt>
                <c:pt idx="105">
                  <c:v>2.0471481481481478E-3</c:v>
                </c:pt>
                <c:pt idx="106">
                  <c:v>2.0693935185185186E-3</c:v>
                </c:pt>
                <c:pt idx="107">
                  <c:v>2.1238194444444442E-3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JRP!$R$2:$R$109</c:f>
              <c:numCache>
                <c:formatCode>m:ss.00</c:formatCode>
                <c:ptCount val="108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1.8511018518518516E-3</c:v>
                </c:pt>
                <c:pt idx="33">
                  <c:v>1.8729166666666666E-3</c:v>
                </c:pt>
                <c:pt idx="34">
                  <c:v>1.8930092592592594E-3</c:v>
                </c:pt>
                <c:pt idx="35">
                  <c:v>1.9290671296296295E-3</c:v>
                </c:pt>
                <c:pt idx="36">
                  <c:v>1.936366898148148E-3</c:v>
                </c:pt>
                <c:pt idx="37">
                  <c:v>1.9431157407407405E-3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1.6902604166666663E-3</c:v>
                </c:pt>
                <c:pt idx="99">
                  <c:v>1.6738888888888888E-3</c:v>
                </c:pt>
                <c:pt idx="100">
                  <c:v>1.6233101851851849E-3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1.8511018518518516E-3</c:v>
                </c:pt>
                <c:pt idx="105">
                  <c:v>1.8729166666666666E-3</c:v>
                </c:pt>
                <c:pt idx="106">
                  <c:v>1.8930092592592594E-3</c:v>
                </c:pt>
                <c:pt idx="107">
                  <c:v>1.9290671296296295E-3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JRP!$S$2:$S$109</c:f>
              <c:numCache>
                <c:formatCode>m:ss.00</c:formatCode>
                <c:ptCount val="108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4.5409259259259258E-4</c:v>
                </c:pt>
                <c:pt idx="33">
                  <c:v>4.5911574074074073E-4</c:v>
                </c:pt>
                <c:pt idx="34">
                  <c:v>4.6356481481481476E-4</c:v>
                </c:pt>
                <c:pt idx="35">
                  <c:v>5.3908101851851849E-4</c:v>
                </c:pt>
                <c:pt idx="36">
                  <c:v>5.499618055555556E-4</c:v>
                </c:pt>
                <c:pt idx="37">
                  <c:v>5.6029166666666662E-4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4.152777777777777E-4</c:v>
                </c:pt>
                <c:pt idx="99">
                  <c:v>4.1155092592592589E-4</c:v>
                </c:pt>
                <c:pt idx="100">
                  <c:v>4.0023726851851852E-4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4.5409259259259258E-4</c:v>
                </c:pt>
                <c:pt idx="105">
                  <c:v>4.5911574074074073E-4</c:v>
                </c:pt>
                <c:pt idx="106">
                  <c:v>4.6356481481481476E-4</c:v>
                </c:pt>
                <c:pt idx="107">
                  <c:v>5.3908101851851849E-4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JRP!$T$2:$T$109</c:f>
              <c:numCache>
                <c:formatCode>m:ss.00</c:formatCode>
                <c:ptCount val="108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7.1831018518518511E-4</c:v>
                </c:pt>
                <c:pt idx="33">
                  <c:v>7.2534259259259264E-4</c:v>
                </c:pt>
                <c:pt idx="34">
                  <c:v>7.3194444444444446E-4</c:v>
                </c:pt>
                <c:pt idx="35">
                  <c:v>8.1123842592592586E-4</c:v>
                </c:pt>
                <c:pt idx="36">
                  <c:v>8.2046643518518525E-4</c:v>
                </c:pt>
                <c:pt idx="37">
                  <c:v>8.2900578703703706E-4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6.5752314814814807E-4</c:v>
                </c:pt>
                <c:pt idx="99">
                  <c:v>6.5219907407407403E-4</c:v>
                </c:pt>
                <c:pt idx="100">
                  <c:v>6.3556134259259251E-4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7.1831018518518511E-4</c:v>
                </c:pt>
                <c:pt idx="105">
                  <c:v>7.2534259259259264E-4</c:v>
                </c:pt>
                <c:pt idx="106">
                  <c:v>7.3194444444444446E-4</c:v>
                </c:pt>
                <c:pt idx="107">
                  <c:v>8.1123842592592586E-4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JRP!$U$2:$U$109</c:f>
              <c:numCache>
                <c:formatCode>m:ss.00</c:formatCode>
                <c:ptCount val="108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9.7578240740740731E-4</c:v>
                </c:pt>
                <c:pt idx="33">
                  <c:v>9.8999074074074072E-4</c:v>
                </c:pt>
                <c:pt idx="34">
                  <c:v>1.0031944444444446E-3</c:v>
                </c:pt>
                <c:pt idx="35">
                  <c:v>1.0971689814814813E-3</c:v>
                </c:pt>
                <c:pt idx="36">
                  <c:v>1.1168645833333334E-3</c:v>
                </c:pt>
                <c:pt idx="37">
                  <c:v>1.1350451388888888E-3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8.8765624999999988E-4</c:v>
                </c:pt>
                <c:pt idx="99">
                  <c:v>8.7714120370370365E-4</c:v>
                </c:pt>
                <c:pt idx="100">
                  <c:v>8.4439814814814805E-4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9.7578240740740731E-4</c:v>
                </c:pt>
                <c:pt idx="105">
                  <c:v>9.8999074074074072E-4</c:v>
                </c:pt>
                <c:pt idx="106">
                  <c:v>1.0031944444444446E-3</c:v>
                </c:pt>
                <c:pt idx="107">
                  <c:v>1.0971689814814813E-3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JRP!$V$2:$V$109</c:f>
              <c:numCache>
                <c:formatCode>m:ss.00</c:formatCode>
                <c:ptCount val="108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8.1834259259259262E-4</c:v>
                </c:pt>
                <c:pt idx="33">
                  <c:v>8.3599537037037041E-4</c:v>
                </c:pt>
                <c:pt idx="34">
                  <c:v>8.5221296296296304E-4</c:v>
                </c:pt>
                <c:pt idx="35">
                  <c:v>9.0103935185185176E-4</c:v>
                </c:pt>
                <c:pt idx="36">
                  <c:v>9.1426157407407396E-4</c:v>
                </c:pt>
                <c:pt idx="37">
                  <c:v>9.2638194444444452E-4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7.3751736111111099E-4</c:v>
                </c:pt>
                <c:pt idx="99">
                  <c:v>7.247395833333332E-4</c:v>
                </c:pt>
                <c:pt idx="100">
                  <c:v>6.853414351851851E-4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8.1834259259259262E-4</c:v>
                </c:pt>
                <c:pt idx="105">
                  <c:v>8.3599537037037041E-4</c:v>
                </c:pt>
                <c:pt idx="106">
                  <c:v>8.5221296296296304E-4</c:v>
                </c:pt>
                <c:pt idx="107">
                  <c:v>9.0103935185185176E-4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JRP!$W$2:$W$109</c:f>
              <c:numCache>
                <c:formatCode>m:ss.00</c:formatCode>
                <c:ptCount val="108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2.0231805555555554E-3</c:v>
                </c:pt>
                <c:pt idx="33">
                  <c:v>2.0471481481481478E-3</c:v>
                </c:pt>
                <c:pt idx="34">
                  <c:v>2.0693935185185186E-3</c:v>
                </c:pt>
                <c:pt idx="35">
                  <c:v>2.1238194444444442E-3</c:v>
                </c:pt>
                <c:pt idx="36">
                  <c:v>2.1395208333333331E-3</c:v>
                </c:pt>
                <c:pt idx="37">
                  <c:v>2.1541203703703705E-3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1.8471874999999999E-3</c:v>
                </c:pt>
                <c:pt idx="99">
                  <c:v>1.8292187499999999E-3</c:v>
                </c:pt>
                <c:pt idx="100">
                  <c:v>1.7735821759259258E-3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2.0231805555555554E-3</c:v>
                </c:pt>
                <c:pt idx="105">
                  <c:v>2.0471481481481478E-3</c:v>
                </c:pt>
                <c:pt idx="106">
                  <c:v>2.0693935185185186E-3</c:v>
                </c:pt>
                <c:pt idx="107">
                  <c:v>2.1238194444444442E-3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JRP!$X$2:$X$109</c:f>
              <c:numCache>
                <c:formatCode>m:ss.00</c:formatCode>
                <c:ptCount val="108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1.8511018518518516E-3</c:v>
                </c:pt>
                <c:pt idx="33">
                  <c:v>1.8729166666666666E-3</c:v>
                </c:pt>
                <c:pt idx="34">
                  <c:v>1.8930092592592594E-3</c:v>
                </c:pt>
                <c:pt idx="35">
                  <c:v>1.9290671296296295E-3</c:v>
                </c:pt>
                <c:pt idx="36">
                  <c:v>1.936366898148148E-3</c:v>
                </c:pt>
                <c:pt idx="37">
                  <c:v>1.9431157407407405E-3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1.6902604166666663E-3</c:v>
                </c:pt>
                <c:pt idx="99">
                  <c:v>1.6738888888888888E-3</c:v>
                </c:pt>
                <c:pt idx="100">
                  <c:v>1.6233101851851849E-3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1.8511018518518516E-3</c:v>
                </c:pt>
                <c:pt idx="105">
                  <c:v>1.8729166666666666E-3</c:v>
                </c:pt>
                <c:pt idx="106">
                  <c:v>1.8930092592592594E-3</c:v>
                </c:pt>
                <c:pt idx="107">
                  <c:v>1.9290671296296295E-3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1246837</xdr:colOff>
      <xdr:row>111</xdr:row>
      <xdr:rowOff>104978</xdr:rowOff>
    </xdr:from>
    <xdr:to>
      <xdr:col>26</xdr:col>
      <xdr:colOff>169627</xdr:colOff>
      <xdr:row>149</xdr:row>
      <xdr:rowOff>161377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1" totalsRowShown="0" headerRowDxfId="43" dataDxfId="42">
  <autoFilter ref="A1:X1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1"/>
  <sheetViews>
    <sheetView topLeftCell="A103" zoomScale="101" workbookViewId="0">
      <selection activeCell="A111" sqref="A111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14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14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NK!E14</f>
        <v>4.5409259259259258E-4</v>
      </c>
      <c r="N34" s="62">
        <f>NK!E16</f>
        <v>7.1831018518518511E-4</v>
      </c>
      <c r="O34" s="62">
        <f>NK!E15</f>
        <v>9.7578240740740731E-4</v>
      </c>
      <c r="P34" s="62">
        <f>NK!E17</f>
        <v>8.1834259259259262E-4</v>
      </c>
      <c r="Q34" s="62">
        <f>NK!E19</f>
        <v>2.0231805555555554E-3</v>
      </c>
      <c r="R34" s="62">
        <f>NK!E18</f>
        <v>1.8511018518518516E-3</v>
      </c>
      <c r="S34" s="62">
        <f>M34</f>
        <v>4.5409259259259258E-4</v>
      </c>
      <c r="T34" s="62">
        <f t="shared" ref="T34:T39" si="0">N34</f>
        <v>7.1831018518518511E-4</v>
      </c>
      <c r="U34" s="62">
        <f t="shared" ref="U34:U39" si="1">O34</f>
        <v>9.7578240740740731E-4</v>
      </c>
      <c r="V34" s="62">
        <f t="shared" ref="V34:V39" si="2">P34</f>
        <v>8.1834259259259262E-4</v>
      </c>
      <c r="W34" s="62">
        <f t="shared" ref="W34:W39" si="3">Q34</f>
        <v>2.0231805555555554E-3</v>
      </c>
      <c r="X34" s="62">
        <f t="shared" ref="X34:X39" si="4">R34</f>
        <v>1.8511018518518516E-3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NK!D14</f>
        <v>4.5911574074074073E-4</v>
      </c>
      <c r="N35" s="62">
        <f>NK!D16</f>
        <v>7.2534259259259264E-4</v>
      </c>
      <c r="O35" s="62">
        <f>NK!D15</f>
        <v>9.8999074074074072E-4</v>
      </c>
      <c r="P35" s="62">
        <f>NK!D17</f>
        <v>8.3599537037037041E-4</v>
      </c>
      <c r="Q35" s="62">
        <f>NK!D19</f>
        <v>2.0471481481481478E-3</v>
      </c>
      <c r="R35" s="62">
        <f>NK!D18</f>
        <v>1.8729166666666666E-3</v>
      </c>
      <c r="S35" s="62">
        <f t="shared" ref="S35:S39" si="5">M35</f>
        <v>4.5911574074074073E-4</v>
      </c>
      <c r="T35" s="62">
        <f t="shared" si="0"/>
        <v>7.2534259259259264E-4</v>
      </c>
      <c r="U35" s="62">
        <f t="shared" si="1"/>
        <v>9.8999074074074072E-4</v>
      </c>
      <c r="V35" s="62">
        <f t="shared" si="2"/>
        <v>8.3599537037037041E-4</v>
      </c>
      <c r="W35" s="62">
        <f t="shared" si="3"/>
        <v>2.0471481481481478E-3</v>
      </c>
      <c r="X35" s="62">
        <f t="shared" si="4"/>
        <v>1.8729166666666666E-3</v>
      </c>
    </row>
    <row r="36" spans="1:24" x14ac:dyDescent="0.45">
      <c r="A36" s="59" t="s">
        <v>239</v>
      </c>
      <c r="B36" s="59" t="s">
        <v>182</v>
      </c>
      <c r="C36" s="59">
        <v>14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NK!C14</f>
        <v>4.6356481481481476E-4</v>
      </c>
      <c r="N36" s="62">
        <f>NK!C16</f>
        <v>7.3194444444444446E-4</v>
      </c>
      <c r="O36" s="62">
        <f>NK!C15</f>
        <v>1.0031944444444446E-3</v>
      </c>
      <c r="P36" s="62">
        <f>NK!C17</f>
        <v>8.5221296296296304E-4</v>
      </c>
      <c r="Q36" s="62">
        <f>NK!C19</f>
        <v>2.0693935185185186E-3</v>
      </c>
      <c r="R36" s="62">
        <f>NK!C18</f>
        <v>1.8930092592592594E-3</v>
      </c>
      <c r="S36" s="62">
        <f t="shared" si="5"/>
        <v>4.6356481481481476E-4</v>
      </c>
      <c r="T36" s="62">
        <f t="shared" si="0"/>
        <v>7.3194444444444446E-4</v>
      </c>
      <c r="U36" s="62">
        <f t="shared" si="1"/>
        <v>1.0031944444444446E-3</v>
      </c>
      <c r="V36" s="62">
        <f t="shared" si="2"/>
        <v>8.5221296296296304E-4</v>
      </c>
      <c r="W36" s="62">
        <f t="shared" si="3"/>
        <v>2.0693935185185186E-3</v>
      </c>
      <c r="X36" s="62">
        <f t="shared" si="4"/>
        <v>1.8930092592592594E-3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NK!K14</f>
        <v>5.3908101851851849E-4</v>
      </c>
      <c r="N37" s="62">
        <f>NK!K16</f>
        <v>8.1123842592592586E-4</v>
      </c>
      <c r="O37" s="62">
        <f>NK!K15</f>
        <v>1.0971689814814813E-3</v>
      </c>
      <c r="P37" s="62">
        <f>NK!K17</f>
        <v>9.0103935185185176E-4</v>
      </c>
      <c r="Q37" s="62">
        <f>NK!K19</f>
        <v>2.1238194444444442E-3</v>
      </c>
      <c r="R37" s="62">
        <f>NK!K18</f>
        <v>1.9290671296296295E-3</v>
      </c>
      <c r="S37" s="62">
        <f t="shared" si="5"/>
        <v>5.3908101851851849E-4</v>
      </c>
      <c r="T37" s="62">
        <f t="shared" si="0"/>
        <v>8.1123842592592586E-4</v>
      </c>
      <c r="U37" s="62">
        <f t="shared" si="1"/>
        <v>1.0971689814814813E-3</v>
      </c>
      <c r="V37" s="62">
        <f t="shared" si="2"/>
        <v>9.0103935185185176E-4</v>
      </c>
      <c r="W37" s="62">
        <f t="shared" si="3"/>
        <v>2.1238194444444442E-3</v>
      </c>
      <c r="X37" s="62">
        <f t="shared" si="4"/>
        <v>1.9290671296296295E-3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NK!J14</f>
        <v>5.499618055555556E-4</v>
      </c>
      <c r="N38" s="62">
        <f>NK!J16</f>
        <v>8.2046643518518525E-4</v>
      </c>
      <c r="O38" s="62">
        <f>NK!J15</f>
        <v>1.1168645833333334E-3</v>
      </c>
      <c r="P38" s="62">
        <f>NK!J17</f>
        <v>9.1426157407407396E-4</v>
      </c>
      <c r="Q38" s="62">
        <f>NK!J19</f>
        <v>2.1395208333333331E-3</v>
      </c>
      <c r="R38" s="62">
        <f>NK!J18</f>
        <v>1.936366898148148E-3</v>
      </c>
      <c r="S38" s="62">
        <f t="shared" si="5"/>
        <v>5.499618055555556E-4</v>
      </c>
      <c r="T38" s="62">
        <f t="shared" si="0"/>
        <v>8.2046643518518525E-4</v>
      </c>
      <c r="U38" s="62">
        <f t="shared" si="1"/>
        <v>1.1168645833333334E-3</v>
      </c>
      <c r="V38" s="62">
        <f t="shared" si="2"/>
        <v>9.1426157407407396E-4</v>
      </c>
      <c r="W38" s="62">
        <f t="shared" si="3"/>
        <v>2.1395208333333331E-3</v>
      </c>
      <c r="X38" s="62">
        <f t="shared" si="4"/>
        <v>1.936366898148148E-3</v>
      </c>
    </row>
    <row r="39" spans="1:24" x14ac:dyDescent="0.45">
      <c r="A39" s="59" t="s">
        <v>240</v>
      </c>
      <c r="B39" s="59" t="s">
        <v>164</v>
      </c>
      <c r="C39" s="59">
        <v>14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NK!I14</f>
        <v>5.6029166666666662E-4</v>
      </c>
      <c r="N39" s="62">
        <f>NK!I16</f>
        <v>8.2900578703703706E-4</v>
      </c>
      <c r="O39" s="62">
        <f>NK!I15</f>
        <v>1.1350451388888888E-3</v>
      </c>
      <c r="P39" s="62">
        <f>NK!I17</f>
        <v>9.2638194444444452E-4</v>
      </c>
      <c r="Q39" s="62">
        <f>NK!I19</f>
        <v>2.1541203703703705E-3</v>
      </c>
      <c r="R39" s="62">
        <f>NK!I18</f>
        <v>1.9431157407407405E-3</v>
      </c>
      <c r="S39" s="62">
        <f t="shared" si="5"/>
        <v>5.6029166666666662E-4</v>
      </c>
      <c r="T39" s="62">
        <f t="shared" si="0"/>
        <v>8.2900578703703706E-4</v>
      </c>
      <c r="U39" s="62">
        <f t="shared" si="1"/>
        <v>1.1350451388888888E-3</v>
      </c>
      <c r="V39" s="62">
        <f t="shared" si="2"/>
        <v>9.2638194444444452E-4</v>
      </c>
      <c r="W39" s="62">
        <f t="shared" si="3"/>
        <v>2.1541203703703705E-3</v>
      </c>
      <c r="X39" s="62">
        <f t="shared" si="4"/>
        <v>1.9431157407407405E-3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14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14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11" si="7">N52</f>
        <v>6.2893518518518528E-4</v>
      </c>
      <c r="U52" s="62">
        <f t="shared" ref="U52:U111" si="8">O52</f>
        <v>8.490625000000001E-4</v>
      </c>
      <c r="V52" s="62">
        <f t="shared" ref="V52:V111" si="9">P52</f>
        <v>7.0545138888888882E-4</v>
      </c>
      <c r="W52" s="62">
        <f t="shared" ref="W52:W111" si="10">Q52</f>
        <v>1.7668750000000002E-3</v>
      </c>
      <c r="X52" s="62">
        <f t="shared" ref="X52:X111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40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40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40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40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40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40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40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40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NK!$R$14</f>
        <v>4.152777777777777E-4</v>
      </c>
      <c r="N100" s="62">
        <f>NK!$R$16</f>
        <v>6.5752314814814807E-4</v>
      </c>
      <c r="O100" s="62">
        <f>NK!$R$15</f>
        <v>8.8765624999999988E-4</v>
      </c>
      <c r="P100" s="62">
        <f>NK!$R$17</f>
        <v>7.3751736111111099E-4</v>
      </c>
      <c r="Q100" s="62">
        <f>NK!$R$19</f>
        <v>1.8471874999999999E-3</v>
      </c>
      <c r="R100" s="62">
        <f>NK!$R$18</f>
        <v>1.6902604166666663E-3</v>
      </c>
      <c r="S100" s="62">
        <f>M100</f>
        <v>4.152777777777777E-4</v>
      </c>
      <c r="T100" s="62">
        <f t="shared" si="7"/>
        <v>6.5752314814814807E-4</v>
      </c>
      <c r="U100" s="62">
        <f t="shared" si="8"/>
        <v>8.8765624999999988E-4</v>
      </c>
      <c r="V100" s="62">
        <f t="shared" si="9"/>
        <v>7.3751736111111099E-4</v>
      </c>
      <c r="W100" s="62">
        <f t="shared" si="10"/>
        <v>1.8471874999999999E-3</v>
      </c>
      <c r="X100" s="62">
        <f t="shared" si="11"/>
        <v>1.6902604166666663E-3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NK!$S$14</f>
        <v>4.1155092592592589E-4</v>
      </c>
      <c r="N101" s="62">
        <f>NK!$S$16</f>
        <v>6.5219907407407403E-4</v>
      </c>
      <c r="O101" s="62">
        <f>NK!$S$15</f>
        <v>8.7714120370370365E-4</v>
      </c>
      <c r="P101" s="62">
        <f>NK!$S$17</f>
        <v>7.247395833333332E-4</v>
      </c>
      <c r="Q101" s="62">
        <f>NK!$S$19</f>
        <v>1.8292187499999999E-3</v>
      </c>
      <c r="R101" s="62">
        <f>NK!$S$18</f>
        <v>1.6738888888888888E-3</v>
      </c>
      <c r="S101" s="62">
        <f t="shared" ref="S101:S105" si="12">M101</f>
        <v>4.1155092592592589E-4</v>
      </c>
      <c r="T101" s="62">
        <f t="shared" si="7"/>
        <v>6.5219907407407403E-4</v>
      </c>
      <c r="U101" s="62">
        <f t="shared" si="8"/>
        <v>8.7714120370370365E-4</v>
      </c>
      <c r="V101" s="62">
        <f t="shared" si="9"/>
        <v>7.247395833333332E-4</v>
      </c>
      <c r="W101" s="62">
        <f t="shared" si="10"/>
        <v>1.8292187499999999E-3</v>
      </c>
      <c r="X101" s="62">
        <f t="shared" si="11"/>
        <v>1.6738888888888888E-3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40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NK!$T$14</f>
        <v>4.0023726851851852E-4</v>
      </c>
      <c r="N102" s="62">
        <f>NK!$T$16</f>
        <v>6.3556134259259251E-4</v>
      </c>
      <c r="O102" s="62">
        <f>NK!$T$15</f>
        <v>8.4439814814814805E-4</v>
      </c>
      <c r="P102" s="62">
        <f>NK!$T$17</f>
        <v>6.853414351851851E-4</v>
      </c>
      <c r="Q102" s="62">
        <f>NK!$T$19</f>
        <v>1.7735821759259258E-3</v>
      </c>
      <c r="R102" s="62">
        <f>NK!$T$18</f>
        <v>1.6233101851851849E-3</v>
      </c>
      <c r="S102" s="62">
        <f t="shared" si="12"/>
        <v>4.0023726851851852E-4</v>
      </c>
      <c r="T102" s="62">
        <f t="shared" si="7"/>
        <v>6.3556134259259251E-4</v>
      </c>
      <c r="U102" s="62">
        <f t="shared" si="8"/>
        <v>8.4439814814814805E-4</v>
      </c>
      <c r="V102" s="62">
        <f t="shared" si="9"/>
        <v>6.853414351851851E-4</v>
      </c>
      <c r="W102" s="62">
        <f t="shared" si="10"/>
        <v>1.7735821759259258E-3</v>
      </c>
      <c r="X102" s="62">
        <f t="shared" si="11"/>
        <v>1.6233101851851849E-3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NK!$X$14</f>
        <v>5.2475694444444445E-4</v>
      </c>
      <c r="N103" s="62">
        <f>NK!$X$16</f>
        <v>7.9925578703703712E-4</v>
      </c>
      <c r="O103" s="62">
        <f>NK!$X$15</f>
        <v>1.0714131944444443E-3</v>
      </c>
      <c r="P103" s="62">
        <f>NK!$X$17</f>
        <v>8.8368518518518505E-4</v>
      </c>
      <c r="Q103" s="62">
        <f>NK!$X$19</f>
        <v>2.103159722222222E-3</v>
      </c>
      <c r="R103" s="62">
        <f>NK!$X$18</f>
        <v>1.9194259259259262E-3</v>
      </c>
      <c r="S103" s="62">
        <f t="shared" si="12"/>
        <v>5.2475694444444445E-4</v>
      </c>
      <c r="T103" s="62">
        <f t="shared" si="7"/>
        <v>7.9925578703703712E-4</v>
      </c>
      <c r="U103" s="62">
        <f t="shared" si="8"/>
        <v>1.0714131944444443E-3</v>
      </c>
      <c r="V103" s="62">
        <f t="shared" si="9"/>
        <v>8.8368518518518505E-4</v>
      </c>
      <c r="W103" s="62">
        <f t="shared" si="10"/>
        <v>2.103159722222222E-3</v>
      </c>
      <c r="X103" s="62">
        <f t="shared" si="11"/>
        <v>1.9194259259259262E-3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NK!$Y$14</f>
        <v>5.1621759259259253E-4</v>
      </c>
      <c r="N104" s="62">
        <f>NK!$Y$16</f>
        <v>7.9181828703703695E-4</v>
      </c>
      <c r="O104" s="62">
        <f>NK!$Y$15</f>
        <v>1.055849537037037E-3</v>
      </c>
      <c r="P104" s="62">
        <f>NK!$Y$17</f>
        <v>8.7307986111111104E-4</v>
      </c>
      <c r="Q104" s="62">
        <f>NK!$Y$19</f>
        <v>2.090212962962963E-3</v>
      </c>
      <c r="R104" s="62">
        <f>NK!$Y$18</f>
        <v>1.9133657407407409E-3</v>
      </c>
      <c r="S104" s="62">
        <f t="shared" si="12"/>
        <v>5.1621759259259253E-4</v>
      </c>
      <c r="T104" s="62">
        <f t="shared" si="7"/>
        <v>7.9181828703703695E-4</v>
      </c>
      <c r="U104" s="62">
        <f t="shared" si="8"/>
        <v>1.055849537037037E-3</v>
      </c>
      <c r="V104" s="62">
        <f t="shared" si="9"/>
        <v>8.7307986111111104E-4</v>
      </c>
      <c r="W104" s="62">
        <f t="shared" si="10"/>
        <v>2.090212962962963E-3</v>
      </c>
      <c r="X104" s="62">
        <f t="shared" si="11"/>
        <v>1.9133657407407409E-3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40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NK!$Z$14</f>
        <v>4.8977314814814814E-4</v>
      </c>
      <c r="N105" s="62">
        <f>NK!$Z$16</f>
        <v>7.688171296296296E-4</v>
      </c>
      <c r="O105" s="62">
        <f>NK!$Z$15</f>
        <v>1.0079189814814816E-3</v>
      </c>
      <c r="P105" s="62">
        <f>NK!$Z$17</f>
        <v>8.4043750000000004E-4</v>
      </c>
      <c r="Q105" s="62">
        <f>NK!$Z$19</f>
        <v>2.0501331018518516E-3</v>
      </c>
      <c r="R105" s="62">
        <f>NK!$Z$18</f>
        <v>1.8943587962962961E-3</v>
      </c>
      <c r="S105" s="62">
        <f t="shared" si="12"/>
        <v>4.8977314814814814E-4</v>
      </c>
      <c r="T105" s="62">
        <f t="shared" si="7"/>
        <v>7.688171296296296E-4</v>
      </c>
      <c r="U105" s="62">
        <f t="shared" si="8"/>
        <v>1.0079189814814816E-3</v>
      </c>
      <c r="V105" s="62">
        <f t="shared" si="9"/>
        <v>8.4043750000000004E-4</v>
      </c>
      <c r="W105" s="62">
        <f t="shared" si="10"/>
        <v>2.0501331018518516E-3</v>
      </c>
      <c r="X105" s="62">
        <f t="shared" si="11"/>
        <v>1.8943587962962961E-3</v>
      </c>
    </row>
    <row r="106" spans="1:24" x14ac:dyDescent="0.45">
      <c r="A106" s="59" t="s">
        <v>273</v>
      </c>
      <c r="B106" s="59" t="s">
        <v>182</v>
      </c>
      <c r="C106" s="59">
        <v>18</v>
      </c>
      <c r="D106" s="59">
        <v>18</v>
      </c>
      <c r="E106" s="61">
        <v>45658</v>
      </c>
      <c r="F106" s="61">
        <v>46174</v>
      </c>
      <c r="G106" s="61">
        <v>45658</v>
      </c>
      <c r="H106" s="59" t="s">
        <v>178</v>
      </c>
      <c r="I106" s="59" t="s">
        <v>180</v>
      </c>
      <c r="J106" s="59"/>
      <c r="K106" s="59"/>
      <c r="L106" s="59">
        <v>10</v>
      </c>
      <c r="M106" s="62">
        <v>4.5409259259259258E-4</v>
      </c>
      <c r="N106" s="62">
        <v>7.1831018518518511E-4</v>
      </c>
      <c r="O106" s="62">
        <v>9.7578240740740731E-4</v>
      </c>
      <c r="P106" s="62">
        <v>8.1834259259259262E-4</v>
      </c>
      <c r="Q106" s="62">
        <v>2.0231805555555554E-3</v>
      </c>
      <c r="R106" s="62">
        <v>1.8511018518518516E-3</v>
      </c>
      <c r="S106" s="62">
        <f t="shared" ref="S106:S111" si="13">M106</f>
        <v>4.5409259259259258E-4</v>
      </c>
      <c r="T106" s="62">
        <f t="shared" si="7"/>
        <v>7.1831018518518511E-4</v>
      </c>
      <c r="U106" s="62">
        <f t="shared" si="8"/>
        <v>9.7578240740740731E-4</v>
      </c>
      <c r="V106" s="62">
        <f t="shared" si="9"/>
        <v>8.1834259259259262E-4</v>
      </c>
      <c r="W106" s="62">
        <f t="shared" si="10"/>
        <v>2.0231805555555554E-3</v>
      </c>
      <c r="X106" s="62">
        <f t="shared" si="11"/>
        <v>1.8511018518518516E-3</v>
      </c>
    </row>
    <row r="107" spans="1:24" x14ac:dyDescent="0.45">
      <c r="A107" s="59" t="s">
        <v>273</v>
      </c>
      <c r="B107" s="59" t="s">
        <v>182</v>
      </c>
      <c r="C107" s="59">
        <v>17</v>
      </c>
      <c r="D107" s="59">
        <v>17</v>
      </c>
      <c r="E107" s="61">
        <v>45658</v>
      </c>
      <c r="F107" s="61">
        <v>46174</v>
      </c>
      <c r="G107" s="61">
        <v>45658</v>
      </c>
      <c r="H107" s="59" t="s">
        <v>178</v>
      </c>
      <c r="I107" s="59" t="s">
        <v>180</v>
      </c>
      <c r="J107" s="59"/>
      <c r="K107" s="59"/>
      <c r="L107" s="59">
        <v>10</v>
      </c>
      <c r="M107" s="62">
        <v>4.5911574074074073E-4</v>
      </c>
      <c r="N107" s="62">
        <v>7.2534259259259264E-4</v>
      </c>
      <c r="O107" s="62">
        <v>9.8999074074074072E-4</v>
      </c>
      <c r="P107" s="62">
        <v>8.3599537037037041E-4</v>
      </c>
      <c r="Q107" s="62">
        <v>2.0471481481481478E-3</v>
      </c>
      <c r="R107" s="62">
        <v>1.8729166666666666E-3</v>
      </c>
      <c r="S107" s="62">
        <f t="shared" si="13"/>
        <v>4.5911574074074073E-4</v>
      </c>
      <c r="T107" s="62">
        <f t="shared" si="7"/>
        <v>7.2534259259259264E-4</v>
      </c>
      <c r="U107" s="62">
        <f t="shared" si="8"/>
        <v>9.8999074074074072E-4</v>
      </c>
      <c r="V107" s="62">
        <f t="shared" si="9"/>
        <v>8.3599537037037041E-4</v>
      </c>
      <c r="W107" s="62">
        <f t="shared" si="10"/>
        <v>2.0471481481481478E-3</v>
      </c>
      <c r="X107" s="62">
        <f t="shared" si="11"/>
        <v>1.8729166666666666E-3</v>
      </c>
    </row>
    <row r="108" spans="1:24" x14ac:dyDescent="0.45">
      <c r="A108" s="59" t="s">
        <v>273</v>
      </c>
      <c r="B108" s="59" t="s">
        <v>182</v>
      </c>
      <c r="C108" s="59">
        <v>14</v>
      </c>
      <c r="D108" s="59">
        <v>16</v>
      </c>
      <c r="E108" s="61">
        <v>45658</v>
      </c>
      <c r="F108" s="61">
        <v>46174</v>
      </c>
      <c r="G108" s="61">
        <v>45658</v>
      </c>
      <c r="H108" s="59" t="s">
        <v>178</v>
      </c>
      <c r="I108" s="59" t="s">
        <v>180</v>
      </c>
      <c r="J108" s="59"/>
      <c r="K108" s="59"/>
      <c r="L108" s="59">
        <v>10</v>
      </c>
      <c r="M108" s="62">
        <v>4.6356481481481476E-4</v>
      </c>
      <c r="N108" s="62">
        <v>7.3194444444444446E-4</v>
      </c>
      <c r="O108" s="62">
        <v>1.0031944444444446E-3</v>
      </c>
      <c r="P108" s="62">
        <v>8.5221296296296304E-4</v>
      </c>
      <c r="Q108" s="62">
        <v>2.0693935185185186E-3</v>
      </c>
      <c r="R108" s="62">
        <v>1.8930092592592594E-3</v>
      </c>
      <c r="S108" s="62">
        <f t="shared" si="13"/>
        <v>4.6356481481481476E-4</v>
      </c>
      <c r="T108" s="62">
        <f t="shared" si="7"/>
        <v>7.3194444444444446E-4</v>
      </c>
      <c r="U108" s="62">
        <f t="shared" si="8"/>
        <v>1.0031944444444446E-3</v>
      </c>
      <c r="V108" s="62">
        <f t="shared" si="9"/>
        <v>8.5221296296296304E-4</v>
      </c>
      <c r="W108" s="62">
        <f t="shared" si="10"/>
        <v>2.0693935185185186E-3</v>
      </c>
      <c r="X108" s="62">
        <f t="shared" si="11"/>
        <v>1.8930092592592594E-3</v>
      </c>
    </row>
    <row r="109" spans="1:24" x14ac:dyDescent="0.45">
      <c r="A109" s="59" t="s">
        <v>274</v>
      </c>
      <c r="B109" s="59" t="s">
        <v>164</v>
      </c>
      <c r="C109" s="59">
        <v>18</v>
      </c>
      <c r="D109" s="59">
        <v>18</v>
      </c>
      <c r="E109" s="61">
        <v>45658</v>
      </c>
      <c r="F109" s="61">
        <v>46174</v>
      </c>
      <c r="G109" s="61">
        <v>45658</v>
      </c>
      <c r="H109" s="59" t="s">
        <v>178</v>
      </c>
      <c r="I109" s="59" t="s">
        <v>180</v>
      </c>
      <c r="J109" s="59"/>
      <c r="K109" s="59"/>
      <c r="L109" s="59">
        <v>10</v>
      </c>
      <c r="M109" s="62">
        <v>5.3908101851851849E-4</v>
      </c>
      <c r="N109" s="62">
        <v>8.1123842592592586E-4</v>
      </c>
      <c r="O109" s="62">
        <v>1.0971689814814813E-3</v>
      </c>
      <c r="P109" s="62">
        <v>9.0103935185185176E-4</v>
      </c>
      <c r="Q109" s="62">
        <v>2.1238194444444442E-3</v>
      </c>
      <c r="R109" s="62">
        <v>1.9290671296296295E-3</v>
      </c>
      <c r="S109" s="62">
        <f t="shared" si="13"/>
        <v>5.3908101851851849E-4</v>
      </c>
      <c r="T109" s="62">
        <f t="shared" si="7"/>
        <v>8.1123842592592586E-4</v>
      </c>
      <c r="U109" s="62">
        <f t="shared" si="8"/>
        <v>1.0971689814814813E-3</v>
      </c>
      <c r="V109" s="62">
        <f t="shared" si="9"/>
        <v>9.0103935185185176E-4</v>
      </c>
      <c r="W109" s="62">
        <f t="shared" si="10"/>
        <v>2.1238194444444442E-3</v>
      </c>
      <c r="X109" s="62">
        <f t="shared" si="11"/>
        <v>1.9290671296296295E-3</v>
      </c>
    </row>
    <row r="110" spans="1:24" x14ac:dyDescent="0.45">
      <c r="A110" s="59" t="s">
        <v>274</v>
      </c>
      <c r="B110" s="59" t="s">
        <v>164</v>
      </c>
      <c r="C110" s="59">
        <v>17</v>
      </c>
      <c r="D110" s="59">
        <v>17</v>
      </c>
      <c r="E110" s="61">
        <v>45658</v>
      </c>
      <c r="F110" s="61">
        <v>46174</v>
      </c>
      <c r="G110" s="61">
        <v>45658</v>
      </c>
      <c r="H110" s="59" t="s">
        <v>178</v>
      </c>
      <c r="I110" s="59" t="s">
        <v>180</v>
      </c>
      <c r="J110" s="59"/>
      <c r="K110" s="59"/>
      <c r="L110" s="59">
        <v>10</v>
      </c>
      <c r="M110" s="62">
        <v>5.499618055555556E-4</v>
      </c>
      <c r="N110" s="62">
        <v>8.2046643518518525E-4</v>
      </c>
      <c r="O110" s="62">
        <v>1.1168645833333334E-3</v>
      </c>
      <c r="P110" s="62">
        <v>9.1426157407407396E-4</v>
      </c>
      <c r="Q110" s="62">
        <v>2.1395208333333331E-3</v>
      </c>
      <c r="R110" s="62">
        <v>1.936366898148148E-3</v>
      </c>
      <c r="S110" s="62">
        <f t="shared" si="13"/>
        <v>5.499618055555556E-4</v>
      </c>
      <c r="T110" s="62">
        <f t="shared" si="7"/>
        <v>8.2046643518518525E-4</v>
      </c>
      <c r="U110" s="62">
        <f t="shared" si="8"/>
        <v>1.1168645833333334E-3</v>
      </c>
      <c r="V110" s="62">
        <f t="shared" si="9"/>
        <v>9.1426157407407396E-4</v>
      </c>
      <c r="W110" s="62">
        <f t="shared" si="10"/>
        <v>2.1395208333333331E-3</v>
      </c>
      <c r="X110" s="62">
        <f t="shared" si="11"/>
        <v>1.936366898148148E-3</v>
      </c>
    </row>
    <row r="111" spans="1:24" x14ac:dyDescent="0.45">
      <c r="A111" s="59" t="s">
        <v>274</v>
      </c>
      <c r="B111" s="59" t="s">
        <v>164</v>
      </c>
      <c r="C111" s="59">
        <v>14</v>
      </c>
      <c r="D111" s="59">
        <v>16</v>
      </c>
      <c r="E111" s="61">
        <v>45658</v>
      </c>
      <c r="F111" s="61">
        <v>46174</v>
      </c>
      <c r="G111" s="61">
        <v>45658</v>
      </c>
      <c r="H111" s="59" t="s">
        <v>178</v>
      </c>
      <c r="I111" s="59" t="s">
        <v>180</v>
      </c>
      <c r="J111" s="59"/>
      <c r="K111" s="59"/>
      <c r="L111" s="59">
        <v>10</v>
      </c>
      <c r="M111" s="62">
        <v>5.6029166666666662E-4</v>
      </c>
      <c r="N111" s="62">
        <v>8.2900578703703706E-4</v>
      </c>
      <c r="O111" s="62">
        <v>1.1350451388888888E-3</v>
      </c>
      <c r="P111" s="62">
        <v>9.2638194444444452E-4</v>
      </c>
      <c r="Q111" s="62">
        <v>2.1541203703703705E-3</v>
      </c>
      <c r="R111" s="62">
        <v>1.9431157407407405E-3</v>
      </c>
      <c r="S111" s="62">
        <f t="shared" si="13"/>
        <v>5.6029166666666662E-4</v>
      </c>
      <c r="T111" s="62">
        <f t="shared" si="7"/>
        <v>8.2900578703703706E-4</v>
      </c>
      <c r="U111" s="62">
        <f t="shared" si="8"/>
        <v>1.1350451388888888E-3</v>
      </c>
      <c r="V111" s="62">
        <f t="shared" si="9"/>
        <v>9.2638194444444452E-4</v>
      </c>
      <c r="W111" s="62">
        <f t="shared" si="10"/>
        <v>2.1541203703703705E-3</v>
      </c>
      <c r="X111" s="62">
        <f t="shared" si="11"/>
        <v>1.9431157407407405E-3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abSelected="1" workbookViewId="0">
      <selection activeCell="L14" sqref="L14:L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4.6356481481481476E-4</v>
      </c>
      <c r="D14" s="65">
        <f t="shared" ref="D14:E14" si="0">D5*$F14</f>
        <v>4.5911574074074073E-4</v>
      </c>
      <c r="E14" s="65">
        <f t="shared" si="0"/>
        <v>4.5409259259259258E-4</v>
      </c>
      <c r="F14">
        <v>1.24</v>
      </c>
      <c r="H14" s="64" t="s">
        <v>0</v>
      </c>
      <c r="I14" s="65">
        <f>I5*$L14</f>
        <v>5.6029166666666662E-4</v>
      </c>
      <c r="J14" s="65">
        <f t="shared" ref="J14:K14" si="1">J5*$L14</f>
        <v>5.499618055555556E-4</v>
      </c>
      <c r="K14" s="65">
        <f t="shared" si="1"/>
        <v>5.3908101851851849E-4</v>
      </c>
      <c r="L14">
        <v>1.19</v>
      </c>
      <c r="Q14" s="64" t="s">
        <v>0</v>
      </c>
      <c r="R14" s="65">
        <f t="shared" ref="R14:T19" si="2">R5*$U14</f>
        <v>4.152777777777777E-4</v>
      </c>
      <c r="S14" s="65">
        <f t="shared" si="2"/>
        <v>4.1155092592592589E-4</v>
      </c>
      <c r="T14" s="65">
        <f t="shared" si="2"/>
        <v>4.0023726851851852E-4</v>
      </c>
      <c r="U14">
        <v>1.1499999999999999</v>
      </c>
      <c r="W14" s="64" t="s">
        <v>0</v>
      </c>
      <c r="X14" s="65">
        <f>X5*$AA14</f>
        <v>5.2475694444444445E-4</v>
      </c>
      <c r="Y14" s="65">
        <f t="shared" ref="Y14:Z14" si="3">Y5*$AA14</f>
        <v>5.1621759259259253E-4</v>
      </c>
      <c r="Z14" s="65">
        <f t="shared" si="3"/>
        <v>4.8977314814814814E-4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1.0031944444444446E-3</v>
      </c>
      <c r="D15" s="65">
        <f t="shared" si="4"/>
        <v>9.8999074074074072E-4</v>
      </c>
      <c r="E15" s="65">
        <f t="shared" si="4"/>
        <v>9.7578240740740731E-4</v>
      </c>
      <c r="F15">
        <v>1.24</v>
      </c>
      <c r="H15" s="64" t="s">
        <v>223</v>
      </c>
      <c r="I15" s="65">
        <f t="shared" ref="I15:K15" si="5">I6*$L15</f>
        <v>1.1350451388888888E-3</v>
      </c>
      <c r="J15" s="65">
        <f t="shared" si="5"/>
        <v>1.1168645833333334E-3</v>
      </c>
      <c r="K15" s="65">
        <f t="shared" si="5"/>
        <v>1.0971689814814813E-3</v>
      </c>
      <c r="L15">
        <v>1.19</v>
      </c>
      <c r="Q15" s="64" t="s">
        <v>223</v>
      </c>
      <c r="R15" s="65">
        <f t="shared" si="2"/>
        <v>8.8765624999999988E-4</v>
      </c>
      <c r="S15" s="65">
        <f t="shared" si="2"/>
        <v>8.7714120370370365E-4</v>
      </c>
      <c r="T15" s="65">
        <f t="shared" si="2"/>
        <v>8.4439814814814805E-4</v>
      </c>
      <c r="U15">
        <v>1.1499999999999999</v>
      </c>
      <c r="W15" s="64" t="s">
        <v>223</v>
      </c>
      <c r="X15" s="65">
        <f t="shared" ref="X15:Z15" si="6">X6*$AA15</f>
        <v>1.0714131944444443E-3</v>
      </c>
      <c r="Y15" s="65">
        <f t="shared" si="6"/>
        <v>1.055849537037037E-3</v>
      </c>
      <c r="Z15" s="65">
        <f t="shared" si="6"/>
        <v>1.0079189814814816E-3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7.3194444444444446E-4</v>
      </c>
      <c r="D16" s="65">
        <f t="shared" si="7"/>
        <v>7.2534259259259264E-4</v>
      </c>
      <c r="E16" s="65">
        <f t="shared" si="7"/>
        <v>7.1831018518518511E-4</v>
      </c>
      <c r="F16">
        <v>1.24</v>
      </c>
      <c r="H16" s="64" t="s">
        <v>224</v>
      </c>
      <c r="I16" s="65">
        <f t="shared" ref="I16:K16" si="8">I7*$L16</f>
        <v>8.2900578703703706E-4</v>
      </c>
      <c r="J16" s="65">
        <f t="shared" si="8"/>
        <v>8.2046643518518525E-4</v>
      </c>
      <c r="K16" s="65">
        <f t="shared" si="8"/>
        <v>8.1123842592592586E-4</v>
      </c>
      <c r="L16">
        <v>1.19</v>
      </c>
      <c r="Q16" s="64" t="s">
        <v>224</v>
      </c>
      <c r="R16" s="65">
        <f t="shared" si="2"/>
        <v>6.5752314814814807E-4</v>
      </c>
      <c r="S16" s="65">
        <f t="shared" si="2"/>
        <v>6.5219907407407403E-4</v>
      </c>
      <c r="T16" s="65">
        <f t="shared" si="2"/>
        <v>6.3556134259259251E-4</v>
      </c>
      <c r="U16">
        <v>1.1499999999999999</v>
      </c>
      <c r="W16" s="64" t="s">
        <v>224</v>
      </c>
      <c r="X16" s="65">
        <f t="shared" ref="X16:Z16" si="9">X7*$AA16</f>
        <v>7.9925578703703712E-4</v>
      </c>
      <c r="Y16" s="65">
        <f t="shared" si="9"/>
        <v>7.9181828703703695E-4</v>
      </c>
      <c r="Z16" s="65">
        <f t="shared" si="9"/>
        <v>7.688171296296296E-4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8.5221296296296304E-4</v>
      </c>
      <c r="D17" s="65">
        <f t="shared" si="10"/>
        <v>8.3599537037037041E-4</v>
      </c>
      <c r="E17" s="65">
        <f t="shared" si="10"/>
        <v>8.1834259259259262E-4</v>
      </c>
      <c r="F17">
        <v>1.24</v>
      </c>
      <c r="H17" s="64" t="s">
        <v>225</v>
      </c>
      <c r="I17" s="65">
        <f t="shared" ref="I17:K17" si="11">I8*$L17</f>
        <v>9.2638194444444452E-4</v>
      </c>
      <c r="J17" s="65">
        <f t="shared" si="11"/>
        <v>9.1426157407407396E-4</v>
      </c>
      <c r="K17" s="65">
        <f t="shared" si="11"/>
        <v>9.0103935185185176E-4</v>
      </c>
      <c r="L17">
        <v>1.19</v>
      </c>
      <c r="Q17" s="64" t="s">
        <v>225</v>
      </c>
      <c r="R17" s="65">
        <f t="shared" si="2"/>
        <v>7.3751736111111099E-4</v>
      </c>
      <c r="S17" s="65">
        <f t="shared" si="2"/>
        <v>7.247395833333332E-4</v>
      </c>
      <c r="T17" s="65">
        <f t="shared" si="2"/>
        <v>6.853414351851851E-4</v>
      </c>
      <c r="U17">
        <v>1.1499999999999999</v>
      </c>
      <c r="W17" s="64" t="s">
        <v>225</v>
      </c>
      <c r="X17" s="65">
        <f t="shared" ref="X17:Z17" si="12">X8*$AA17</f>
        <v>8.8368518518518505E-4</v>
      </c>
      <c r="Y17" s="65">
        <f t="shared" si="12"/>
        <v>8.7307986111111104E-4</v>
      </c>
      <c r="Z17" s="65">
        <f t="shared" si="12"/>
        <v>8.4043750000000004E-4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1.8930092592592594E-3</v>
      </c>
      <c r="D18" s="65">
        <f t="shared" si="13"/>
        <v>1.8729166666666666E-3</v>
      </c>
      <c r="E18" s="65">
        <f t="shared" si="13"/>
        <v>1.8511018518518516E-3</v>
      </c>
      <c r="F18">
        <v>1.24</v>
      </c>
      <c r="H18" s="64" t="s">
        <v>226</v>
      </c>
      <c r="I18" s="65">
        <f t="shared" ref="I18:K18" si="14">I9*$L18</f>
        <v>1.9431157407407405E-3</v>
      </c>
      <c r="J18" s="65">
        <f t="shared" si="14"/>
        <v>1.936366898148148E-3</v>
      </c>
      <c r="K18" s="65">
        <f t="shared" si="14"/>
        <v>1.9290671296296295E-3</v>
      </c>
      <c r="L18">
        <v>1.19</v>
      </c>
      <c r="Q18" s="64" t="s">
        <v>226</v>
      </c>
      <c r="R18" s="65">
        <f t="shared" si="2"/>
        <v>1.6902604166666663E-3</v>
      </c>
      <c r="S18" s="65">
        <f t="shared" si="2"/>
        <v>1.6738888888888888E-3</v>
      </c>
      <c r="T18" s="65">
        <f t="shared" si="2"/>
        <v>1.6233101851851849E-3</v>
      </c>
      <c r="U18">
        <v>1.1499999999999999</v>
      </c>
      <c r="W18" s="64" t="s">
        <v>226</v>
      </c>
      <c r="X18" s="65">
        <f t="shared" ref="X18:Z18" si="15">X9*$AA18</f>
        <v>1.9194259259259262E-3</v>
      </c>
      <c r="Y18" s="65">
        <f t="shared" si="15"/>
        <v>1.9133657407407409E-3</v>
      </c>
      <c r="Z18" s="65">
        <f t="shared" si="15"/>
        <v>1.8943587962962961E-3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2.0693935185185186E-3</v>
      </c>
      <c r="D19" s="65">
        <f t="shared" si="16"/>
        <v>2.0471481481481478E-3</v>
      </c>
      <c r="E19" s="65">
        <f t="shared" si="16"/>
        <v>2.0231805555555554E-3</v>
      </c>
      <c r="F19">
        <v>1.24</v>
      </c>
      <c r="H19" s="64" t="s">
        <v>4</v>
      </c>
      <c r="I19" s="65">
        <f t="shared" ref="I19:K19" si="17">I10*$L19</f>
        <v>2.1541203703703705E-3</v>
      </c>
      <c r="J19" s="65">
        <f t="shared" si="17"/>
        <v>2.1395208333333331E-3</v>
      </c>
      <c r="K19" s="65">
        <f t="shared" si="17"/>
        <v>2.1238194444444442E-3</v>
      </c>
      <c r="L19">
        <v>1.19</v>
      </c>
      <c r="Q19" s="64" t="s">
        <v>4</v>
      </c>
      <c r="R19" s="65">
        <f t="shared" si="2"/>
        <v>1.8471874999999999E-3</v>
      </c>
      <c r="S19" s="65">
        <f t="shared" si="2"/>
        <v>1.8292187499999999E-3</v>
      </c>
      <c r="T19" s="65">
        <f t="shared" si="2"/>
        <v>1.7735821759259258E-3</v>
      </c>
      <c r="U19">
        <v>1.1499999999999999</v>
      </c>
      <c r="W19" s="64" t="s">
        <v>4</v>
      </c>
      <c r="X19" s="65">
        <f t="shared" ref="X19:Z19" si="18">X10*$AA19</f>
        <v>2.103159722222222E-3</v>
      </c>
      <c r="Y19" s="65">
        <f t="shared" si="18"/>
        <v>2.090212962962963E-3</v>
      </c>
      <c r="Z19" s="65">
        <f t="shared" si="18"/>
        <v>2.0501331018518516E-3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2026-01-24T01:19:46Z</dcterms:modified>
</cp:coreProperties>
</file>