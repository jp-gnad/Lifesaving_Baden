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1F9E0A7-5753-489A-9E7E-64EB47C46DD5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E17" i="14"/>
  <c r="D17" i="14"/>
  <c r="C17" i="14"/>
  <c r="E16" i="14"/>
  <c r="N4" i="13" s="1"/>
  <c r="T4" i="13" s="1"/>
  <c r="D16" i="14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V8" i="13"/>
  <c r="Q7" i="13"/>
  <c r="W7" i="13" s="1"/>
  <c r="Q8" i="13"/>
  <c r="W8" i="13" s="1"/>
  <c r="P8" i="13"/>
  <c r="P9" i="13"/>
  <c r="V9" i="13" s="1"/>
  <c r="N6" i="13"/>
  <c r="T6" i="13" s="1"/>
  <c r="N5" i="13"/>
  <c r="T5" i="13" s="1"/>
  <c r="P6" i="13"/>
  <c r="V6" i="13" s="1"/>
  <c r="P5" i="13"/>
  <c r="V5" i="13" s="1"/>
  <c r="P4" i="13"/>
  <c r="V4" i="13" s="1"/>
  <c r="R6" i="13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<sst xmlns="http://schemas.openxmlformats.org/spreadsheetml/2006/main" count="670" uniqueCount="236">
  <si>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</si>
  <si>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</si>
  <si>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</si>
  <si>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</si>
  <si>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</si>
  <si>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</si>
  <si>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</si>
  <si>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</si>
  <si>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</si>
  <si>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</si>
  <si>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</si>
  <si>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</si>
  <si>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</si>
  <si>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</si>
  <si>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</si>
  <si>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</si>
  <si>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</si>
  <si>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</si>
  <si>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</si>
  <si>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</si>
  <si>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</si>
  <si>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</si>
  <si>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</si>
  <si>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</si>
  <si>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</si>
  <si>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</si>
  <si>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</si>
  <si>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</si>
  <si>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</si>
  <si>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</si>
  <si>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</si>
  <si>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</si>
  <si>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</si>
  <si>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</si>
  <si>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</si>
  <si>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</si>
  <si>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</si>
  <si>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</si>
  <si>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</si>
  <si>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</si>
  <si>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</si>
  <si>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</si>
  <si>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</si>
  <si>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</si>
  <si>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</si>
  <si>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</si>
  <si>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</si>
  <si>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</si>
  <si>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</si>
  <si>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</si>
  <si>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</si>
  <si>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</si>
  <si>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</si>
  <si>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</si>
  <si>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</si>
  <si>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</si>
  <si>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</si>
  <si>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</si>
  <si>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</si>
  <si>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</si>
  <si>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</si>
  <si>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</si>
  <si>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</si>
  <si>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</si>
  <si>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</si>
  <si>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</si>
  <si>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</si>
  <si>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</si>
  <si>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</si>
  <si>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</si>
  <si>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</si>
  <si>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</si>
  <si>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</si>
  <si>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</si>
  <si>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</si>
  <si>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</si>
  <si>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</si>
  <si>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</si>
  <si>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</si>
  <si>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</si>
  <si>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</si>
  <si>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</si>
  <si>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</si>
  <si>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</si>
  <si>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</si>
  <si>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</si>
  <si>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</si>
  <si>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</si>
  <si>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</si>
  <si>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</si>
  <si>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</si>
  <si>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</si>
  <si>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</si>
  <si>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</si>
  <si>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</si>
  <si>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</si>
  <si>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</si>
  <si>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</si>
  <si>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</si>
  <si>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</si>
  <si>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</si>
  <si>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</si>
  <si>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</si>
  <si>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</si>
  <si>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</si>
  <si>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</si>
  <si>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</si>
  <si>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</si>
  <si>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</si>
  <si>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</si>
  <si>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</si>
  <si>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</si>
  <si>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</si>
  <si>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</si>
  <si>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</si>
  <si>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</si>
  <si>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</si>
  <si>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</si>
  <si>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</si>
  <si>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</si>
  <si>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</si>
  <si>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</si>
  <si>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</si>
  <si>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</si>
  <si>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</si>
  <si>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</si>
  <si>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</si>
  <si>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</si>
  <si>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</si>
  <si>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</si>
  <si>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</si>
  <si>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</si>
  <si>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</si>
  <si>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</si>
  <si>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</si>
  <si>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</si>
  <si>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</si>
  <si>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</si>
  <si>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</si>
  <si>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</si>
  <si>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</si>
  <si>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</si>
  <si>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</si>
  <si>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</si>
  <si>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</si>
  <si>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</si>
  <si>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</si>
  <si>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</si>
  <si>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</si>
  <si>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</si>
  <si>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</si>
  <si>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</si>
  <si>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</si>
  <si>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</si>
  <si>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</si>
  <si>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</si>
  <si>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</si>
  <si>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</si>
  <si>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</si>
  <si>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</si>
  <si>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</si>
  <si>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</si>
  <si>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</si>
  <si>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</si>
  <si>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</si>
  <si>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</si>
  <si>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</si>
  <si>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</si>
  <si>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</si>
  <si>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</si>
  <si>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</si>
  <si>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</si>
  <si>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</si>
  <si>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</si>
  <si>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</si>
  <si>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</si>
  <si>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</si>
  <si>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</si>
  <si>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</si>
  <si>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</si>
  <si>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</si>
  <si>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</si>
  <si>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</si>
  <si>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</si>
  <si>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</si>
  <si>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</si>
  <si>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</si>
  <si>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</si>
  <si>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</si>
  <si>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</si>
  <si>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</si>
  <si>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</si>
  <si>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</si>
  <si>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</si>
  <si>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</si>
  <si>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</si>
  <si>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</si>
  <si>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</si>
  <si>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</si>
  <si>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</si>
  <si>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</si>
  <si>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</si>
  <si>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</si>
  <si>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</si>
  <si>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</si>
  <si>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</si>
  <si>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</si>
  <si>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</si>
  <si>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</si>
  <si>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</si>
  <si>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</si>
  <si>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</si>
  <si>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</si>
  <si>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</si>
  <si>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</si>
  <si>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</si>
  <si>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</si>
  <si>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</si>
  <si>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</si>
  <si>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</si>
  <si>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</si>
  <si>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</si>
  <si>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</si>
  <si>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</si>
  <si>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</si>
  <si>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</si>
  <si>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</si>
  <si>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</si>
  <si>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</si>
  <si>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</si>
  <si>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</si>
  <si>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</si>
  <si>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</si>
  <si>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(10-20%) ind</t>
  </si>
  <si>
    <t>NK2-W (10-20%) ind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</si>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</sst>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" totalsRowShown="0" headerRowDxfId="43" dataDxfId="42">
  <autoFilter ref="A1:X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1"/>
  <sheetViews>
    <sheetView tabSelected="1" workbookViewId="0">
      <selection activeCell="C11" sqref="C11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1.8763368055555554E-3</v>
      </c>
      <c r="R4" s="62">
        <f>Tabelle1!E18</f>
        <v>1.7167476851851849E-3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8.1805555555555548E-4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2.0345833333333331E-3</v>
      </c>
      <c r="R7" s="62">
        <f>Tabelle1!K18</f>
        <v>1.9047511574074075E-3</v>
      </c>
      <c r="S7" s="62">
        <f t="shared" si="5"/>
        <v>4.9831018518518529E-4</v>
      </c>
      <c r="T7" s="62">
        <f t="shared" si="0"/>
        <v>8.1805555555555548E-4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2.0345833333333331E-3</v>
      </c>
      <c r="X7" s="62">
        <f t="shared" si="4"/>
        <v>1.9047511574074075E-3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8.2736111111111118E-4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2.0496249999999998E-3</v>
      </c>
      <c r="R8" s="62">
        <f>Tabelle1!J18</f>
        <v>1.9119589120370371E-3</v>
      </c>
      <c r="S8" s="62">
        <f t="shared" si="5"/>
        <v>5.0836805555555563E-4</v>
      </c>
      <c r="T8" s="62">
        <f t="shared" si="0"/>
        <v>8.2736111111111118E-4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2.0496249999999998E-3</v>
      </c>
      <c r="X8" s="62">
        <f t="shared" si="4"/>
        <v>1.9119589120370371E-3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8.3597222222222222E-4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2.0636111111111111E-3</v>
      </c>
      <c r="R9" s="62">
        <f>Tabelle1!I18</f>
        <v>1.9186226851851851E-3</v>
      </c>
      <c r="S9" s="62">
        <f t="shared" si="5"/>
        <v>5.1791666666666663E-4</v>
      </c>
      <c r="T9" s="62">
        <f t="shared" si="0"/>
        <v>8.3597222222222222E-4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2.0636111111111111E-3</v>
      </c>
      <c r="X9" s="62">
        <f t="shared" si="4"/>
        <v>1.9186226851851851E-3</v>
      </c>
    </row>
    <row r="10" spans="1:24" x14ac:dyDescent="0.45">
      <c r="A10" s="59" t="s">
        <v>235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235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K15" sqref="K15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2">D5*$F14</f>
        <v>4.4430555555555553E-4</v>
      </c>
      <c r="E14" s="65">
        <f t="shared" si="2"/>
        <v>4.3944444444444445E-4</v>
      </c>
      <c r="F14">
        <v>1.2</v>
      </c>
      <c r="H14" s="64" t="s">
        <v>0</v>
      </c>
      <c r="I14" s="65">
        <f>I5*$L14</f>
        <v>5.1791666666666663E-4</v>
      </c>
      <c r="J14" s="65">
        <f t="shared" ref="J14:K14" si="3">J5*$L14</f>
        <v>5.0836805555555563E-4</v>
      </c>
      <c r="K14" s="65">
        <f t="shared" si="3"/>
        <v>4.9831018518518529E-4</v>
      </c>
      <c r="L14">
        <v>1.1000000000000001</v>
      </c>
    </row>
    <row r="15" spans="2:17" x14ac:dyDescent="0.45">
      <c r="B15" s="64" t="s">
        <v>225</v>
      </c>
      <c r="C15" s="65">
        <f t="shared" ref="C15:E15" si="4">C6*$F15</f>
        <v>9.7083333333333342E-4</v>
      </c>
      <c r="D15" s="65">
        <f t="shared" si="4"/>
        <v>9.5805555555555553E-4</v>
      </c>
      <c r="E15" s="65">
        <f t="shared" si="4"/>
        <v>9.4430555555555544E-4</v>
      </c>
      <c r="F15">
        <v>1.2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7.0833333333333328E-4</v>
      </c>
      <c r="D16" s="65">
        <f t="shared" si="6"/>
        <v>7.0194444444444449E-4</v>
      </c>
      <c r="E16" s="65">
        <f t="shared" si="6"/>
        <v>6.951388888888888E-4</v>
      </c>
      <c r="F16">
        <v>1.2</v>
      </c>
      <c r="H16" s="64" t="s">
        <v>226</v>
      </c>
      <c r="I16" s="65">
        <f t="shared" ref="I16:K16" si="7">I7*$L16</f>
        <v>8.3597222222222222E-4</v>
      </c>
      <c r="J16" s="65">
        <f t="shared" si="7"/>
        <v>8.2736111111111118E-4</v>
      </c>
      <c r="K16" s="65">
        <f t="shared" si="7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8">C8*$F17</f>
        <v>8.2472222222222224E-4</v>
      </c>
      <c r="D17" s="65">
        <f t="shared" si="8"/>
        <v>8.0902777777777776E-4</v>
      </c>
      <c r="E17" s="65">
        <f t="shared" si="8"/>
        <v>7.919444444444444E-4</v>
      </c>
      <c r="F17">
        <v>1.2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1.7556134259259259E-3</v>
      </c>
      <c r="D18" s="65">
        <f t="shared" si="10"/>
        <v>1.7369791666666664E-3</v>
      </c>
      <c r="E18" s="65">
        <f t="shared" si="10"/>
        <v>1.7167476851851849E-3</v>
      </c>
      <c r="F18">
        <v>1.1499999999999999</v>
      </c>
      <c r="H18" s="64" t="s">
        <v>228</v>
      </c>
      <c r="I18" s="65">
        <f t="shared" ref="I18:K18" si="11">I9*$L18</f>
        <v>1.9186226851851851E-3</v>
      </c>
      <c r="J18" s="65">
        <f t="shared" si="11"/>
        <v>1.9119589120370371E-3</v>
      </c>
      <c r="K18" s="65">
        <f t="shared" si="11"/>
        <v>1.9047511574074075E-3</v>
      </c>
      <c r="L18">
        <v>1.175</v>
      </c>
    </row>
    <row r="19" spans="2:12" x14ac:dyDescent="0.45">
      <c r="B19" s="64" t="s">
        <v>4</v>
      </c>
      <c r="C19" s="65">
        <f t="shared" ref="C19:E19" si="12">C10*$F19</f>
        <v>1.9191956018518516E-3</v>
      </c>
      <c r="D19" s="65">
        <f t="shared" si="12"/>
        <v>1.8985648148148143E-3</v>
      </c>
      <c r="E19" s="65">
        <f t="shared" si="12"/>
        <v>1.8763368055555554E-3</v>
      </c>
      <c r="F19">
        <v>1.1499999999999999</v>
      </c>
      <c r="H19" s="64" t="s">
        <v>4</v>
      </c>
      <c r="I19" s="65">
        <f t="shared" ref="I19:K19" si="13">I10*$L19</f>
        <v>2.0636111111111111E-3</v>
      </c>
      <c r="J19" s="65">
        <f t="shared" si="13"/>
        <v>2.0496249999999998E-3</v>
      </c>
      <c r="K19" s="65">
        <f t="shared" si="13"/>
        <v>2.0345833333333331E-3</v>
      </c>
      <c r="L19">
        <v>1.1399999999999999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2026-01-22T03:13:22Z</dcterms:modified>
</cp:coreProperties>
</file>