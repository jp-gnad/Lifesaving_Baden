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F338DD81-B7DE-4A0E-9341-4E8AC16C78B4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<sst xmlns="http://schemas.openxmlformats.org/spreadsheetml/2006/main" count="774" uniqueCount="274">
  <si>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</si>
  <si>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</si>
  <si>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</si>
  <si>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</si>
  <si>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</si>
  <si>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</si>
  <si>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</si>
  <si>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</si>
  <si>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</si>
  <si>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</si>
  <si>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</si>
  <si>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</si>
  <si>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</si>
  <si>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</si>
  <si>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</si>
  <si>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</si>
  <si>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</si>
  <si>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</si>
  <si>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</si>
  <si>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</si>
  <si>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</si>
  <si>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</si>
  <si>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</si>
  <si>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</si>
  <si>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</si>
  <si>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</si>
  <si>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</si>
  <si>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</si>
  <si>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</si>
  <si>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</si>
  <si>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</si>
  <si>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</si>
  <si>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</si>
  <si>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</si>
  <si>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</si>
  <si>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</si>
  <si>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</si>
  <si>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</si>
  <si>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</si>
  <si>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</si>
  <si>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</si>
  <si>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</si>
  <si>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</si>
  <si>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</si>
  <si>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</si>
  <si>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</si>
  <si>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</si>
  <si>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</si>
  <si>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</si>
  <si>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</si>
  <si>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</si>
  <si>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</si>
  <si>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</si>
  <si>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</si>
  <si>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</si>
  <si>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</si>
  <si>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</si>
  <si>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</si>
  <si>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</si>
  <si>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</si>
  <si>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</si>
  <si>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</si>
  <si>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</si>
  <si>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</si>
  <si>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</si>
  <si>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</si>
  <si>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</si>
  <si>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</si>
  <si>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</si>
  <si>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</si>
  <si>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</si>
  <si>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</si>
  <si>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</si>
  <si>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</si>
  <si>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</si>
  <si>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</si>
  <si>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</si>
  <si>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</si>
  <si>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</si>
  <si>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</si>
  <si>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</si>
  <si>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</si>
  <si>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</si>
  <si>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</si>
  <si>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</si>
  <si>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</si>
  <si>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</si>
  <si>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</si>
  <si>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</si>
  <si>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</si>
  <si>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</si>
  <si>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</si>
  <si>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</si>
  <si>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</si>
  <si>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</si>
  <si>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</si>
  <si>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</si>
  <si>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</si>
  <si>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</si>
  <si>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</si>
  <si>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</si>
  <si>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</si>
  <si>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</si>
  <si>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</si>
  <si>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</si>
  <si>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</si>
  <si>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</si>
  <si>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</si>
  <si>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</si>
  <si>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</si>
  <si>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</si>
  <si>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</si>
  <si>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</si>
  <si>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</si>
  <si>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</si>
  <si>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</si>
  <si>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</si>
  <si>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</si>
  <si>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</si>
  <si>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</si>
  <si>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</si>
  <si>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</si>
  <si>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</si>
  <si>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</si>
  <si>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</si>
  <si>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</si>
  <si>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</si>
  <si>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</si>
  <si>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</si>
  <si>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</si>
  <si>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</si>
  <si>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</si>
  <si>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</si>
  <si>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</si>
  <si>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</si>
  <si>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</si>
  <si>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</si>
  <si>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</si>
  <si>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</si>
  <si>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</si>
  <si>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</si>
  <si>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</si>
  <si>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</si>
  <si>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</si>
  <si>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</si>
  <si>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</si>
  <si>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</si>
  <si>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</si>
  <si>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</si>
  <si>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</si>
  <si>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</si>
  <si>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</si>
  <si>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</si>
  <si>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</si>
  <si>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</si>
  <si>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</si>
  <si>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</si>
  <si>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</si>
  <si>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</si>
  <si>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</si>
  <si>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</si>
  <si>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</si>
  <si>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</si>
  <si>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</si>
  <si>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</si>
  <si>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</si>
  <si>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</si>
  <si>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</si>
  <si>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</si>
  <si>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</si>
  <si>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</si>
  <si>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</si>
  <si>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</si>
  <si>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</si>
  <si>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</si>
  <si>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</si>
  <si>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</si>
  <si>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</si>
  <si>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</si>
  <si>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</si>
  <si>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</si>
  <si>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</si>
  <si>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</si>
  <si>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</si>
  <si>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</si>
  <si>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</si>
  <si>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</si>
  <si>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</si>
  <si>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</si>
  <si>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</si>
  <si>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</si>
  <si>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</si>
  <si>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</si>
  <si>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</si>
  <si>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</si>
  <si>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</si>
  <si>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</si>
  <si>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</si>
  <si>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</si>
  <si>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</si>
  <si>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</si>
  <si>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</si>
  <si>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</si>
  <si>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</si>
  <si>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</si>
  <si>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</si>
  <si>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</si>
  <si>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</si>
  <si>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</si>
  <si>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</si>
  <si>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</si>
  <si>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</si>
  <si>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</si>
  <si>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</si>
  <si>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</si>
  <si>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</si>
  <si>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</si>
  <si>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</si>
  <si>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</si>
  <si>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</si>
  <si>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</si>
  <si>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</si>
  <si>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</si>
  <si>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</si>
  <si>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</si>
  <si>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</si>
  <si>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</si>
  <si>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</si>
  <si>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</si>
  <si>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</si>
  <si>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</si>
  <si>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JRP (TEST) Weiblich</t>
  </si>
  <si>
    <t>JRP (TEST) Männlich</t>
  </si>
  <si>
    <t>&gt;2008</t>
  </si>
  <si>
    <t>2005-2007</t>
  </si>
  <si>
    <t>&lt;2005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</si>
  <si>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</si>
  <si>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</si>
  <si>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</si>
  <si>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</si>
  <si>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</si>
  <si>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</si>
  <si>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</si>
  <si>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</si>
  <si>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</si>
  <si>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</si>
  <si>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</si>
  <si>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</si>
  <si>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</si>
  <si>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</si>
  <si>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</si>
  <si>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</si>
  <si>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</si>
  <si>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</si>
  <si>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</si>
  <si>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</si>
  <si>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</si>
  <si>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</si>
  <si>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</si>
  <si>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</si>
  <si>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</si>
  <si>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</si>
  <si>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</si>
  <si>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</si>
  <si>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</si>
  <si>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</si>
  <si>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Warm Up, 50m Bahn, Cool Down, Theorie Lifesaver, Treffpunkt 12:10 im Foyer</t>
  </si>
  <si>
    <t>20.7.Jahr - 1</t>
  </si>
  <si>
    <t>Lara Ramackers, Lina Weidmann</t>
  </si>
  <si>
    <t>NK2 % W</t>
  </si>
  <si>
    <t>NK2 +18% Frauen</t>
  </si>
  <si>
    <t>NK2 +20% Mäner</t>
  </si>
  <si>
    <t>NK1 +16% Mäner</t>
  </si>
  <si>
    <t>NK1 +16%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</si>
</sst>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9" dataDxfId="48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U5" sqref="U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267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267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267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268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267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267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267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G6" sqref="G6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231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232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271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4.4791666666666667E-4</v>
      </c>
      <c r="N4" s="62">
        <f>NK!E16</f>
        <v>7.0736111111111108E-4</v>
      </c>
      <c r="O4" s="62">
        <f>NK!E15</f>
        <v>9.6125000000000008E-4</v>
      </c>
      <c r="P4" s="62">
        <f>NK!E17</f>
        <v>8.018055555555555E-4</v>
      </c>
      <c r="Q4" s="62">
        <f>NK!E19</f>
        <v>1.9945833333333335E-3</v>
      </c>
      <c r="R4" s="62">
        <f>NK!E18</f>
        <v>1.8218055555555552E-3</v>
      </c>
      <c r="S4" s="62">
        <f>M4</f>
        <v>4.4791666666666667E-4</v>
      </c>
      <c r="T4" s="62">
        <f t="shared" ref="T4:T9" si="0">N4</f>
        <v>7.0736111111111108E-4</v>
      </c>
      <c r="U4" s="62">
        <f t="shared" ref="U4:U9" si="1">O4</f>
        <v>9.6125000000000008E-4</v>
      </c>
      <c r="V4" s="62">
        <f t="shared" ref="V4:V9" si="2">P4</f>
        <v>8.018055555555555E-4</v>
      </c>
      <c r="W4" s="62">
        <f t="shared" ref="W4:W9" si="3">Q4</f>
        <v>1.9945833333333335E-3</v>
      </c>
      <c r="X4" s="62">
        <f t="shared" ref="X4:X9" si="4">R4</f>
        <v>1.8218055555555552E-3</v>
      </c>
    </row>
    <row r="5" spans="1:24" x14ac:dyDescent="0.45">
      <c r="A5" s="59" t="s">
        <v>271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4.619444444444444E-4</v>
      </c>
      <c r="N5" s="62">
        <f>NK!D16</f>
        <v>7.2763888888888889E-4</v>
      </c>
      <c r="O5" s="62">
        <f>NK!D15</f>
        <v>1E-3</v>
      </c>
      <c r="P5" s="62">
        <f>NK!D17</f>
        <v>8.3263888888888895E-4</v>
      </c>
      <c r="Q5" s="62">
        <f>NK!D19</f>
        <v>2.0587499999999998E-3</v>
      </c>
      <c r="R5" s="62">
        <f>NK!D18</f>
        <v>1.8773611111111107E-3</v>
      </c>
      <c r="S5" s="62">
        <f t="shared" ref="S5:S9" si="5">M5</f>
        <v>4.619444444444444E-4</v>
      </c>
      <c r="T5" s="62">
        <f t="shared" si="0"/>
        <v>7.2763888888888889E-4</v>
      </c>
      <c r="U5" s="62">
        <f t="shared" si="1"/>
        <v>1E-3</v>
      </c>
      <c r="V5" s="62">
        <f t="shared" si="2"/>
        <v>8.3263888888888895E-4</v>
      </c>
      <c r="W5" s="62">
        <f t="shared" si="3"/>
        <v>2.0587499999999998E-3</v>
      </c>
      <c r="X5" s="62">
        <f t="shared" si="4"/>
        <v>1.8773611111111107E-3</v>
      </c>
    </row>
    <row r="6" spans="1:24" x14ac:dyDescent="0.45">
      <c r="A6" s="59" t="s">
        <v>271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4.7138888888888881E-4</v>
      </c>
      <c r="N6" s="62">
        <f>NK!C16</f>
        <v>7.415277777777778E-4</v>
      </c>
      <c r="O6" s="62">
        <f>NK!C15</f>
        <v>1.0176388888888889E-3</v>
      </c>
      <c r="P6" s="62">
        <f>NK!C17</f>
        <v>8.5375000000000002E-4</v>
      </c>
      <c r="Q6" s="62">
        <f>NK!C19</f>
        <v>2.1024999999999998E-3</v>
      </c>
      <c r="R6" s="62">
        <f>NK!C18</f>
        <v>1.9152777777777779E-3</v>
      </c>
      <c r="S6" s="62">
        <f t="shared" si="5"/>
        <v>4.7138888888888881E-4</v>
      </c>
      <c r="T6" s="62">
        <f t="shared" si="0"/>
        <v>7.415277777777778E-4</v>
      </c>
      <c r="U6" s="62">
        <f t="shared" si="1"/>
        <v>1.0176388888888889E-3</v>
      </c>
      <c r="V6" s="62">
        <f t="shared" si="2"/>
        <v>8.5375000000000002E-4</v>
      </c>
      <c r="W6" s="62">
        <f t="shared" si="3"/>
        <v>2.1024999999999998E-3</v>
      </c>
      <c r="X6" s="62">
        <f t="shared" si="4"/>
        <v>1.9152777777777779E-3</v>
      </c>
    </row>
    <row r="7" spans="1:24" x14ac:dyDescent="0.45">
      <c r="A7" s="59" t="s">
        <v>270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5.3782870370370367E-4</v>
      </c>
      <c r="N7" s="62">
        <f>NK!K16</f>
        <v>8.139814814814815E-4</v>
      </c>
      <c r="O7" s="62">
        <f>NK!K15</f>
        <v>1.1029722222222222E-3</v>
      </c>
      <c r="P7" s="62">
        <f>NK!K17</f>
        <v>9.026180555555556E-4</v>
      </c>
      <c r="Q7" s="62">
        <f>NK!K19</f>
        <v>2.1334236111111111E-3</v>
      </c>
      <c r="R7" s="62">
        <f>NK!K18</f>
        <v>1.9327962962962962E-3</v>
      </c>
      <c r="S7" s="62">
        <f t="shared" si="5"/>
        <v>5.3782870370370367E-4</v>
      </c>
      <c r="T7" s="62">
        <f t="shared" si="0"/>
        <v>8.139814814814815E-4</v>
      </c>
      <c r="U7" s="62">
        <f t="shared" si="1"/>
        <v>1.1029722222222222E-3</v>
      </c>
      <c r="V7" s="62">
        <f t="shared" si="2"/>
        <v>9.026180555555556E-4</v>
      </c>
      <c r="W7" s="62">
        <f t="shared" si="3"/>
        <v>2.1334236111111111E-3</v>
      </c>
      <c r="X7" s="62">
        <f t="shared" si="4"/>
        <v>1.9327962962962962E-3</v>
      </c>
    </row>
    <row r="8" spans="1:24" x14ac:dyDescent="0.45">
      <c r="A8" s="59" t="s">
        <v>270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5.5107638888888882E-4</v>
      </c>
      <c r="N8" s="62">
        <f>NK!J16</f>
        <v>8.3037037037037031E-4</v>
      </c>
      <c r="O8" s="62">
        <f>NK!J15</f>
        <v>1.1436712962962963E-3</v>
      </c>
      <c r="P8" s="62">
        <f>NK!J17</f>
        <v>9.2269444444444441E-4</v>
      </c>
      <c r="Q8" s="62">
        <f>NK!J19</f>
        <v>2.1813611111111109E-3</v>
      </c>
      <c r="R8" s="62">
        <f>NK!J18</f>
        <v>1.9621597222222223E-3</v>
      </c>
      <c r="S8" s="62">
        <f t="shared" si="5"/>
        <v>5.5107638888888882E-4</v>
      </c>
      <c r="T8" s="62">
        <f t="shared" si="0"/>
        <v>8.3037037037037031E-4</v>
      </c>
      <c r="U8" s="62">
        <f t="shared" si="1"/>
        <v>1.1436712962962963E-3</v>
      </c>
      <c r="V8" s="62">
        <f t="shared" si="2"/>
        <v>9.2269444444444441E-4</v>
      </c>
      <c r="W8" s="62">
        <f t="shared" si="3"/>
        <v>2.1813611111111109E-3</v>
      </c>
      <c r="X8" s="62">
        <f t="shared" si="4"/>
        <v>1.9621597222222223E-3</v>
      </c>
    </row>
    <row r="9" spans="1:24" x14ac:dyDescent="0.45">
      <c r="A9" s="59" t="s">
        <v>270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5.6336805555555545E-4</v>
      </c>
      <c r="N9" s="62">
        <f>NK!I16</f>
        <v>8.4539351851851843E-4</v>
      </c>
      <c r="O9" s="62">
        <f>NK!I15</f>
        <v>1.1842337962962963E-3</v>
      </c>
      <c r="P9" s="62">
        <f>NK!I17</f>
        <v>9.4126851851851858E-4</v>
      </c>
      <c r="Q9" s="62">
        <f>NK!I19</f>
        <v>2.2291620370370369E-3</v>
      </c>
      <c r="R9" s="62">
        <f>NK!I18</f>
        <v>1.9916597222222219E-3</v>
      </c>
      <c r="S9" s="62">
        <f t="shared" si="5"/>
        <v>5.6336805555555545E-4</v>
      </c>
      <c r="T9" s="62">
        <f t="shared" si="0"/>
        <v>8.4539351851851843E-4</v>
      </c>
      <c r="U9" s="62">
        <f t="shared" si="1"/>
        <v>1.1842337962962963E-3</v>
      </c>
      <c r="V9" s="62">
        <f t="shared" si="2"/>
        <v>9.4126851851851858E-4</v>
      </c>
      <c r="W9" s="62">
        <f t="shared" si="3"/>
        <v>2.2291620370370369E-3</v>
      </c>
      <c r="X9" s="62">
        <f t="shared" si="4"/>
        <v>1.9916597222222219E-3</v>
      </c>
    </row>
    <row r="10" spans="1:24" x14ac:dyDescent="0.45">
      <c r="A10" s="59" t="s">
        <v>272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4.1888888888888884E-4</v>
      </c>
      <c r="N10" s="62">
        <f>NK!$R$16</f>
        <v>6.6324074074074072E-4</v>
      </c>
      <c r="O10" s="62">
        <f>NK!$R$15</f>
        <v>8.953749999999999E-4</v>
      </c>
      <c r="P10" s="62">
        <f>NK!$R$17</f>
        <v>7.439305555555554E-4</v>
      </c>
      <c r="Q10" s="62">
        <f>NK!$R$19</f>
        <v>1.8632499999999999E-3</v>
      </c>
      <c r="R10" s="62">
        <f>NK!$R$18</f>
        <v>1.7049583333333331E-3</v>
      </c>
      <c r="S10" s="62">
        <f>M10</f>
        <v>4.1888888888888884E-4</v>
      </c>
      <c r="T10" s="62">
        <f t="shared" ref="T10:T15" si="6">N10</f>
        <v>6.6324074074074072E-4</v>
      </c>
      <c r="U10" s="62">
        <f t="shared" ref="U10:U15" si="7">O10</f>
        <v>8.953749999999999E-4</v>
      </c>
      <c r="V10" s="62">
        <f t="shared" ref="V10:V15" si="8">P10</f>
        <v>7.439305555555554E-4</v>
      </c>
      <c r="W10" s="62">
        <f t="shared" ref="W10:W15" si="9">Q10</f>
        <v>1.8632499999999999E-3</v>
      </c>
      <c r="X10" s="62">
        <f t="shared" ref="X10:X15" si="10">R10</f>
        <v>1.7049583333333331E-3</v>
      </c>
    </row>
    <row r="11" spans="1:24" x14ac:dyDescent="0.45">
      <c r="A11" s="59" t="s">
        <v>272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4.0693981481481478E-4</v>
      </c>
      <c r="N11" s="62">
        <f>NK!$S$16</f>
        <v>6.4565277777777776E-4</v>
      </c>
      <c r="O11" s="62">
        <f>NK!$S$15</f>
        <v>8.6691203703703691E-4</v>
      </c>
      <c r="P11" s="62">
        <f>NK!$S$17</f>
        <v>7.1788425925925915E-4</v>
      </c>
      <c r="Q11" s="62">
        <f>NK!$S$19</f>
        <v>1.845125E-3</v>
      </c>
      <c r="R11" s="62">
        <f>NK!$S$18</f>
        <v>1.6571620370370371E-3</v>
      </c>
      <c r="S11" s="62">
        <f t="shared" ref="S11:S15" si="11">M11</f>
        <v>4.0693981481481478E-4</v>
      </c>
      <c r="T11" s="62">
        <f t="shared" si="6"/>
        <v>6.4565277777777776E-4</v>
      </c>
      <c r="U11" s="62">
        <f t="shared" si="7"/>
        <v>8.6691203703703691E-4</v>
      </c>
      <c r="V11" s="62">
        <f t="shared" si="8"/>
        <v>7.1788425925925915E-4</v>
      </c>
      <c r="W11" s="62">
        <f t="shared" si="9"/>
        <v>1.845125E-3</v>
      </c>
      <c r="X11" s="62">
        <f t="shared" si="10"/>
        <v>1.6571620370370371E-3</v>
      </c>
    </row>
    <row r="12" spans="1:24" x14ac:dyDescent="0.45">
      <c r="A12" s="59" t="s">
        <v>272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3.9324537037037035E-4</v>
      </c>
      <c r="N12" s="62">
        <f>NK!$T$16</f>
        <v>6.2564814814814807E-4</v>
      </c>
      <c r="O12" s="62">
        <f>NK!$T$15</f>
        <v>8.3428703703703692E-4</v>
      </c>
      <c r="P12" s="62">
        <f>NK!$T$17</f>
        <v>6.8807870370370366E-4</v>
      </c>
      <c r="Q12" s="62">
        <f>NK!$T$19</f>
        <v>1.7890046296296295E-3</v>
      </c>
      <c r="R12" s="62">
        <f>NK!$T$18</f>
        <v>1.6026527777777777E-3</v>
      </c>
      <c r="S12" s="62">
        <f t="shared" si="11"/>
        <v>3.9324537037037035E-4</v>
      </c>
      <c r="T12" s="62">
        <f t="shared" si="6"/>
        <v>6.2564814814814807E-4</v>
      </c>
      <c r="U12" s="62">
        <f t="shared" si="7"/>
        <v>8.3428703703703692E-4</v>
      </c>
      <c r="V12" s="62">
        <f t="shared" si="8"/>
        <v>6.8807870370370366E-4</v>
      </c>
      <c r="W12" s="62">
        <f t="shared" si="9"/>
        <v>1.7890046296296295E-3</v>
      </c>
      <c r="X12" s="62">
        <f t="shared" si="10"/>
        <v>1.6026527777777777E-3</v>
      </c>
    </row>
    <row r="13" spans="1:24" x14ac:dyDescent="0.45">
      <c r="A13" s="59" t="s">
        <v>273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5.1152777777777774E-4</v>
      </c>
      <c r="N13" s="62">
        <f>NK!$X$16</f>
        <v>7.7910648148148153E-4</v>
      </c>
      <c r="O13" s="62">
        <f>NK!$X$15</f>
        <v>1.0444027777777776E-3</v>
      </c>
      <c r="P13" s="62">
        <f>NK!$X$17</f>
        <v>8.614074074074073E-4</v>
      </c>
      <c r="Q13" s="62">
        <f>NK!$X$19</f>
        <v>2.0501388888888887E-3</v>
      </c>
      <c r="R13" s="62">
        <f>NK!$X$18</f>
        <v>1.8710370370370372E-3</v>
      </c>
      <c r="S13" s="62">
        <f t="shared" si="11"/>
        <v>5.1152777777777774E-4</v>
      </c>
      <c r="T13" s="62">
        <f t="shared" si="6"/>
        <v>7.7910648148148153E-4</v>
      </c>
      <c r="U13" s="62">
        <f t="shared" si="7"/>
        <v>1.0444027777777776E-3</v>
      </c>
      <c r="V13" s="62">
        <f t="shared" si="8"/>
        <v>8.614074074074073E-4</v>
      </c>
      <c r="W13" s="62">
        <f t="shared" si="9"/>
        <v>2.0501388888888887E-3</v>
      </c>
      <c r="X13" s="62">
        <f t="shared" si="10"/>
        <v>1.8710370370370372E-3</v>
      </c>
    </row>
    <row r="14" spans="1:24" x14ac:dyDescent="0.45">
      <c r="A14" s="59" t="s">
        <v>273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4.8776388888888887E-4</v>
      </c>
      <c r="N14" s="62">
        <f>NK!$Y$16</f>
        <v>7.4930092592592583E-4</v>
      </c>
      <c r="O14" s="62">
        <f>NK!$Y$15</f>
        <v>9.9714351851851852E-4</v>
      </c>
      <c r="P14" s="62">
        <f>NK!$Y$17</f>
        <v>8.2515740740740737E-4</v>
      </c>
      <c r="Q14" s="62">
        <f>NK!$Y$19</f>
        <v>1.992273148148148E-3</v>
      </c>
      <c r="R14" s="62">
        <f>NK!$Y$18</f>
        <v>1.8347870370370369E-3</v>
      </c>
      <c r="S14" s="62">
        <f t="shared" si="11"/>
        <v>4.8776388888888887E-4</v>
      </c>
      <c r="T14" s="62">
        <f t="shared" si="6"/>
        <v>7.4930092592592583E-4</v>
      </c>
      <c r="U14" s="62">
        <f t="shared" si="7"/>
        <v>9.9714351851851852E-4</v>
      </c>
      <c r="V14" s="62">
        <f t="shared" si="8"/>
        <v>8.2515740740740737E-4</v>
      </c>
      <c r="W14" s="62">
        <f t="shared" si="9"/>
        <v>1.992273148148148E-3</v>
      </c>
      <c r="X14" s="62">
        <f t="shared" si="10"/>
        <v>1.8347870370370369E-3</v>
      </c>
    </row>
    <row r="15" spans="1:24" x14ac:dyDescent="0.45">
      <c r="A15" s="59" t="s">
        <v>273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4.7031018518518515E-4</v>
      </c>
      <c r="N15" s="62">
        <f>NK!$Z$16</f>
        <v>7.2755092592592587E-4</v>
      </c>
      <c r="O15" s="62">
        <f>NK!$Z$15</f>
        <v>9.6250462962962956E-4</v>
      </c>
      <c r="P15" s="62">
        <f>NK!$Z$17</f>
        <v>7.9857407407407394E-4</v>
      </c>
      <c r="Q15" s="62">
        <f>NK!$Z$19</f>
        <v>1.9499814814814814E-3</v>
      </c>
      <c r="R15" s="62">
        <f>NK!$Z$18</f>
        <v>1.8083379629629628E-3</v>
      </c>
      <c r="S15" s="62">
        <f t="shared" si="11"/>
        <v>4.7031018518518515E-4</v>
      </c>
      <c r="T15" s="62">
        <f t="shared" si="6"/>
        <v>7.2755092592592587E-4</v>
      </c>
      <c r="U15" s="62">
        <f t="shared" si="7"/>
        <v>9.6250462962962956E-4</v>
      </c>
      <c r="V15" s="62">
        <f t="shared" si="8"/>
        <v>7.9857407407407394E-4</v>
      </c>
      <c r="W15" s="62">
        <f t="shared" si="9"/>
        <v>1.9499814814814814E-3</v>
      </c>
      <c r="X15" s="62">
        <f t="shared" si="10"/>
        <v>1.8083379629629628E-3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236</v>
      </c>
      <c r="B1" t="s">
        <v>237</v>
      </c>
      <c r="C1" t="s">
        <v>238</v>
      </c>
      <c r="D1" t="s">
        <v>239</v>
      </c>
      <c r="E1" t="s">
        <v>240</v>
      </c>
      <c r="F1" t="s">
        <v>246</v>
      </c>
      <c r="G1" t="s">
        <v>242</v>
      </c>
      <c r="H1" t="s">
        <v>241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243</v>
      </c>
      <c r="F2" s="72" t="s">
        <v>247</v>
      </c>
      <c r="G2" t="s">
        <v>244</v>
      </c>
      <c r="H2" t="s">
        <v>245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248</v>
      </c>
      <c r="F3" s="72" t="s">
        <v>266</v>
      </c>
      <c r="G3" t="s">
        <v>244</v>
      </c>
      <c r="H3" t="s">
        <v>249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243</v>
      </c>
      <c r="F4" s="72" t="s">
        <v>247</v>
      </c>
      <c r="G4" t="s">
        <v>244</v>
      </c>
      <c r="H4" t="s">
        <v>245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248</v>
      </c>
      <c r="F5" s="72" t="s">
        <v>250</v>
      </c>
      <c r="G5" t="s">
        <v>244</v>
      </c>
      <c r="H5" t="s">
        <v>249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248</v>
      </c>
      <c r="F6" s="72" t="s">
        <v>251</v>
      </c>
      <c r="G6" t="s">
        <v>252</v>
      </c>
      <c r="H6" t="s">
        <v>249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243</v>
      </c>
      <c r="F7" s="72" t="s">
        <v>253</v>
      </c>
      <c r="G7" t="s">
        <v>244</v>
      </c>
      <c r="H7" t="s">
        <v>245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254</v>
      </c>
      <c r="F8" s="72" t="s">
        <v>255</v>
      </c>
      <c r="G8" t="s">
        <v>256</v>
      </c>
      <c r="H8" t="s">
        <v>249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257</v>
      </c>
      <c r="F9" s="72" t="s">
        <v>258</v>
      </c>
      <c r="G9" t="s">
        <v>259</v>
      </c>
      <c r="H9" t="s">
        <v>260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261</v>
      </c>
      <c r="F10" s="72" t="s">
        <v>262</v>
      </c>
      <c r="G10" t="s">
        <v>263</v>
      </c>
      <c r="H10" t="s">
        <v>264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B3:AA37"/>
  <sheetViews>
    <sheetView topLeftCell="Q1" workbookViewId="0">
      <selection activeCell="AA19" sqref="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224</v>
      </c>
      <c r="H3" t="s">
        <v>226</v>
      </c>
      <c r="Q3" t="s">
        <v>228</v>
      </c>
      <c r="W3" t="s">
        <v>229</v>
      </c>
    </row>
    <row r="4" spans="2:27" x14ac:dyDescent="0.45">
      <c r="B4" s="63" t="s">
        <v>219</v>
      </c>
      <c r="C4" s="66">
        <v>2011</v>
      </c>
      <c r="D4" s="66">
        <v>2010</v>
      </c>
      <c r="E4" s="66">
        <v>2009</v>
      </c>
      <c r="H4" s="63" t="s">
        <v>219</v>
      </c>
      <c r="I4" s="66">
        <v>2011</v>
      </c>
      <c r="J4" s="66">
        <v>2010</v>
      </c>
      <c r="K4" s="66">
        <v>2009</v>
      </c>
      <c r="Q4" s="63" t="s">
        <v>219</v>
      </c>
      <c r="R4" s="69" t="s">
        <v>233</v>
      </c>
      <c r="S4" s="69" t="s">
        <v>234</v>
      </c>
      <c r="T4" s="69" t="s">
        <v>235</v>
      </c>
      <c r="W4" s="63" t="s">
        <v>219</v>
      </c>
      <c r="X4" s="69" t="s">
        <v>233</v>
      </c>
      <c r="Y4" s="69" t="s">
        <v>234</v>
      </c>
      <c r="Z4" s="69" t="s">
        <v>235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220</v>
      </c>
      <c r="C6" s="65">
        <v>8.4803240740740737E-4</v>
      </c>
      <c r="D6" s="65">
        <v>8.3333333333333339E-4</v>
      </c>
      <c r="E6" s="65">
        <v>8.0104166666666681E-4</v>
      </c>
      <c r="H6" s="64" t="s">
        <v>220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220</v>
      </c>
      <c r="R6" s="65">
        <v>7.7187499999999999E-4</v>
      </c>
      <c r="S6" s="65">
        <v>7.4733796296296289E-4</v>
      </c>
      <c r="T6" s="65">
        <v>7.1921296296296295E-4</v>
      </c>
      <c r="W6" s="64" t="s">
        <v>220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221</v>
      </c>
      <c r="C7" s="65">
        <v>6.1793981481481487E-4</v>
      </c>
      <c r="D7" s="65">
        <v>6.0636574074074076E-4</v>
      </c>
      <c r="E7" s="65">
        <v>5.894675925925926E-4</v>
      </c>
      <c r="H7" s="64" t="s">
        <v>221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221</v>
      </c>
      <c r="R7" s="65">
        <v>5.7175925925925927E-4</v>
      </c>
      <c r="S7" s="65">
        <v>5.5659722222222222E-4</v>
      </c>
      <c r="T7" s="65">
        <v>5.3935185185185184E-4</v>
      </c>
      <c r="W7" s="64" t="s">
        <v>221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222</v>
      </c>
      <c r="C8" s="65">
        <v>7.1145833333333337E-4</v>
      </c>
      <c r="D8" s="65">
        <v>6.9386574074074077E-4</v>
      </c>
      <c r="E8" s="65">
        <v>6.6817129629629626E-4</v>
      </c>
      <c r="H8" s="64" t="s">
        <v>222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222</v>
      </c>
      <c r="R8" s="65">
        <v>6.4131944444444436E-4</v>
      </c>
      <c r="S8" s="65">
        <v>6.1886574074074068E-4</v>
      </c>
      <c r="T8" s="65">
        <v>5.9317129629629629E-4</v>
      </c>
      <c r="W8" s="64" t="s">
        <v>222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223</v>
      </c>
      <c r="C9" s="65">
        <v>1.5960648148148149E-3</v>
      </c>
      <c r="D9" s="65">
        <v>1.5644675925925923E-3</v>
      </c>
      <c r="E9" s="65">
        <v>1.5181712962962961E-3</v>
      </c>
      <c r="H9" s="64" t="s">
        <v>223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223</v>
      </c>
      <c r="R9" s="65">
        <v>1.4697916666666666E-3</v>
      </c>
      <c r="S9" s="65">
        <v>1.4285879629629631E-3</v>
      </c>
      <c r="T9" s="65">
        <v>1.3815972222222222E-3</v>
      </c>
      <c r="W9" s="64" t="s">
        <v>223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225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225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227</v>
      </c>
      <c r="H12" t="s">
        <v>269</v>
      </c>
      <c r="Q12" t="s">
        <v>230</v>
      </c>
      <c r="W12" t="s">
        <v>265</v>
      </c>
    </row>
    <row r="13" spans="2:27" x14ac:dyDescent="0.45">
      <c r="B13" s="63" t="s">
        <v>219</v>
      </c>
      <c r="C13" s="66">
        <v>2011</v>
      </c>
      <c r="D13" s="66">
        <v>2010</v>
      </c>
      <c r="E13" s="66">
        <v>2009</v>
      </c>
      <c r="H13" s="63" t="s">
        <v>219</v>
      </c>
      <c r="I13" s="66">
        <v>2011</v>
      </c>
      <c r="J13" s="66">
        <v>2010</v>
      </c>
      <c r="K13" s="66">
        <v>2009</v>
      </c>
      <c r="Q13" s="63" t="s">
        <v>219</v>
      </c>
      <c r="R13" s="69" t="s">
        <v>233</v>
      </c>
      <c r="S13" s="69" t="s">
        <v>234</v>
      </c>
      <c r="T13" s="69" t="s">
        <v>235</v>
      </c>
      <c r="W13" s="63" t="s">
        <v>219</v>
      </c>
      <c r="X13" s="69" t="s">
        <v>233</v>
      </c>
      <c r="Y13" s="69" t="s">
        <v>234</v>
      </c>
      <c r="Z13" s="69" t="s">
        <v>235</v>
      </c>
    </row>
    <row r="14" spans="2:27" x14ac:dyDescent="0.45">
      <c r="B14" s="64" t="s">
        <v>0</v>
      </c>
      <c r="C14" s="65">
        <f>C5*$F14</f>
        <v>4.7138888888888881E-4</v>
      </c>
      <c r="D14" s="65">
        <f t="shared" ref="D14:E14" si="0">D5*$F14</f>
        <v>4.619444444444444E-4</v>
      </c>
      <c r="E14" s="65">
        <f t="shared" si="0"/>
        <v>4.4791666666666667E-4</v>
      </c>
      <c r="F14">
        <v>1.2</v>
      </c>
      <c r="H14" s="64" t="s">
        <v>0</v>
      </c>
      <c r="I14" s="65">
        <f>I5*$L14</f>
        <v>5.6336805555555545E-4</v>
      </c>
      <c r="J14" s="65">
        <f t="shared" ref="J14:K14" si="1">J5*$L14</f>
        <v>5.5107638888888882E-4</v>
      </c>
      <c r="K14" s="65">
        <f t="shared" si="1"/>
        <v>5.3782870370370367E-4</v>
      </c>
      <c r="L14">
        <v>1.18</v>
      </c>
      <c r="Q14" s="64" t="s">
        <v>0</v>
      </c>
      <c r="R14" s="65">
        <f t="shared" ref="R14:T19" si="2">R5*$U14</f>
        <v>4.1888888888888884E-4</v>
      </c>
      <c r="S14" s="65">
        <f t="shared" si="2"/>
        <v>4.0693981481481478E-4</v>
      </c>
      <c r="T14" s="65">
        <f t="shared" si="2"/>
        <v>3.9324537037037035E-4</v>
      </c>
      <c r="U14">
        <v>1.1599999999999999</v>
      </c>
      <c r="W14" s="64" t="s">
        <v>0</v>
      </c>
      <c r="X14" s="65">
        <f>X5*$AA14</f>
        <v>5.1152777777777774E-4</v>
      </c>
      <c r="Y14" s="65">
        <f t="shared" ref="Y14:Z14" si="3">Y5*$AA14</f>
        <v>4.8776388888888887E-4</v>
      </c>
      <c r="Z14" s="65">
        <f t="shared" si="3"/>
        <v>4.7031018518518515E-4</v>
      </c>
      <c r="AA14">
        <v>1.1599999999999999</v>
      </c>
    </row>
    <row r="15" spans="2:27" x14ac:dyDescent="0.45">
      <c r="B15" s="64" t="s">
        <v>220</v>
      </c>
      <c r="C15" s="65">
        <f t="shared" ref="C15:E15" si="4">C6*$F15</f>
        <v>1.0176388888888889E-3</v>
      </c>
      <c r="D15" s="65">
        <f t="shared" si="4"/>
        <v>1E-3</v>
      </c>
      <c r="E15" s="65">
        <f t="shared" si="4"/>
        <v>9.6125000000000008E-4</v>
      </c>
      <c r="F15">
        <v>1.2</v>
      </c>
      <c r="H15" s="64" t="s">
        <v>220</v>
      </c>
      <c r="I15" s="65">
        <f t="shared" ref="I15:K15" si="5">I6*$L15</f>
        <v>1.1842337962962963E-3</v>
      </c>
      <c r="J15" s="65">
        <f t="shared" si="5"/>
        <v>1.1436712962962963E-3</v>
      </c>
      <c r="K15" s="65">
        <f t="shared" si="5"/>
        <v>1.1029722222222222E-3</v>
      </c>
      <c r="L15">
        <v>1.18</v>
      </c>
      <c r="Q15" s="64" t="s">
        <v>220</v>
      </c>
      <c r="R15" s="65">
        <f t="shared" si="2"/>
        <v>8.953749999999999E-4</v>
      </c>
      <c r="S15" s="65">
        <f t="shared" si="2"/>
        <v>8.6691203703703691E-4</v>
      </c>
      <c r="T15" s="65">
        <f t="shared" si="2"/>
        <v>8.3428703703703692E-4</v>
      </c>
      <c r="U15">
        <v>1.1599999999999999</v>
      </c>
      <c r="W15" s="64" t="s">
        <v>220</v>
      </c>
      <c r="X15" s="65">
        <f t="shared" ref="X15:Z15" si="6">X6*$AA15</f>
        <v>1.0444027777777776E-3</v>
      </c>
      <c r="Y15" s="65">
        <f t="shared" si="6"/>
        <v>9.9714351851851852E-4</v>
      </c>
      <c r="Z15" s="65">
        <f t="shared" si="6"/>
        <v>9.6250462962962956E-4</v>
      </c>
      <c r="AA15">
        <v>1.1599999999999999</v>
      </c>
    </row>
    <row r="16" spans="2:27" x14ac:dyDescent="0.45">
      <c r="B16" s="64" t="s">
        <v>221</v>
      </c>
      <c r="C16" s="65">
        <f t="shared" ref="C16:E16" si="7">C7*$F16</f>
        <v>7.415277777777778E-4</v>
      </c>
      <c r="D16" s="65">
        <f t="shared" si="7"/>
        <v>7.2763888888888889E-4</v>
      </c>
      <c r="E16" s="65">
        <f t="shared" si="7"/>
        <v>7.0736111111111108E-4</v>
      </c>
      <c r="F16">
        <v>1.2</v>
      </c>
      <c r="H16" s="64" t="s">
        <v>221</v>
      </c>
      <c r="I16" s="65">
        <f t="shared" ref="I16:K16" si="8">I7*$L16</f>
        <v>8.4539351851851843E-4</v>
      </c>
      <c r="J16" s="65">
        <f t="shared" si="8"/>
        <v>8.3037037037037031E-4</v>
      </c>
      <c r="K16" s="65">
        <f t="shared" si="8"/>
        <v>8.139814814814815E-4</v>
      </c>
      <c r="L16">
        <v>1.18</v>
      </c>
      <c r="Q16" s="64" t="s">
        <v>221</v>
      </c>
      <c r="R16" s="65">
        <f t="shared" si="2"/>
        <v>6.6324074074074072E-4</v>
      </c>
      <c r="S16" s="65">
        <f t="shared" si="2"/>
        <v>6.4565277777777776E-4</v>
      </c>
      <c r="T16" s="65">
        <f t="shared" si="2"/>
        <v>6.2564814814814807E-4</v>
      </c>
      <c r="U16">
        <v>1.1599999999999999</v>
      </c>
      <c r="W16" s="64" t="s">
        <v>221</v>
      </c>
      <c r="X16" s="65">
        <f t="shared" ref="X16:Z16" si="9">X7*$AA16</f>
        <v>7.7910648148148153E-4</v>
      </c>
      <c r="Y16" s="65">
        <f>Y7*$AA16</f>
        <v>7.4930092592592583E-4</v>
      </c>
      <c r="Z16" s="65">
        <f t="shared" si="9"/>
        <v>7.2755092592592587E-4</v>
      </c>
      <c r="AA16">
        <v>1.1599999999999999</v>
      </c>
    </row>
    <row r="17" spans="2:27" ht="14.25" customHeight="1" x14ac:dyDescent="0.45">
      <c r="B17" s="64" t="s">
        <v>222</v>
      </c>
      <c r="C17" s="65">
        <f t="shared" ref="C17:E17" si="10">C8*$F17</f>
        <v>8.5375000000000002E-4</v>
      </c>
      <c r="D17" s="65">
        <f t="shared" si="10"/>
        <v>8.3263888888888895E-4</v>
      </c>
      <c r="E17" s="65">
        <f t="shared" si="10"/>
        <v>8.018055555555555E-4</v>
      </c>
      <c r="F17">
        <v>1.2</v>
      </c>
      <c r="H17" s="64" t="s">
        <v>222</v>
      </c>
      <c r="I17" s="65">
        <f t="shared" ref="I17:K17" si="11">I8*$L17</f>
        <v>9.4126851851851858E-4</v>
      </c>
      <c r="J17" s="65">
        <f t="shared" si="11"/>
        <v>9.2269444444444441E-4</v>
      </c>
      <c r="K17" s="65">
        <f t="shared" si="11"/>
        <v>9.026180555555556E-4</v>
      </c>
      <c r="L17">
        <v>1.18</v>
      </c>
      <c r="Q17" s="64" t="s">
        <v>222</v>
      </c>
      <c r="R17" s="65">
        <f t="shared" si="2"/>
        <v>7.439305555555554E-4</v>
      </c>
      <c r="S17" s="65">
        <f t="shared" si="2"/>
        <v>7.1788425925925915E-4</v>
      </c>
      <c r="T17" s="65">
        <f t="shared" si="2"/>
        <v>6.8807870370370366E-4</v>
      </c>
      <c r="U17">
        <v>1.1599999999999999</v>
      </c>
      <c r="W17" s="64" t="s">
        <v>222</v>
      </c>
      <c r="X17" s="65">
        <f t="shared" ref="X17:Z17" si="12">X8*$AA17</f>
        <v>8.614074074074073E-4</v>
      </c>
      <c r="Y17" s="65">
        <f>Y8*$AA17</f>
        <v>8.2515740740740737E-4</v>
      </c>
      <c r="Z17" s="65">
        <f t="shared" si="12"/>
        <v>7.9857407407407394E-4</v>
      </c>
      <c r="AA17">
        <v>1.1599999999999999</v>
      </c>
    </row>
    <row r="18" spans="2:27" x14ac:dyDescent="0.45">
      <c r="B18" s="64" t="s">
        <v>223</v>
      </c>
      <c r="C18" s="65">
        <f t="shared" ref="C18:E18" si="13">C9*$F18</f>
        <v>1.9152777777777779E-3</v>
      </c>
      <c r="D18" s="65">
        <f t="shared" si="13"/>
        <v>1.8773611111111107E-3</v>
      </c>
      <c r="E18" s="65">
        <f t="shared" si="13"/>
        <v>1.8218055555555552E-3</v>
      </c>
      <c r="F18">
        <v>1.2</v>
      </c>
      <c r="H18" s="64" t="s">
        <v>223</v>
      </c>
      <c r="I18" s="65">
        <f t="shared" ref="I18:K18" si="14">I9*$L18</f>
        <v>1.9916597222222219E-3</v>
      </c>
      <c r="J18" s="65">
        <f t="shared" si="14"/>
        <v>1.9621597222222223E-3</v>
      </c>
      <c r="K18" s="65">
        <f t="shared" si="14"/>
        <v>1.9327962962962962E-3</v>
      </c>
      <c r="L18">
        <v>1.18</v>
      </c>
      <c r="Q18" s="64" t="s">
        <v>223</v>
      </c>
      <c r="R18" s="65">
        <f t="shared" si="2"/>
        <v>1.7049583333333331E-3</v>
      </c>
      <c r="S18" s="65">
        <f t="shared" si="2"/>
        <v>1.6571620370370371E-3</v>
      </c>
      <c r="T18" s="65">
        <f t="shared" si="2"/>
        <v>1.6026527777777777E-3</v>
      </c>
      <c r="U18">
        <v>1.1599999999999999</v>
      </c>
      <c r="W18" s="64" t="s">
        <v>223</v>
      </c>
      <c r="X18" s="65">
        <f t="shared" ref="X18:Z18" si="15">X9*$AA18</f>
        <v>1.8710370370370372E-3</v>
      </c>
      <c r="Y18" s="65">
        <f t="shared" si="15"/>
        <v>1.8347870370370369E-3</v>
      </c>
      <c r="Z18" s="65">
        <f t="shared" si="15"/>
        <v>1.8083379629629628E-3</v>
      </c>
      <c r="AA18">
        <v>1.1599999999999999</v>
      </c>
    </row>
    <row r="19" spans="2:27" x14ac:dyDescent="0.45">
      <c r="B19" s="64" t="s">
        <v>4</v>
      </c>
      <c r="C19" s="65">
        <f t="shared" ref="C19:E19" si="16">C10*$F19</f>
        <v>2.1024999999999998E-3</v>
      </c>
      <c r="D19" s="65">
        <f t="shared" si="16"/>
        <v>2.0587499999999998E-3</v>
      </c>
      <c r="E19" s="65">
        <f t="shared" si="16"/>
        <v>1.9945833333333335E-3</v>
      </c>
      <c r="F19">
        <v>1.2</v>
      </c>
      <c r="H19" s="64" t="s">
        <v>4</v>
      </c>
      <c r="I19" s="65">
        <f t="shared" ref="I19:K19" si="17">I10*$L19</f>
        <v>2.2291620370370369E-3</v>
      </c>
      <c r="J19" s="65">
        <f t="shared" si="17"/>
        <v>2.1813611111111109E-3</v>
      </c>
      <c r="K19" s="65">
        <f t="shared" si="17"/>
        <v>2.1334236111111111E-3</v>
      </c>
      <c r="L19">
        <v>1.18</v>
      </c>
      <c r="Q19" s="64" t="s">
        <v>4</v>
      </c>
      <c r="R19" s="65">
        <f t="shared" si="2"/>
        <v>1.8632499999999999E-3</v>
      </c>
      <c r="S19" s="65">
        <f t="shared" si="2"/>
        <v>1.845125E-3</v>
      </c>
      <c r="T19" s="65">
        <f t="shared" si="2"/>
        <v>1.7890046296296295E-3</v>
      </c>
      <c r="U19">
        <v>1.1599999999999999</v>
      </c>
      <c r="W19" s="64" t="s">
        <v>4</v>
      </c>
      <c r="X19" s="65">
        <f t="shared" ref="X19:Z19" si="18">X10*$AA19</f>
        <v>2.0501388888888887E-3</v>
      </c>
      <c r="Y19" s="65">
        <f t="shared" si="18"/>
        <v>1.992273148148148E-3</v>
      </c>
      <c r="Z19" s="65">
        <f t="shared" si="18"/>
        <v>1.9499814814814814E-3</v>
      </c>
      <c r="AA19">
        <v>1.1599999999999999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2026-02-09T02:24:30Z</dcterms:modified>
</cp:coreProperties>
</file>