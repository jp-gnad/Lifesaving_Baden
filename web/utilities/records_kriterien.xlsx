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1B30D4FF-83EA-48EC-AF67-EC7B4ACCE4F2}" xr6:coauthVersionLast="47" xr6:coauthVersionMax="47" xr10:uidLastSave="{00000000-0000-0000-0000-000000000000}"/>
  <bookViews>
    <workbookView xWindow="-98" yWindow="-98" windowWidth="21795" windowHeight="12975" tabRatio="687" firstSheet="1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" sheetId="16" r:id="rId8"/>
    <sheet name="NK-LK Transf." sheetId="14" r:id="rId9"/>
    <sheet name="LK Kalender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7" i="16" l="1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M37" i="16"/>
  <c r="M36" i="16"/>
  <c r="M35" i="16"/>
  <c r="M34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M33" i="16"/>
  <c r="M32" i="16"/>
  <c r="M31" i="16"/>
  <c r="M30" i="16"/>
  <c r="R29" i="16" l="1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M29" i="16"/>
  <c r="M28" i="16"/>
  <c r="M27" i="16"/>
  <c r="M26" i="16"/>
  <c r="M25" i="16"/>
  <c r="Z2" i="14"/>
  <c r="Z11" i="14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M24" i="16"/>
  <c r="M23" i="16"/>
  <c r="M22" i="16"/>
  <c r="M21" i="16"/>
  <c r="M20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M19" i="16"/>
  <c r="M18" i="16"/>
  <c r="M17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M16" i="16"/>
  <c r="M15" i="16"/>
  <c r="M14" i="16"/>
  <c r="R4" i="16"/>
  <c r="R3" i="16"/>
  <c r="R2" i="16"/>
  <c r="Q4" i="16"/>
  <c r="Q3" i="16"/>
  <c r="Q2" i="16"/>
  <c r="P4" i="16"/>
  <c r="P3" i="16"/>
  <c r="P2" i="16"/>
  <c r="O4" i="16"/>
  <c r="O3" i="16"/>
  <c r="O2" i="16"/>
  <c r="N4" i="16"/>
  <c r="N3" i="16"/>
  <c r="N2" i="16"/>
  <c r="M3" i="16"/>
  <c r="M2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M7" i="16"/>
  <c r="M6" i="16"/>
  <c r="M5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M10" i="16"/>
  <c r="M9" i="16"/>
  <c r="M8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M13" i="16"/>
  <c r="M12" i="16"/>
  <c r="M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M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<sst xmlns="http://schemas.openxmlformats.org/spreadsheetml/2006/main" count="672" uniqueCount="247">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</sst>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0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28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01" headerRowBorderDxfId="200" tableBorderDxfId="199">
  <autoFilter ref="A4:AW31" xr:uid="{2C5E83EE-6B6F-478A-9C90-A846A1A76536}"/>
  <tableColumns count="49">
    <tableColumn id="1" xr3:uid="{7C0C4105-A61A-4B8D-9129-EDC4F18765AF}" name="WR-Open" dataDxfId="198">
      <calculatedColumnFormula>A4+1</calculatedColumnFormula>
    </tableColumn>
    <tableColumn id="2" xr3:uid="{516F5612-F85F-413F-9012-E235F415E34B}" name="50m Retten - offen - W" dataDxfId="197"/>
    <tableColumn id="3" xr3:uid="{BC9ACAC9-0D45-42FD-B596-D19FBE3A4D83}" name="100m Retten - offen - W" dataDxfId="196"/>
    <tableColumn id="4" xr3:uid="{CB6DBE59-EB65-43F0-93E7-0BDC3F82832B}" name="100m Kombi - offen - W" dataDxfId="195"/>
    <tableColumn id="5" xr3:uid="{AA603C60-6831-4C14-A8CD-0AA050DA7551}" name="100m Lifesaver - offen - W" dataDxfId="194"/>
    <tableColumn id="6" xr3:uid="{7920F147-7717-4582-940A-2610F7D310CA}" name="200m Superlifesaver - offen - W" dataDxfId="193"/>
    <tableColumn id="7" xr3:uid="{04E21F1D-AC8D-4A1B-9B43-59B8F7901673}" name="200m Hindernis - offen - W" dataDxfId="192"/>
    <tableColumn id="8" xr3:uid="{40E8A083-653A-48A8-9B37-0A2D850B7829}" name="50m Retten - offen - M" dataDxfId="191"/>
    <tableColumn id="9" xr3:uid="{863824A9-134F-4189-BB14-225AE224FC44}" name="100m Retten - offen - M" dataDxfId="19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9"/>
    <tableColumn id="14" xr3:uid="{FA907992-7FCE-4CAD-8CF2-F5BEBC9B3756}" name="50m Retten - 17/18 - W" dataDxfId="188"/>
    <tableColumn id="15" xr3:uid="{76B63DC0-CB67-48F4-9B5A-D22902F59334}" name="100m Retten - 17/18 - W" dataDxfId="187"/>
    <tableColumn id="16" xr3:uid="{614A2419-51B1-44C0-8469-ADBFB078B81A}" name="100m Kombi -17/18 - W" dataDxfId="186"/>
    <tableColumn id="17" xr3:uid="{2EC953EE-367D-4524-A25E-8DE3B8168E34}" name="100m Lifesaver - 17/18 - W" dataDxfId="185"/>
    <tableColumn id="18" xr3:uid="{25711867-9BD7-4197-9094-A21392411249}" name="200m Superlifesaver - 17/18 - W" dataDxfId="184"/>
    <tableColumn id="19" xr3:uid="{262DB142-CFB1-45C3-9332-7273CACD1B62}" name="200m Hindernis - 17/18 - W" dataDxfId="183"/>
    <tableColumn id="20" xr3:uid="{938BA45A-8244-4637-8A14-DF49CD91A945}" name="50m Retten - 17/18 - M" dataDxfId="182"/>
    <tableColumn id="21" xr3:uid="{737E28D8-900F-4A98-95FE-EE7B0AFDEE90}" name="100m Retten - 17/18 - M" dataDxfId="181"/>
    <tableColumn id="22" xr3:uid="{330BD3A8-061C-45E2-ADDB-40C2F346772F}" name="100m Kombi - 17/18 - M" dataDxfId="180"/>
    <tableColumn id="23" xr3:uid="{0CADDE90-A167-4E1D-8D33-8624E5E1A4E2}" name="100m Lifesaver - 17/18 - M" dataDxfId="179"/>
    <tableColumn id="24" xr3:uid="{FCF9F42C-1291-4985-9D37-B9DE2DAA5DCB}" name="200m Superlifesaver - 17/18 - M" dataDxfId="178"/>
    <tableColumn id="25" xr3:uid="{4E5397B2-F924-4F48-AE69-AF6D650AF88D}" name="200m Hindernis - 17/18 - M" dataDxfId="177"/>
    <tableColumn id="26" xr3:uid="{0A78315A-BFDC-43EE-A66F-48B301F66508}" name="50m Retten - 15/16 - W" dataDxfId="176"/>
    <tableColumn id="27" xr3:uid="{D3FCF8BD-6C76-450D-80C0-CC0519A79731}" name="100m Retten - 15/16 - W" dataDxfId="175"/>
    <tableColumn id="28" xr3:uid="{6BE7937E-D62D-47CD-95DE-1730304B0DF3}" name="100m Kombi - 15/16 - W" dataDxfId="174"/>
    <tableColumn id="29" xr3:uid="{098BA5BE-5AF6-4187-89B6-534498F24C51}" name="100m Lifesaver -  15/16 - W" dataDxfId="173"/>
    <tableColumn id="30" xr3:uid="{2A6822CF-143C-4BF7-A440-5777527BE512}" name="200m Superlifesaver -  15/16 - W" dataDxfId="172"/>
    <tableColumn id="31" xr3:uid="{541C7145-CDEA-4E4E-9E7A-A4F05BA6C3E5}" name="200m Hindernis -  15/16 - W" dataDxfId="171"/>
    <tableColumn id="32" xr3:uid="{342C4488-8C61-42E6-87A9-C75BD8EB7452}" name="50m Retten - 15/16 - M" dataDxfId="170"/>
    <tableColumn id="33" xr3:uid="{857B1D46-7D20-47F7-AB9B-732D50346E32}" name="100m Retten - 15/16 - M" dataDxfId="169"/>
    <tableColumn id="34" xr3:uid="{4C8A2EB4-804B-45F1-A768-9A6958957F8B}" name="100m Kombi -15/16 - M" dataDxfId="168"/>
    <tableColumn id="35" xr3:uid="{26C75B4F-21EC-4EB0-A9A9-54BC80140672}" name="100m Lifesaver - 15/16 - M" dataDxfId="167"/>
    <tableColumn id="36" xr3:uid="{DBBB2A23-1A06-429A-A5D1-A547EF5EC16F}" name="200m Superlifesaver - 15/16 - M" dataDxfId="166"/>
    <tableColumn id="37" xr3:uid="{84061231-CAE5-427A-87F5-6DDBA99F77D2}" name="200m Hindernis - 15/16 - M" dataDxfId="165"/>
    <tableColumn id="38" xr3:uid="{878CCA80-A742-4B3C-90C9-E93BB814201B}" name="50m Retten - 13/14 - W" dataDxfId="164"/>
    <tableColumn id="39" xr3:uid="{A1F57102-61CF-4784-8DE2-0B8F32D5D699}" name="50m Retten mit Flossen - 13/14 - W" dataDxfId="163"/>
    <tableColumn id="40" xr3:uid="{0F6BAF78-3D79-42A9-9FED-E6D0E335A920}" name="100m Hindernis - 13/14 - W" dataDxfId="162"/>
    <tableColumn id="41" xr3:uid="{EB748A68-E10D-4D76-B315-8FDB3AC33C8D}" name="50m Retten - 13/14 - M" dataDxfId="161"/>
    <tableColumn id="42" xr3:uid="{C7B04167-6430-40F0-9A0F-D0D0BE2F9C77}" name="50m Retten mit Flossen - 13/14 - M" dataDxfId="160"/>
    <tableColumn id="43" xr3:uid="{48704BB7-A853-445A-8CDC-8D8F86C2B66A}" name="100m Hindernis - 13/14 - M" dataDxfId="159"/>
    <tableColumn id="44" xr3:uid="{9605FE9A-F41C-4A5F-A59C-B7A9D45C460F}" name="50m Flossen - 12 - W" dataDxfId="158"/>
    <tableColumn id="45" xr3:uid="{4C9DBF61-35B1-4BC2-8272-526E0AFAAFFB}" name="50m komb. Schwimmen - 12 - W" dataDxfId="157"/>
    <tableColumn id="46" xr3:uid="{CF433C95-C272-48F9-98CD-7E3C8DBB6F2C}" name="50m Hindernis - 12 - W" dataDxfId="156"/>
    <tableColumn id="47" xr3:uid="{FADB7411-DB43-4B14-B9E8-D74CA1BA18B8}" name="50m Flossen - 12 - M" dataDxfId="155"/>
    <tableColumn id="48" xr3:uid="{02936F84-1D82-48AC-8D7C-6D2954D68A06}" name="50m komb. Schwimmen - 12 - M" dataDxfId="154"/>
    <tableColumn id="49" xr3:uid="{7FD9BD11-0597-4E07-8DA5-DB53384197F5}" name="50m Hindernis - 12 - M" dataDxfId="1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2" dataDxfId="150" headerRowBorderDxfId="151" tableBorderDxfId="149">
  <autoFilter ref="A4:M32" xr:uid="{4234D44E-A2BE-4790-B589-1A8CC19B714E}"/>
  <tableColumns count="13">
    <tableColumn id="1" xr3:uid="{848E691A-41B0-42DD-B122-FB6DF43CB3EF}" name="WR-Youth" dataDxfId="148"/>
    <tableColumn id="2" xr3:uid="{2FE43F18-485B-46A9-8946-FBC5FDAE5A8E}" name="50m Retten" dataDxfId="147"/>
    <tableColumn id="3" xr3:uid="{CA5C3ABF-02E6-442B-868B-95B293B231D3}" name="100m Retten" dataDxfId="146"/>
    <tableColumn id="4" xr3:uid="{7A6BBA52-2145-464D-8C04-B2CCFC1A90DC}" name="100m Kombi" dataDxfId="145"/>
    <tableColumn id="5" xr3:uid="{21F420C9-E788-49EE-88F6-E37963ED31CF}" name="100m Lifesaver" dataDxfId="144"/>
    <tableColumn id="6" xr3:uid="{CB87B7CD-8A9C-4775-A4D7-4D267F43FD1A}" name="200m Superlifesaver" dataDxfId="143"/>
    <tableColumn id="7" xr3:uid="{2DC7F290-B564-4851-85AE-D211DA701B32}" name="200m Hindernis" dataDxfId="142"/>
    <tableColumn id="8" xr3:uid="{8112783D-8796-4D6A-8414-AC675D745697}" name="50m Retten2" dataDxfId="141"/>
    <tableColumn id="9" xr3:uid="{4E818CD4-8725-495D-9D1D-1AFCED9181F5}" name="100m Retten2" dataDxfId="140"/>
    <tableColumn id="10" xr3:uid="{28C05A91-E302-40A9-B50A-ECF997F129FC}" name="100m Kombi2" dataDxfId="139"/>
    <tableColumn id="11" xr3:uid="{D56FB9F2-45BF-4EC9-A84C-8A5FB59F2F05}" name="100m Lifesaver2" dataDxfId="138"/>
    <tableColumn id="12" xr3:uid="{540169C0-2A40-4794-A872-F7DF8A887BF2}" name="200m Superlifesaver2" dataDxfId="137"/>
    <tableColumn id="13" xr3:uid="{D104CB67-B55A-4C81-87E5-0AC758DD22A4}" name="200m Hindernis2" dataDxfId="1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5" headerRowBorderDxfId="134" tableBorderDxfId="133">
  <autoFilter ref="A4:M32" xr:uid="{E2D2F97B-7645-4066-8AB3-F35CF6E035EB}"/>
  <tableColumns count="13">
    <tableColumn id="1" xr3:uid="{AE73402B-B27E-4B29-8DCF-30B7FC1855EF}" name="WR-Open" dataDxfId="132">
      <calculatedColumnFormula>A4+1</calculatedColumnFormula>
    </tableColumn>
    <tableColumn id="2" xr3:uid="{EA3EAC1F-184E-4A28-B3E3-08DE12F138EF}" name="50m Retten" dataDxfId="131"/>
    <tableColumn id="3" xr3:uid="{E0305A3F-6087-4F8C-8B64-153E1ACAA32E}" name="100m Retten" dataDxfId="130"/>
    <tableColumn id="4" xr3:uid="{F0B7AC37-315E-49AA-855C-7955D2B43A76}" name="100m Kombi" dataDxfId="129"/>
    <tableColumn id="5" xr3:uid="{B5E690AB-DB7D-4864-8916-89D2A68C4128}" name="100m Lifesaver" dataDxfId="128"/>
    <tableColumn id="6" xr3:uid="{D89BAF4D-36AE-4C73-9320-9C5736F02F8A}" name="200m Superlifesaver" dataDxfId="127"/>
    <tableColumn id="7" xr3:uid="{58AE7517-1A90-459F-A7D2-B95265D217E7}" name="200m Hindernis" dataDxfId="126"/>
    <tableColumn id="8" xr3:uid="{13A189FB-E897-4A1F-A001-525F61E9CFFF}" name="50m Retten2" dataDxfId="125"/>
    <tableColumn id="9" xr3:uid="{36418AC5-46B8-400F-BD2E-D329CF4F92CD}" name="100m Retten2" dataDxfId="12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3" dataDxfId="12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21"/>
    <tableColumn id="2" xr3:uid="{2F302F6C-F8AF-4FDE-AB08-6F30F9671015}" name="Geschlecht" dataDxfId="120"/>
    <tableColumn id="3" xr3:uid="{4D91FBF9-386D-43DD-90D0-B49823FDB629}" name="Mindest alter" dataDxfId="119"/>
    <tableColumn id="4" xr3:uid="{4126AAC6-AF2F-446C-B4EA-D86ACFD9FAC2}" name="Maximales Alter" dataDxfId="118"/>
    <tableColumn id="5" xr3:uid="{8A10890A-A299-4B09-AC72-0E9AE9238AF3}" name="Qualizeitraum anfang" dataDxfId="117"/>
    <tableColumn id="6" xr3:uid="{FBCD1C13-FC82-429B-8DE1-0C5A455FDAB8}" name="Qualizeitraum Ende" dataDxfId="116"/>
    <tableColumn id="7" xr3:uid="{1DCCAC9B-BC46-468E-A3CE-57576C2FF11D}" name="Letzter Wettkampf am" dataDxfId="115"/>
    <tableColumn id="8" xr3:uid="{9A6E47EE-ABD8-4A1E-87D3-9D286E4C124F}" name="Wertung" dataDxfId="114"/>
    <tableColumn id="9" xr3:uid="{09E848D2-ED17-49C7-9775-CBF17D20DFC0}" name="Landesverband" dataDxfId="113"/>
    <tableColumn id="10" xr3:uid="{70ABB713-23F6-4FCF-920E-3CB0CD451446}" name="OMS" dataDxfId="112"/>
    <tableColumn id="11" xr3:uid="{9C108A1C-E6AB-4C13-9C1D-0FA8944A39A3}" name="Pool-Länge" dataDxfId="111"/>
    <tableColumn id="12" xr3:uid="{087948DD-430D-48F1-906D-4F4EF4B46053}" name="Regelwerk" dataDxfId="110"/>
    <tableColumn id="13" xr3:uid="{BF42D9C0-F77D-4971-A67E-32B0246C72C3}" name="Referenz" dataDxfId="109"/>
    <tableColumn id="19" xr3:uid="{AFFB84E8-B398-4E99-805B-9A247071A040}" name="Referenz Jahr" dataDxfId="108"/>
    <tableColumn id="20" xr3:uid="{0A59A474-DFBB-4437-8EFF-70284AFD9934}" name="Mindest Punktzahl" dataDxfId="107"/>
    <tableColumn id="21" xr3:uid="{198BD231-EEF3-43C9-AD9B-39B4B7E9B337}" name="Mindest Disziplinen" dataDxfId="106"/>
    <tableColumn id="14" xr3:uid="{443CD4F6-A2B2-480B-BB35-DCEEBC531727}" name="3-Kampf Regel" dataDxfId="105"/>
    <tableColumn id="15" xr3:uid="{70116160-7666-42B1-92AC-FAC2620E6A60}" name="Anzahl Nominierte" dataDxfId="104"/>
    <tableColumn id="16" xr3:uid="{0EFD0A46-D12B-4AB0-907C-08E5D9F282E0}" name="Anzahl Nachrücker" dataDxfId="103"/>
    <tableColumn id="17" xr3:uid="{AA5430A0-8ED8-40E8-B7F8-DA25E4E8790F}" name="Seiten Anzahl" dataDxfId="102"/>
    <tableColumn id="18" xr3:uid="{16F699D9-2741-43F3-AD5F-826A568EFEAC}" name="Absagen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0" dataDxfId="99">
  <autoFilter ref="A1:U7" xr:uid="{CDBF6724-48A1-41AB-94B5-CC35C54BB15C}"/>
  <tableColumns count="21">
    <tableColumn id="1" xr3:uid="{E1FB3D0C-B874-4874-BACC-6872CF171957}" name="Tabellen Name" dataDxfId="98"/>
    <tableColumn id="2" xr3:uid="{FFDD2777-2097-450C-B020-F133CF643855}" name="Geschlecht" dataDxfId="97"/>
    <tableColumn id="3" xr3:uid="{8CF52BE2-8020-48BD-A36D-63F13A1878DE}" name="Mindest alter" dataDxfId="96"/>
    <tableColumn id="4" xr3:uid="{FD3A030F-CD97-4B6F-8E8C-BC2E67D79F1D}" name="Maximales Alter" dataDxfId="95"/>
    <tableColumn id="5" xr3:uid="{3E22B645-D77C-4509-B031-9914FCB91599}" name="Qualizeitraum anfang" dataDxfId="94"/>
    <tableColumn id="6" xr3:uid="{AE299324-3C1C-4063-ADF9-54555A161734}" name="Qualizeitraum Ende" dataDxfId="93"/>
    <tableColumn id="7" xr3:uid="{DCC178B3-11FC-4C53-BBC6-C2FDA2C89857}" name="Letzter Wettkampf am" dataDxfId="92"/>
    <tableColumn id="8" xr3:uid="{2811DB01-60A5-4BE4-B6F9-A806398A602A}" name="Wertung" dataDxfId="91"/>
    <tableColumn id="9" xr3:uid="{0C16DAFE-847D-4E9E-9604-3A7D9FE924D0}" name="Landesverband" dataDxfId="90"/>
    <tableColumn id="10" xr3:uid="{7A8A4101-A553-4BD5-9116-9AA5876B9401}" name="OMS" dataDxfId="89"/>
    <tableColumn id="11" xr3:uid="{9807C9BD-6499-45F6-ACE0-4D13D64EF675}" name="Pool-Länge" dataDxfId="88"/>
    <tableColumn id="12" xr3:uid="{13D336DD-650F-4F2C-836F-361CA1528F6D}" name="Regelwerk" dataDxfId="87"/>
    <tableColumn id="13" xr3:uid="{66660E2D-ADF2-4FB5-8A13-004F826EE908}" name="Referenz" dataDxfId="86"/>
    <tableColumn id="19" xr3:uid="{D72EDF8B-ECC3-4FF7-ABE6-B60BCE4A5E26}" name="Referenz Jahr" dataDxfId="85"/>
    <tableColumn id="20" xr3:uid="{7B18E667-70F7-4BC1-AB1B-21C019F2AA89}" name="Mindest Punktzahl" dataDxfId="84"/>
    <tableColumn id="21" xr3:uid="{FC185946-681B-42A6-AB1A-FC1EABB668C5}" name="Mindest Disziplinen" dataDxfId="83"/>
    <tableColumn id="14" xr3:uid="{6A2676FD-2EC7-4C41-A35E-A1597A38F932}" name="3-Kampf Regel" dataDxfId="82"/>
    <tableColumn id="15" xr3:uid="{718E0917-4F83-4A2B-832F-EBB16D5E21BF}" name="Anzahl Nominierte" dataDxfId="81"/>
    <tableColumn id="16" xr3:uid="{5C66A461-D647-4E00-A81C-FD7AD44D7CC2}" name="Anzahl Nachrücker" dataDxfId="80"/>
    <tableColumn id="17" xr3:uid="{D434BDEC-293B-4B4E-A5E9-479438960A03}" name="Seiten Anzahl" dataDxfId="79"/>
    <tableColumn id="18" xr3:uid="{80908229-9247-473F-81C0-9C9D4C12FF06}" name="Absage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51" dataDxfId="50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X37" totalsRowShown="0" headerRowDxfId="227" dataDxfId="226">
  <autoFilter ref="A1:X37" xr:uid="{FED162EE-531E-453F-8C25-562B59ECE709}"/>
  <tableColumns count="24">
    <tableColumn id="1" xr3:uid="{F985A4F0-6B8C-47C6-816F-1A31A4973EB2}" name="Tabellen Name" dataDxfId="225"/>
    <tableColumn id="2" xr3:uid="{5E5AD859-71A2-4E8E-B434-431A89C05C57}" name="Geschlecht" dataDxfId="224"/>
    <tableColumn id="3" xr3:uid="{85BB892C-E151-404B-8974-FC5199E0909C}" name="Mindest Alter" dataDxfId="223"/>
    <tableColumn id="4" xr3:uid="{790F6CF9-E475-4082-AE03-D30EDE22FB61}" name="Maximales Alter" dataDxfId="222"/>
    <tableColumn id="5" xr3:uid="{FD4B0E6E-9B64-4731-A50F-D3CE3A4ED3FC}" name="Qualizeitraum anfang" dataDxfId="221"/>
    <tableColumn id="6" xr3:uid="{5E84CAD2-C403-49B9-BB06-D56EC5784C8C}" name="Qualizeitraum Ende" dataDxfId="220"/>
    <tableColumn id="7" xr3:uid="{6323F8E2-5DA4-4E5B-9C35-1E8C219ADECF}" name="Letzter Wettkampf am" dataDxfId="219"/>
    <tableColumn id="8" xr3:uid="{D2845930-152E-432F-92A0-E7F7A3EE1FF0}" name="Landesverband" dataDxfId="218"/>
    <tableColumn id="9" xr3:uid="{87046373-5CCD-41EC-B34C-C753E71FD26C}" name="OMS" dataDxfId="217"/>
    <tableColumn id="10" xr3:uid="{A685FE01-F23C-4533-B399-857F5A1F6C37}" name="Pool-Länge" dataDxfId="216"/>
    <tableColumn id="11" xr3:uid="{11E0A508-0C9D-4CB6-952E-7FAC5D05BDCD}" name="Regelwerk" dataDxfId="215"/>
    <tableColumn id="12" xr3:uid="{F220BD5F-C3B5-4935-996A-BFCDF9F392D9}" name="Seiten Anzahl" dataDxfId="214"/>
    <tableColumn id="13" xr3:uid="{A0A5E62D-9354-426D-9A08-13E43F36F55B}" name="PZ1 - 50m Retten" dataDxfId="213"/>
    <tableColumn id="14" xr3:uid="{5D70F54C-57E9-45E2-BC99-0DBB0422383E}" name="PZ1 - 100m Retten" dataDxfId="212"/>
    <tableColumn id="15" xr3:uid="{1C0CF5DB-156E-4813-A8BA-9EA29A40ABF3}" name="PZ1 - 100m Kombi" dataDxfId="211"/>
    <tableColumn id="16" xr3:uid="{691CD4E1-13D9-4455-A2D1-14C9BC41A0EA}" name="PZ1 - 100m Lifesaver" dataDxfId="210"/>
    <tableColumn id="17" xr3:uid="{CE1BA235-770B-4FA4-B327-187675DDA6B8}" name="PZ1 - 200m Super-Lifesaver" dataDxfId="209"/>
    <tableColumn id="18" xr3:uid="{A326EF87-5FF5-4042-85D3-7806FEED4CFA}" name="PZ1 - 200m Hindernis" dataDxfId="208"/>
    <tableColumn id="19" xr3:uid="{ABA5540C-4356-4D68-8579-E660F9FD6EA8}" name="PZ2 - 50m Retten" dataDxfId="207"/>
    <tableColumn id="20" xr3:uid="{62E98437-16C9-4433-8683-E3C8A1B80E76}" name="PZ2 - 100m Retten" dataDxfId="206"/>
    <tableColumn id="21" xr3:uid="{ED4E9448-4073-4B27-A491-5385DED08F83}" name="PZ2 - 100m Kombi" dataDxfId="205"/>
    <tableColumn id="22" xr3:uid="{53F3DC0A-267B-434A-BD8A-320943916288}" name="PZ2 - 100m Lifesaver" dataDxfId="204"/>
    <tableColumn id="23" xr3:uid="{1586F43C-8AD2-4942-A098-687AF0A028AC}" name="PZ2 - 200m Super-Lifesaver" dataDxfId="203"/>
    <tableColumn id="24" xr3:uid="{98AA496B-EB58-437E-91F5-800894DDD85F}" name="PZ2 - 200m Hindernis" dataDxfId="20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8" t="s">
        <v>13</v>
      </c>
      <c r="B1" s="9" t="s">
        <v>52</v>
      </c>
      <c r="C1" s="9"/>
      <c r="D1" s="9" t="s">
        <v>52</v>
      </c>
      <c r="E1" s="9"/>
      <c r="F1" s="9"/>
      <c r="G1" s="9"/>
      <c r="H1" s="10" t="s">
        <v>68</v>
      </c>
      <c r="I1" s="10" t="s">
        <v>69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94</v>
      </c>
      <c r="U1" s="10"/>
      <c r="V1" s="10"/>
      <c r="W1" s="10"/>
      <c r="X1" s="10" t="s">
        <v>94</v>
      </c>
      <c r="Y1" s="10" t="s">
        <v>94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124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4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70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98</v>
      </c>
      <c r="U2" s="11"/>
      <c r="V2" s="11"/>
      <c r="W2" s="11"/>
      <c r="X2" s="11" t="s">
        <v>97</v>
      </c>
      <c r="Y2" s="11" t="s">
        <v>95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45">
      <c r="A3" s="8" t="s">
        <v>67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96</v>
      </c>
      <c r="U3" s="11"/>
      <c r="V3" s="11"/>
      <c r="W3" s="11"/>
      <c r="X3" s="11" t="s">
        <v>96</v>
      </c>
      <c r="Y3" s="11" t="s">
        <v>96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125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5">
      <c r="A4" s="15" t="s">
        <v>6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7" t="s">
        <v>76</v>
      </c>
      <c r="H4" s="18" t="s">
        <v>77</v>
      </c>
      <c r="I4" s="18" t="s">
        <v>78</v>
      </c>
      <c r="J4" s="18" t="s">
        <v>79</v>
      </c>
      <c r="K4" s="18" t="s">
        <v>80</v>
      </c>
      <c r="L4" s="18" t="s">
        <v>81</v>
      </c>
      <c r="M4" s="20" t="s">
        <v>82</v>
      </c>
      <c r="N4" s="23" t="s">
        <v>83</v>
      </c>
      <c r="O4" s="23" t="s">
        <v>84</v>
      </c>
      <c r="P4" s="23" t="s">
        <v>85</v>
      </c>
      <c r="Q4" s="23" t="s">
        <v>86</v>
      </c>
      <c r="R4" s="23" t="s">
        <v>87</v>
      </c>
      <c r="S4" s="23" t="s">
        <v>88</v>
      </c>
      <c r="T4" s="18" t="s">
        <v>126</v>
      </c>
      <c r="U4" s="18" t="s">
        <v>89</v>
      </c>
      <c r="V4" s="18" t="s">
        <v>90</v>
      </c>
      <c r="W4" s="18" t="s">
        <v>91</v>
      </c>
      <c r="X4" s="18" t="s">
        <v>92</v>
      </c>
      <c r="Y4" s="20" t="s">
        <v>93</v>
      </c>
      <c r="Z4" s="23" t="s">
        <v>100</v>
      </c>
      <c r="AA4" s="23" t="s">
        <v>112</v>
      </c>
      <c r="AB4" s="23" t="s">
        <v>101</v>
      </c>
      <c r="AC4" s="23" t="s">
        <v>102</v>
      </c>
      <c r="AD4" s="23" t="s">
        <v>103</v>
      </c>
      <c r="AE4" s="23" t="s">
        <v>104</v>
      </c>
      <c r="AF4" s="18" t="s">
        <v>106</v>
      </c>
      <c r="AG4" s="18" t="s">
        <v>105</v>
      </c>
      <c r="AH4" s="18" t="s">
        <v>107</v>
      </c>
      <c r="AI4" s="18" t="s">
        <v>108</v>
      </c>
      <c r="AJ4" s="18" t="s">
        <v>109</v>
      </c>
      <c r="AK4" s="20" t="s">
        <v>110</v>
      </c>
      <c r="AL4" s="23" t="s">
        <v>111</v>
      </c>
      <c r="AM4" s="23" t="s">
        <v>114</v>
      </c>
      <c r="AN4" s="24" t="s">
        <v>115</v>
      </c>
      <c r="AO4" s="18" t="s">
        <v>113</v>
      </c>
      <c r="AP4" s="18" t="s">
        <v>116</v>
      </c>
      <c r="AQ4" s="20" t="s">
        <v>117</v>
      </c>
      <c r="AR4" s="23" t="s">
        <v>118</v>
      </c>
      <c r="AS4" s="23" t="s">
        <v>119</v>
      </c>
      <c r="AT4" s="23" t="s">
        <v>122</v>
      </c>
      <c r="AU4" s="18" t="s">
        <v>120</v>
      </c>
      <c r="AV4" s="18" t="s">
        <v>121</v>
      </c>
      <c r="AW4" s="18" t="s">
        <v>123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45">
      <c r="A2" s="8" t="s">
        <v>14</v>
      </c>
      <c r="B2" s="11" t="s">
        <v>41</v>
      </c>
      <c r="C2" s="11" t="s">
        <v>42</v>
      </c>
      <c r="D2" s="11" t="s">
        <v>39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45</v>
      </c>
      <c r="M2" s="11" t="s">
        <v>50</v>
      </c>
    </row>
    <row r="3" spans="1:13" ht="16.5" customHeight="1" x14ac:dyDescent="0.4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4.65" thickBot="1" x14ac:dyDescent="0.5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52</v>
      </c>
      <c r="C1" s="9" t="s">
        <v>54</v>
      </c>
      <c r="D1" s="9" t="s">
        <v>52</v>
      </c>
      <c r="E1" s="9" t="s">
        <v>56</v>
      </c>
      <c r="F1" s="9" t="s">
        <v>57</v>
      </c>
      <c r="G1" s="9" t="s">
        <v>59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40</v>
      </c>
      <c r="M1" s="10" t="s">
        <v>35</v>
      </c>
    </row>
    <row r="2" spans="1:13" ht="16.5" customHeight="1" x14ac:dyDescent="0.45">
      <c r="A2" s="8" t="s">
        <v>14</v>
      </c>
      <c r="B2" s="11" t="s">
        <v>11</v>
      </c>
      <c r="C2" s="11" t="s">
        <v>55</v>
      </c>
      <c r="D2" s="11" t="s">
        <v>36</v>
      </c>
      <c r="E2" s="11" t="s">
        <v>41</v>
      </c>
      <c r="F2" s="11" t="s">
        <v>58</v>
      </c>
      <c r="G2" s="11" t="s">
        <v>60</v>
      </c>
      <c r="H2" s="11" t="s">
        <v>39</v>
      </c>
      <c r="I2" s="11" t="s">
        <v>33</v>
      </c>
      <c r="J2" s="11" t="s">
        <v>99</v>
      </c>
      <c r="K2" s="11" t="s">
        <v>39</v>
      </c>
      <c r="L2" s="11" t="s">
        <v>51</v>
      </c>
      <c r="M2" s="11" t="s">
        <v>39</v>
      </c>
    </row>
    <row r="3" spans="1:13" ht="16.5" customHeight="1" x14ac:dyDescent="0.45">
      <c r="A3" s="8" t="s">
        <v>15</v>
      </c>
      <c r="B3" s="11" t="s">
        <v>53</v>
      </c>
      <c r="C3" s="11" t="s">
        <v>19</v>
      </c>
      <c r="D3" s="11" t="s">
        <v>53</v>
      </c>
      <c r="E3" s="11" t="s">
        <v>17</v>
      </c>
      <c r="F3" s="11" t="s">
        <v>34</v>
      </c>
      <c r="G3" s="11" t="s">
        <v>61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19</v>
      </c>
      <c r="M3" s="11" t="s">
        <v>37</v>
      </c>
    </row>
    <row r="4" spans="1:13" ht="14.65" thickBot="1" x14ac:dyDescent="0.5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1.4233796296296295E-3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163</v>
      </c>
      <c r="B2" s="25" t="s">
        <v>130</v>
      </c>
      <c r="C2" s="25">
        <v>15</v>
      </c>
      <c r="D2" s="25">
        <v>50</v>
      </c>
      <c r="E2" s="25" t="s">
        <v>183</v>
      </c>
      <c r="F2" s="25" t="s">
        <v>184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182</v>
      </c>
      <c r="O2" s="25">
        <v>0</v>
      </c>
      <c r="P2" s="25">
        <v>3</v>
      </c>
      <c r="Q2" s="25" t="s">
        <v>146</v>
      </c>
      <c r="R2" s="25">
        <v>6</v>
      </c>
      <c r="S2" s="25">
        <v>2</v>
      </c>
      <c r="T2" s="25">
        <v>10</v>
      </c>
      <c r="U2" s="25" t="s">
        <v>150</v>
      </c>
    </row>
    <row r="3" spans="1:21" x14ac:dyDescent="0.45">
      <c r="A3" s="25" t="s">
        <v>164</v>
      </c>
      <c r="B3" s="25" t="s">
        <v>148</v>
      </c>
      <c r="C3" s="25">
        <v>15</v>
      </c>
      <c r="D3" s="25">
        <v>50</v>
      </c>
      <c r="E3" s="25" t="s">
        <v>183</v>
      </c>
      <c r="F3" s="25" t="s">
        <v>184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182</v>
      </c>
      <c r="O3" s="25">
        <v>0</v>
      </c>
      <c r="P3" s="25">
        <v>3</v>
      </c>
      <c r="Q3" s="25" t="s">
        <v>146</v>
      </c>
      <c r="R3" s="25">
        <v>6</v>
      </c>
      <c r="S3" s="25">
        <v>2</v>
      </c>
      <c r="T3" s="25">
        <v>10</v>
      </c>
      <c r="U3" s="25" t="s">
        <v>149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10" sqref="E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155</v>
      </c>
      <c r="B2" s="25" t="s">
        <v>130</v>
      </c>
      <c r="C2" s="25">
        <v>19</v>
      </c>
      <c r="D2" s="25">
        <v>50</v>
      </c>
      <c r="E2" s="25" t="s">
        <v>218</v>
      </c>
      <c r="F2" s="25" t="s">
        <v>161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 t="s">
        <v>150</v>
      </c>
    </row>
    <row r="3" spans="1:21" x14ac:dyDescent="0.45">
      <c r="A3" s="25" t="s">
        <v>156</v>
      </c>
      <c r="B3" s="25" t="s">
        <v>148</v>
      </c>
      <c r="C3" s="25">
        <v>19</v>
      </c>
      <c r="D3" s="25">
        <v>50</v>
      </c>
      <c r="E3" s="25" t="s">
        <v>218</v>
      </c>
      <c r="F3" s="25" t="s">
        <v>161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 t="s">
        <v>149</v>
      </c>
    </row>
    <row r="4" spans="1:21" x14ac:dyDescent="0.45">
      <c r="A4" s="25" t="s">
        <v>157</v>
      </c>
      <c r="B4" s="25" t="s">
        <v>130</v>
      </c>
      <c r="C4" s="25">
        <v>17</v>
      </c>
      <c r="D4" s="25">
        <v>18</v>
      </c>
      <c r="E4" s="25" t="s">
        <v>218</v>
      </c>
      <c r="F4" s="25" t="s">
        <v>161</v>
      </c>
      <c r="G4" s="25" t="s">
        <v>162</v>
      </c>
      <c r="H4" s="25" t="s">
        <v>143</v>
      </c>
      <c r="I4" s="25" t="s">
        <v>144</v>
      </c>
      <c r="J4" s="25" t="s">
        <v>145</v>
      </c>
      <c r="K4" s="25"/>
      <c r="L4" s="25"/>
      <c r="M4" s="25" t="s">
        <v>6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 t="s">
        <v>219</v>
      </c>
    </row>
    <row r="5" spans="1:21" x14ac:dyDescent="0.45">
      <c r="A5" s="25" t="s">
        <v>158</v>
      </c>
      <c r="B5" s="25" t="s">
        <v>148</v>
      </c>
      <c r="C5" s="25">
        <v>17</v>
      </c>
      <c r="D5" s="25">
        <v>18</v>
      </c>
      <c r="E5" s="25" t="s">
        <v>218</v>
      </c>
      <c r="F5" s="25" t="s">
        <v>161</v>
      </c>
      <c r="G5" s="25" t="s">
        <v>162</v>
      </c>
      <c r="H5" s="25" t="s">
        <v>143</v>
      </c>
      <c r="I5" s="25" t="s">
        <v>144</v>
      </c>
      <c r="J5" s="25" t="s">
        <v>145</v>
      </c>
      <c r="K5" s="25"/>
      <c r="L5" s="25"/>
      <c r="M5" s="25" t="s">
        <v>6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  <row r="6" spans="1:21" x14ac:dyDescent="0.45">
      <c r="A6" s="25" t="s">
        <v>159</v>
      </c>
      <c r="B6" s="25" t="s">
        <v>130</v>
      </c>
      <c r="C6" s="25">
        <v>15</v>
      </c>
      <c r="D6" s="25">
        <v>16</v>
      </c>
      <c r="E6" s="25" t="s">
        <v>218</v>
      </c>
      <c r="F6" s="25" t="s">
        <v>161</v>
      </c>
      <c r="G6" s="25" t="s">
        <v>162</v>
      </c>
      <c r="H6" s="25" t="s">
        <v>143</v>
      </c>
      <c r="I6" s="25" t="s">
        <v>144</v>
      </c>
      <c r="J6" s="25" t="s">
        <v>145</v>
      </c>
      <c r="K6" s="25"/>
      <c r="L6" s="25"/>
      <c r="M6" s="25" t="s">
        <v>6</v>
      </c>
      <c r="N6" s="25" t="s">
        <v>152</v>
      </c>
      <c r="O6" s="25">
        <v>0</v>
      </c>
      <c r="P6" s="25">
        <v>3</v>
      </c>
      <c r="Q6" s="25" t="s">
        <v>145</v>
      </c>
      <c r="R6" s="25">
        <v>0</v>
      </c>
      <c r="S6" s="25">
        <v>0</v>
      </c>
      <c r="T6" s="25">
        <v>10</v>
      </c>
      <c r="U6" s="25"/>
    </row>
    <row r="7" spans="1:21" x14ac:dyDescent="0.45">
      <c r="A7" s="25" t="s">
        <v>160</v>
      </c>
      <c r="B7" s="25" t="s">
        <v>148</v>
      </c>
      <c r="C7" s="25">
        <v>15</v>
      </c>
      <c r="D7" s="25">
        <v>16</v>
      </c>
      <c r="E7" s="25" t="s">
        <v>218</v>
      </c>
      <c r="F7" s="25" t="s">
        <v>161</v>
      </c>
      <c r="G7" s="25" t="s">
        <v>162</v>
      </c>
      <c r="H7" s="25" t="s">
        <v>143</v>
      </c>
      <c r="I7" s="25" t="s">
        <v>144</v>
      </c>
      <c r="J7" s="25" t="s">
        <v>145</v>
      </c>
      <c r="K7" s="25"/>
      <c r="L7" s="25"/>
      <c r="M7" s="25" t="s">
        <v>6</v>
      </c>
      <c r="N7" s="25" t="s">
        <v>152</v>
      </c>
      <c r="O7" s="25">
        <v>0</v>
      </c>
      <c r="P7" s="25">
        <v>3</v>
      </c>
      <c r="Q7" s="25" t="s">
        <v>145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178</v>
      </c>
      <c r="B2" s="25" t="s">
        <v>130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144</v>
      </c>
      <c r="I2" s="25" t="s">
        <v>146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45">
      <c r="A3" s="25" t="s">
        <v>179</v>
      </c>
      <c r="B3" s="25" t="s">
        <v>148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144</v>
      </c>
      <c r="I3" s="25" t="s">
        <v>146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45">
      <c r="A4" s="25" t="s">
        <v>180</v>
      </c>
      <c r="B4" s="25" t="s">
        <v>130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144</v>
      </c>
      <c r="I4" s="25" t="s">
        <v>146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45">
      <c r="A5" s="25" t="s">
        <v>181</v>
      </c>
      <c r="B5" s="25" t="s">
        <v>148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144</v>
      </c>
      <c r="I5" s="25" t="s">
        <v>146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45">
      <c r="A6" s="25" t="s">
        <v>155</v>
      </c>
      <c r="B6" s="25" t="s">
        <v>130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144</v>
      </c>
      <c r="I6" s="25" t="s">
        <v>146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45">
      <c r="A7" s="25" t="s">
        <v>156</v>
      </c>
      <c r="B7" s="25" t="s">
        <v>148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144</v>
      </c>
      <c r="I7" s="25" t="s">
        <v>146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H1" zoomScale="83" workbookViewId="0">
      <selection activeCell="D8" sqref="D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189</v>
      </c>
      <c r="B2" s="25" t="s">
        <v>130</v>
      </c>
      <c r="C2" s="25">
        <v>15</v>
      </c>
      <c r="D2" s="25">
        <v>18</v>
      </c>
      <c r="E2" s="27">
        <v>45658</v>
      </c>
      <c r="F2" s="27">
        <v>46174</v>
      </c>
      <c r="G2" s="27">
        <v>45658</v>
      </c>
      <c r="H2" s="25" t="s">
        <v>144</v>
      </c>
      <c r="I2" s="25" t="s">
        <v>145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45">
      <c r="A3" s="25" t="s">
        <v>190</v>
      </c>
      <c r="B3" s="25" t="s">
        <v>148</v>
      </c>
      <c r="C3" s="25">
        <v>15</v>
      </c>
      <c r="D3" s="25">
        <v>18</v>
      </c>
      <c r="E3" s="27">
        <v>45658</v>
      </c>
      <c r="F3" s="27">
        <v>46174</v>
      </c>
      <c r="G3" s="27">
        <v>45658</v>
      </c>
      <c r="H3" s="25" t="s">
        <v>144</v>
      </c>
      <c r="I3" s="25" t="s">
        <v>145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X37"/>
  <sheetViews>
    <sheetView tabSelected="1" workbookViewId="0">
      <selection activeCell="A13" sqref="A13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241</v>
      </c>
      <c r="B2" s="25" t="s">
        <v>130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144</v>
      </c>
      <c r="I2" s="25" t="s">
        <v>146</v>
      </c>
      <c r="J2" s="25"/>
      <c r="K2" s="25"/>
      <c r="L2" s="25">
        <v>10</v>
      </c>
      <c r="M2" s="28">
        <f>'NK-LK Transf.'!BQ12</f>
        <v>5.3782870370370367E-4</v>
      </c>
      <c r="N2" s="28">
        <f>'NK-LK Transf.'!BQ14</f>
        <v>8.139814814814815E-4</v>
      </c>
      <c r="O2" s="28">
        <f>'NK-LK Transf.'!BQ13</f>
        <v>1.1029722222222222E-3</v>
      </c>
      <c r="P2" s="28">
        <f>'NK-LK Transf.'!BQ15</f>
        <v>9.026180555555556E-4</v>
      </c>
      <c r="Q2" s="28">
        <f>'NK-LK Transf.'!BQ17</f>
        <v>2.1334236111111111E-3</v>
      </c>
      <c r="R2" s="28">
        <f>'NK-LK Transf.'!BQ16</f>
        <v>1.9327962962962964E-3</v>
      </c>
      <c r="S2" s="28"/>
      <c r="T2" s="28"/>
      <c r="U2" s="28"/>
      <c r="V2" s="28"/>
      <c r="W2" s="28"/>
      <c r="X2" s="28"/>
    </row>
    <row r="3" spans="1:24" x14ac:dyDescent="0.45">
      <c r="A3" s="25" t="s">
        <v>241</v>
      </c>
      <c r="B3" s="25" t="s">
        <v>130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144</v>
      </c>
      <c r="I3" s="25" t="s">
        <v>146</v>
      </c>
      <c r="J3" s="25"/>
      <c r="K3" s="25"/>
      <c r="L3" s="25">
        <v>10</v>
      </c>
      <c r="M3" s="28">
        <f>'NK-LK Transf.'!BP12</f>
        <v>5.5107638888888893E-4</v>
      </c>
      <c r="N3" s="28">
        <f>'NK-LK Transf.'!BP14</f>
        <v>8.3037037037037031E-4</v>
      </c>
      <c r="O3" s="28">
        <f>'NK-LK Transf.'!BP13</f>
        <v>1.1436712962962963E-3</v>
      </c>
      <c r="P3" s="28">
        <f>'NK-LK Transf.'!BP15</f>
        <v>9.2269444444444452E-4</v>
      </c>
      <c r="Q3" s="28">
        <f>'NK-LK Transf.'!BP17</f>
        <v>2.1813611111111113E-3</v>
      </c>
      <c r="R3" s="28">
        <f>'NK-LK Transf.'!BP16</f>
        <v>1.9621597222222223E-3</v>
      </c>
      <c r="S3" s="28"/>
      <c r="T3" s="28"/>
      <c r="U3" s="28"/>
      <c r="V3" s="28"/>
      <c r="W3" s="28"/>
      <c r="X3" s="28"/>
    </row>
    <row r="4" spans="1:24" x14ac:dyDescent="0.45">
      <c r="A4" s="25" t="s">
        <v>241</v>
      </c>
      <c r="B4" s="25" t="s">
        <v>130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144</v>
      </c>
      <c r="I4" s="25" t="s">
        <v>146</v>
      </c>
      <c r="J4" s="25"/>
      <c r="K4" s="25"/>
      <c r="L4" s="25">
        <v>10</v>
      </c>
      <c r="M4" s="28">
        <f>'NK-LK Transf.'!BO12</f>
        <v>5.6332031250000002E-4</v>
      </c>
      <c r="N4" s="28">
        <f>'NK-LK Transf.'!BO14</f>
        <v>8.4539351851851854E-4</v>
      </c>
      <c r="O4" s="28">
        <f>'NK-LK Transf.'!BO13</f>
        <v>1.1842337962962965E-3</v>
      </c>
      <c r="P4" s="28">
        <f>'NK-LK Transf.'!BO15</f>
        <v>9.4126851851851858E-4</v>
      </c>
      <c r="Q4" s="28">
        <f>'NK-LK Transf.'!BO17</f>
        <v>2.2291620370370373E-3</v>
      </c>
      <c r="R4" s="28">
        <f>'NK-LK Transf.'!BO16</f>
        <v>1.9916597222222219E-3</v>
      </c>
      <c r="S4" s="28"/>
      <c r="T4" s="28"/>
      <c r="U4" s="28"/>
      <c r="V4" s="28"/>
      <c r="W4" s="28"/>
      <c r="X4" s="28"/>
    </row>
    <row r="5" spans="1:24" x14ac:dyDescent="0.45">
      <c r="A5" s="25" t="s">
        <v>233</v>
      </c>
      <c r="B5" s="25" t="s">
        <v>148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144</v>
      </c>
      <c r="I5" s="25" t="s">
        <v>146</v>
      </c>
      <c r="J5" s="25"/>
      <c r="K5" s="25"/>
      <c r="L5" s="25">
        <v>10</v>
      </c>
      <c r="M5" s="28">
        <f>'NK-LK Transf.'!BE12</f>
        <v>4.4791666666666667E-4</v>
      </c>
      <c r="N5" s="28">
        <f>'NK-LK Transf.'!BE14</f>
        <v>7.0736111111111108E-4</v>
      </c>
      <c r="O5" s="28">
        <f>'NK-LK Transf.'!BE13</f>
        <v>9.6125000000000019E-4</v>
      </c>
      <c r="P5" s="28">
        <f>'NK-LK Transf.'!BE15</f>
        <v>8.018055555555555E-4</v>
      </c>
      <c r="Q5" s="28">
        <f>'NK-LK Transf.'!BE17</f>
        <v>1.9945833333333335E-3</v>
      </c>
      <c r="R5" s="28">
        <f>'NK-LK Transf.'!BE16</f>
        <v>1.8218055555555552E-3</v>
      </c>
      <c r="S5" s="28"/>
      <c r="T5" s="28"/>
      <c r="U5" s="28"/>
      <c r="V5" s="28"/>
      <c r="W5" s="28"/>
      <c r="X5" s="28"/>
    </row>
    <row r="6" spans="1:24" x14ac:dyDescent="0.45">
      <c r="A6" s="25" t="s">
        <v>233</v>
      </c>
      <c r="B6" s="25" t="s">
        <v>148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144</v>
      </c>
      <c r="I6" s="25" t="s">
        <v>146</v>
      </c>
      <c r="J6" s="25"/>
      <c r="K6" s="25"/>
      <c r="L6" s="25">
        <v>10</v>
      </c>
      <c r="M6" s="28">
        <f>'NK-LK Transf.'!BD12</f>
        <v>4.6194444444444446E-4</v>
      </c>
      <c r="N6" s="28">
        <f>'NK-LK Transf.'!BD14</f>
        <v>7.2763888888888889E-4</v>
      </c>
      <c r="O6" s="28">
        <f>'NK-LK Transf.'!BD13</f>
        <v>1E-3</v>
      </c>
      <c r="P6" s="28">
        <f>'NK-LK Transf.'!BD15</f>
        <v>8.3263888888888895E-4</v>
      </c>
      <c r="Q6" s="28">
        <f>'NK-LK Transf.'!BD17</f>
        <v>2.0587499999999998E-3</v>
      </c>
      <c r="R6" s="28">
        <f>'NK-LK Transf.'!BD16</f>
        <v>1.8773611111111109E-3</v>
      </c>
      <c r="S6" s="28"/>
      <c r="T6" s="28"/>
      <c r="U6" s="28"/>
      <c r="V6" s="28"/>
      <c r="W6" s="28"/>
      <c r="X6" s="28"/>
    </row>
    <row r="7" spans="1:24" x14ac:dyDescent="0.45">
      <c r="A7" s="25" t="s">
        <v>233</v>
      </c>
      <c r="B7" s="25" t="s">
        <v>148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144</v>
      </c>
      <c r="I7" s="25" t="s">
        <v>146</v>
      </c>
      <c r="J7" s="25"/>
      <c r="K7" s="25"/>
      <c r="L7" s="25">
        <v>10</v>
      </c>
      <c r="M7" s="28">
        <f>'NK-LK Transf.'!BC12</f>
        <v>4.7138888888888881E-4</v>
      </c>
      <c r="N7" s="28">
        <f>'NK-LK Transf.'!BC14</f>
        <v>7.415277777777778E-4</v>
      </c>
      <c r="O7" s="28">
        <f>'NK-LK Transf.'!BC13</f>
        <v>1.0176388888888889E-3</v>
      </c>
      <c r="P7" s="28">
        <f>'NK-LK Transf.'!BC15</f>
        <v>8.5375000000000002E-4</v>
      </c>
      <c r="Q7" s="28">
        <f>'NK-LK Transf.'!BC17</f>
        <v>2.1025000000000002E-3</v>
      </c>
      <c r="R7" s="28">
        <f>'NK-LK Transf.'!BC16</f>
        <v>1.9152777777777779E-3</v>
      </c>
      <c r="S7" s="28"/>
      <c r="T7" s="28"/>
      <c r="U7" s="28"/>
      <c r="V7" s="28"/>
      <c r="W7" s="28"/>
      <c r="X7" s="28"/>
    </row>
    <row r="8" spans="1:24" x14ac:dyDescent="0.45">
      <c r="A8" s="25" t="s">
        <v>240</v>
      </c>
      <c r="B8" s="25" t="s">
        <v>130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144</v>
      </c>
      <c r="I8" s="25" t="s">
        <v>146</v>
      </c>
      <c r="J8" s="25"/>
      <c r="K8" s="25"/>
      <c r="L8" s="25">
        <v>10</v>
      </c>
      <c r="M8" s="28">
        <f>'NK-LK Transf.'!BV12</f>
        <v>4.7436458333333331E-4</v>
      </c>
      <c r="N8" s="28">
        <f>'NK-LK Transf.'!BV14</f>
        <v>7.3382291666666669E-4</v>
      </c>
      <c r="O8" s="28">
        <f>'NK-LK Transf.'!BV13</f>
        <v>9.7080208333333328E-4</v>
      </c>
      <c r="P8" s="28">
        <f>'NK-LK Transf.'!BV15</f>
        <v>8.0545833333333326E-4</v>
      </c>
      <c r="Q8" s="28">
        <f>'NK-LK Transf.'!BV17</f>
        <v>1.9667916666666666E-3</v>
      </c>
      <c r="R8" s="28">
        <f>'NK-LK Transf.'!BV16</f>
        <v>1.8239270833333334E-3</v>
      </c>
      <c r="S8" s="28"/>
      <c r="T8" s="28"/>
      <c r="U8" s="28"/>
      <c r="V8" s="28"/>
      <c r="W8" s="28"/>
      <c r="X8" s="28"/>
    </row>
    <row r="9" spans="1:24" x14ac:dyDescent="0.45">
      <c r="A9" s="25" t="s">
        <v>240</v>
      </c>
      <c r="B9" s="25" t="s">
        <v>130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144</v>
      </c>
      <c r="I9" s="25" t="s">
        <v>146</v>
      </c>
      <c r="J9" s="25"/>
      <c r="K9" s="25"/>
      <c r="L9" s="25">
        <v>10</v>
      </c>
      <c r="M9" s="28">
        <f>'NK-LK Transf.'!BU12</f>
        <v>4.9196875E-4</v>
      </c>
      <c r="N9" s="28">
        <f>'NK-LK Transf.'!BU14</f>
        <v>7.5576041666666662E-4</v>
      </c>
      <c r="O9" s="28">
        <f>'NK-LK Transf.'!BU13</f>
        <v>1.0057395833333333E-3</v>
      </c>
      <c r="P9" s="28">
        <f>'NK-LK Transf.'!BU15</f>
        <v>8.3227083333333341E-4</v>
      </c>
      <c r="Q9" s="28">
        <f>'NK-LK Transf.'!BU17</f>
        <v>2.0094479166666668E-3</v>
      </c>
      <c r="R9" s="28">
        <f>'NK-LK Transf.'!BU16</f>
        <v>1.8506041666666666E-3</v>
      </c>
      <c r="S9" s="28"/>
      <c r="T9" s="28"/>
      <c r="U9" s="28"/>
      <c r="V9" s="28"/>
      <c r="W9" s="28"/>
      <c r="X9" s="28"/>
    </row>
    <row r="10" spans="1:24" x14ac:dyDescent="0.45">
      <c r="A10" s="25" t="s">
        <v>240</v>
      </c>
      <c r="B10" s="25" t="s">
        <v>130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144</v>
      </c>
      <c r="I10" s="25" t="s">
        <v>146</v>
      </c>
      <c r="J10" s="25"/>
      <c r="K10" s="25"/>
      <c r="L10" s="25">
        <v>10</v>
      </c>
      <c r="M10" s="28">
        <f>'NK-LK Transf.'!BT12</f>
        <v>5.1593750000000001E-4</v>
      </c>
      <c r="N10" s="28">
        <f>'NK-LK Transf.'!BT14</f>
        <v>7.8582291666666677E-4</v>
      </c>
      <c r="O10" s="28">
        <f>'NK-LK Transf.'!BT13</f>
        <v>1.0534062499999999E-3</v>
      </c>
      <c r="P10" s="28">
        <f>'NK-LK Transf.'!BT15</f>
        <v>8.6883333333333322E-4</v>
      </c>
      <c r="Q10" s="28">
        <f>'NK-LK Transf.'!BT17</f>
        <v>2.0678124999999998E-3</v>
      </c>
      <c r="R10" s="28">
        <f>'NK-LK Transf.'!BT16</f>
        <v>1.887166666666667E-3</v>
      </c>
      <c r="S10" s="28"/>
      <c r="T10" s="28"/>
      <c r="U10" s="28"/>
      <c r="V10" s="28"/>
      <c r="W10" s="28"/>
      <c r="X10" s="28"/>
    </row>
    <row r="11" spans="1:24" x14ac:dyDescent="0.45">
      <c r="A11" s="25" t="s">
        <v>239</v>
      </c>
      <c r="B11" s="25" t="s">
        <v>148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144</v>
      </c>
      <c r="I11" s="25" t="s">
        <v>146</v>
      </c>
      <c r="J11" s="25"/>
      <c r="K11" s="25"/>
      <c r="L11" s="25">
        <v>10</v>
      </c>
      <c r="M11" s="28">
        <f>'NK-LK Transf.'!BJ12</f>
        <v>3.9324537037037041E-4</v>
      </c>
      <c r="N11" s="28">
        <f>'NK-LK Transf.'!BJ14</f>
        <v>6.2564814814814818E-4</v>
      </c>
      <c r="O11" s="28">
        <f>'NK-LK Transf.'!BJ13</f>
        <v>8.3428703703703703E-4</v>
      </c>
      <c r="P11" s="28">
        <f>'NK-LK Transf.'!BJ15</f>
        <v>6.8807870370370366E-4</v>
      </c>
      <c r="Q11" s="28">
        <f>'NK-LK Transf.'!BJ17</f>
        <v>1.7890046296296298E-3</v>
      </c>
      <c r="R11" s="28">
        <f>'NK-LK Transf.'!BJ16</f>
        <v>1.6026527777777777E-3</v>
      </c>
      <c r="S11" s="28"/>
      <c r="T11" s="28"/>
      <c r="U11" s="28"/>
      <c r="V11" s="28"/>
      <c r="W11" s="28"/>
      <c r="X11" s="28"/>
    </row>
    <row r="12" spans="1:24" x14ac:dyDescent="0.45">
      <c r="A12" s="25" t="s">
        <v>239</v>
      </c>
      <c r="B12" s="25" t="s">
        <v>148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144</v>
      </c>
      <c r="I12" s="25" t="s">
        <v>146</v>
      </c>
      <c r="J12" s="25"/>
      <c r="K12" s="25"/>
      <c r="L12" s="25">
        <v>10</v>
      </c>
      <c r="M12" s="28">
        <f>'NK-LK Transf.'!BI12</f>
        <v>4.0693981481481478E-4</v>
      </c>
      <c r="N12" s="28">
        <f>'NK-LK Transf.'!BI14</f>
        <v>6.4565277777777776E-4</v>
      </c>
      <c r="O12" s="28">
        <f>'NK-LK Transf.'!BI13</f>
        <v>8.6691203703703691E-4</v>
      </c>
      <c r="P12" s="28">
        <f>'NK-LK Transf.'!BI15</f>
        <v>7.1788425925925915E-4</v>
      </c>
      <c r="Q12" s="28">
        <f>'NK-LK Transf.'!BI17</f>
        <v>1.845125E-3</v>
      </c>
      <c r="R12" s="28">
        <f>'NK-LK Transf.'!BI16</f>
        <v>1.6571620370370373E-3</v>
      </c>
      <c r="S12" s="28"/>
      <c r="T12" s="28"/>
      <c r="U12" s="28"/>
      <c r="V12" s="28"/>
      <c r="W12" s="28"/>
      <c r="X12" s="28"/>
    </row>
    <row r="13" spans="1:24" x14ac:dyDescent="0.45">
      <c r="A13" s="25" t="s">
        <v>239</v>
      </c>
      <c r="B13" s="25" t="s">
        <v>148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144</v>
      </c>
      <c r="I13" s="25" t="s">
        <v>146</v>
      </c>
      <c r="J13" s="25"/>
      <c r="K13" s="25"/>
      <c r="L13" s="25">
        <v>10</v>
      </c>
      <c r="M13" s="28">
        <f>'NK-LK Transf.'!BH12</f>
        <v>4.1888888888888889E-4</v>
      </c>
      <c r="N13" s="28">
        <f>'NK-LK Transf.'!BH14</f>
        <v>6.6324074074074072E-4</v>
      </c>
      <c r="O13" s="28">
        <f>'NK-LK Transf.'!BH13</f>
        <v>8.9537500000000001E-4</v>
      </c>
      <c r="P13" s="28">
        <f>'NK-LK Transf.'!BH15</f>
        <v>7.439305555555554E-4</v>
      </c>
      <c r="Q13" s="28">
        <f>'NK-LK Transf.'!BH17</f>
        <v>1.8632500000000001E-3</v>
      </c>
      <c r="R13" s="28">
        <f>'NK-LK Transf.'!BH16</f>
        <v>1.7049583333333333E-3</v>
      </c>
      <c r="S13" s="28"/>
      <c r="T13" s="28"/>
      <c r="U13" s="28"/>
      <c r="V13" s="28"/>
      <c r="W13" s="28"/>
      <c r="X13" s="28"/>
    </row>
    <row r="14" spans="1:24" x14ac:dyDescent="0.45">
      <c r="A14" s="25" t="s">
        <v>222</v>
      </c>
      <c r="B14" s="25" t="s">
        <v>130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144</v>
      </c>
      <c r="I14" s="25" t="s">
        <v>146</v>
      </c>
      <c r="J14" s="25"/>
      <c r="K14" s="25"/>
      <c r="L14" s="25">
        <v>10</v>
      </c>
      <c r="M14" s="28">
        <f>'NK-LK Transf.'!Q12</f>
        <v>4.5578703703703704E-4</v>
      </c>
      <c r="N14" s="28">
        <f>'NK-LK Transf.'!Q14</f>
        <v>6.8981481481481487E-4</v>
      </c>
      <c r="O14" s="28">
        <f>'NK-LK Transf.'!Q13</f>
        <v>9.3472222222222231E-4</v>
      </c>
      <c r="P14" s="28">
        <f>'NK-LK Transf.'!Q15</f>
        <v>7.6493055555555559E-4</v>
      </c>
      <c r="Q14" s="28">
        <f>'NK-LK Transf.'!Q17</f>
        <v>1.8079861111111111E-3</v>
      </c>
      <c r="R14" s="28">
        <f>'NK-LK Transf.'!Q16</f>
        <v>1.637962962962963E-3</v>
      </c>
      <c r="S14" s="28"/>
      <c r="T14" s="28"/>
      <c r="U14" s="28"/>
      <c r="V14" s="28"/>
      <c r="W14" s="28"/>
      <c r="X14" s="28"/>
    </row>
    <row r="15" spans="1:24" x14ac:dyDescent="0.45">
      <c r="A15" s="25" t="s">
        <v>222</v>
      </c>
      <c r="B15" s="25" t="s">
        <v>130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144</v>
      </c>
      <c r="I15" s="25" t="s">
        <v>146</v>
      </c>
      <c r="J15" s="25"/>
      <c r="K15" s="25"/>
      <c r="L15" s="25">
        <v>10</v>
      </c>
      <c r="M15" s="28">
        <f>'NK-LK Transf.'!P12</f>
        <v>4.6701388888888888E-4</v>
      </c>
      <c r="N15" s="28">
        <f>'NK-LK Transf.'!P14</f>
        <v>7.0370370370370367E-4</v>
      </c>
      <c r="O15" s="28">
        <f>'NK-LK Transf.'!P13</f>
        <v>9.6921296296296295E-4</v>
      </c>
      <c r="P15" s="28">
        <f>'NK-LK Transf.'!P15</f>
        <v>7.8194444444444448E-4</v>
      </c>
      <c r="Q15" s="28">
        <f>'NK-LK Transf.'!P17</f>
        <v>1.8486111111111112E-3</v>
      </c>
      <c r="R15" s="28">
        <f>'NK-LK Transf.'!P16</f>
        <v>1.6628472222222225E-3</v>
      </c>
      <c r="S15" s="28"/>
      <c r="T15" s="28"/>
      <c r="U15" s="28"/>
      <c r="V15" s="28"/>
      <c r="W15" s="28"/>
      <c r="X15" s="28"/>
    </row>
    <row r="16" spans="1:24" x14ac:dyDescent="0.45">
      <c r="A16" s="25" t="s">
        <v>222</v>
      </c>
      <c r="B16" s="25" t="s">
        <v>130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144</v>
      </c>
      <c r="I16" s="25" t="s">
        <v>146</v>
      </c>
      <c r="J16" s="25"/>
      <c r="K16" s="25"/>
      <c r="L16" s="25">
        <v>10</v>
      </c>
      <c r="M16" s="28">
        <f>'NK-LK Transf.'!O12</f>
        <v>4.7743055555555554E-4</v>
      </c>
      <c r="N16" s="28">
        <f>'NK-LK Transf.'!O14</f>
        <v>7.1643518518518519E-4</v>
      </c>
      <c r="O16" s="28">
        <f>'NK-LK Transf.'!O13</f>
        <v>1.0035879629629631E-3</v>
      </c>
      <c r="P16" s="28">
        <f>'NK-LK Transf.'!O15</f>
        <v>7.9768518518518524E-4</v>
      </c>
      <c r="Q16" s="28">
        <f>'NK-LK Transf.'!O17</f>
        <v>1.8891203703703704E-3</v>
      </c>
      <c r="R16" s="28">
        <f>'NK-LK Transf.'!O16</f>
        <v>1.6878472222222221E-3</v>
      </c>
      <c r="S16" s="28"/>
      <c r="T16" s="28"/>
      <c r="U16" s="28"/>
      <c r="V16" s="28"/>
      <c r="W16" s="28"/>
      <c r="X16" s="28"/>
    </row>
    <row r="17" spans="1:24" x14ac:dyDescent="0.45">
      <c r="A17" s="25" t="s">
        <v>220</v>
      </c>
      <c r="B17" s="25" t="s">
        <v>148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144</v>
      </c>
      <c r="I17" s="25" t="s">
        <v>146</v>
      </c>
      <c r="J17" s="25"/>
      <c r="K17" s="25"/>
      <c r="L17" s="25">
        <v>10</v>
      </c>
      <c r="M17" s="28">
        <f>'NK-LK Transf.'!E12</f>
        <v>3.7326388888888891E-4</v>
      </c>
      <c r="N17" s="28">
        <f>'NK-LK Transf.'!E14</f>
        <v>5.894675925925926E-4</v>
      </c>
      <c r="O17" s="28">
        <f>'NK-LK Transf.'!E13</f>
        <v>8.0104166666666681E-4</v>
      </c>
      <c r="P17" s="28">
        <f>'NK-LK Transf.'!E15</f>
        <v>6.6817129629629626E-4</v>
      </c>
      <c r="Q17" s="28">
        <f>'NK-LK Transf.'!E17</f>
        <v>1.662152777777778E-3</v>
      </c>
      <c r="R17" s="28">
        <f>'NK-LK Transf.'!E16</f>
        <v>1.5181712962962961E-3</v>
      </c>
      <c r="S17" s="28"/>
      <c r="T17" s="28"/>
      <c r="U17" s="28"/>
      <c r="V17" s="28"/>
      <c r="W17" s="28"/>
      <c r="X17" s="28"/>
    </row>
    <row r="18" spans="1:24" x14ac:dyDescent="0.45">
      <c r="A18" s="25" t="s">
        <v>220</v>
      </c>
      <c r="B18" s="25" t="s">
        <v>148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144</v>
      </c>
      <c r="I18" s="25" t="s">
        <v>146</v>
      </c>
      <c r="J18" s="25"/>
      <c r="K18" s="25"/>
      <c r="L18" s="25">
        <v>10</v>
      </c>
      <c r="M18" s="28">
        <f>'NK-LK Transf.'!D12</f>
        <v>3.8495370370370371E-4</v>
      </c>
      <c r="N18" s="28">
        <f>'NK-LK Transf.'!D14</f>
        <v>6.0636574074074076E-4</v>
      </c>
      <c r="O18" s="28">
        <f>'NK-LK Transf.'!D13</f>
        <v>8.3333333333333339E-4</v>
      </c>
      <c r="P18" s="28">
        <f>'NK-LK Transf.'!D15</f>
        <v>6.9386574074074077E-4</v>
      </c>
      <c r="Q18" s="28">
        <f>'NK-LK Transf.'!D17</f>
        <v>1.7156249999999999E-3</v>
      </c>
      <c r="R18" s="28">
        <f>'NK-LK Transf.'!D16</f>
        <v>1.5644675925925923E-3</v>
      </c>
      <c r="S18" s="28"/>
      <c r="T18" s="28"/>
      <c r="U18" s="28"/>
      <c r="V18" s="28"/>
      <c r="W18" s="28"/>
      <c r="X18" s="28"/>
    </row>
    <row r="19" spans="1:24" x14ac:dyDescent="0.45">
      <c r="A19" s="25" t="s">
        <v>220</v>
      </c>
      <c r="B19" s="25" t="s">
        <v>148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144</v>
      </c>
      <c r="I19" s="25" t="s">
        <v>146</v>
      </c>
      <c r="J19" s="25"/>
      <c r="K19" s="25"/>
      <c r="L19" s="25">
        <v>10</v>
      </c>
      <c r="M19" s="28">
        <f>'NK-LK Transf.'!C12</f>
        <v>3.9282407407407403E-4</v>
      </c>
      <c r="N19" s="28">
        <f>'NK-LK Transf.'!C14</f>
        <v>6.1793981481481487E-4</v>
      </c>
      <c r="O19" s="28">
        <f>'NK-LK Transf.'!C13</f>
        <v>8.4803240740740737E-4</v>
      </c>
      <c r="P19" s="28">
        <f>'NK-LK Transf.'!C15</f>
        <v>7.1145833333333337E-4</v>
      </c>
      <c r="Q19" s="28">
        <f>'NK-LK Transf.'!C17</f>
        <v>1.7520833333333334E-3</v>
      </c>
      <c r="R19" s="28">
        <f>'NK-LK Transf.'!C16</f>
        <v>1.5960648148148149E-3</v>
      </c>
      <c r="S19" s="28"/>
      <c r="T19" s="28"/>
      <c r="U19" s="28"/>
      <c r="V19" s="28"/>
      <c r="W19" s="28"/>
      <c r="X19" s="28"/>
    </row>
    <row r="20" spans="1:24" x14ac:dyDescent="0.45">
      <c r="A20" s="25" t="s">
        <v>243</v>
      </c>
      <c r="B20" s="25" t="s">
        <v>130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144</v>
      </c>
      <c r="I20" s="25" t="s">
        <v>146</v>
      </c>
      <c r="J20" s="25"/>
      <c r="K20" s="25"/>
      <c r="L20" s="25">
        <v>10</v>
      </c>
      <c r="M20" s="28">
        <f>'NK-LK Transf.'!V12</f>
        <v>4.054398148148148E-4</v>
      </c>
      <c r="N20" s="28">
        <f>'NK-LK Transf.'!V14</f>
        <v>6.2719907407407407E-4</v>
      </c>
      <c r="O20" s="28">
        <f>'NK-LK Transf.'!V13</f>
        <v>8.2974537037037034E-4</v>
      </c>
      <c r="P20" s="28">
        <f>'NK-LK Transf.'!V15</f>
        <v>6.8842592592592588E-4</v>
      </c>
      <c r="Q20" s="28">
        <f>'NK-LK Transf.'!V17</f>
        <v>1.6810185185185185E-3</v>
      </c>
      <c r="R20" s="28">
        <f>'NK-LK Transf.'!V16</f>
        <v>1.558912037037037E-3</v>
      </c>
      <c r="S20" s="28"/>
      <c r="T20" s="28"/>
      <c r="U20" s="28"/>
      <c r="V20" s="28"/>
      <c r="W20" s="28"/>
      <c r="X20" s="28"/>
    </row>
    <row r="21" spans="1:24" x14ac:dyDescent="0.45">
      <c r="A21" s="25" t="s">
        <v>243</v>
      </c>
      <c r="B21" s="25" t="s">
        <v>130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144</v>
      </c>
      <c r="I21" s="25" t="s">
        <v>146</v>
      </c>
      <c r="J21" s="25"/>
      <c r="K21" s="25"/>
      <c r="L21" s="25">
        <v>10</v>
      </c>
      <c r="M21" s="28">
        <f>'NK-LK Transf.'!U12</f>
        <v>4.2048611111111111E-4</v>
      </c>
      <c r="N21" s="28">
        <f>'NK-LK Transf.'!U14</f>
        <v>6.4594907407407407E-4</v>
      </c>
      <c r="O21" s="28">
        <f>'NK-LK Transf.'!U13</f>
        <v>8.5960648148148148E-4</v>
      </c>
      <c r="P21" s="28">
        <f>'NK-LK Transf.'!U15</f>
        <v>7.1134259259259263E-4</v>
      </c>
      <c r="Q21" s="28">
        <f>'NK-LK Transf.'!U17</f>
        <v>1.7174768518518518E-3</v>
      </c>
      <c r="R21" s="28">
        <f>'NK-LK Transf.'!U16</f>
        <v>1.5817129629629629E-3</v>
      </c>
      <c r="S21" s="28"/>
      <c r="T21" s="28"/>
      <c r="U21" s="28"/>
      <c r="V21" s="28"/>
      <c r="W21" s="28"/>
      <c r="X21" s="28"/>
    </row>
    <row r="22" spans="1:24" x14ac:dyDescent="0.45">
      <c r="A22" s="25" t="s">
        <v>243</v>
      </c>
      <c r="B22" s="25" t="s">
        <v>130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144</v>
      </c>
      <c r="I22" s="25" t="s">
        <v>146</v>
      </c>
      <c r="J22" s="25"/>
      <c r="K22" s="25"/>
      <c r="L22" s="25">
        <v>10</v>
      </c>
      <c r="M22" s="28">
        <f>'NK-LK Transf.'!T12</f>
        <v>4.4097222222222226E-4</v>
      </c>
      <c r="N22" s="28">
        <f>'NK-LK Transf.'!T14</f>
        <v>6.7164351851851857E-4</v>
      </c>
      <c r="O22" s="28">
        <f>'NK-LK Transf.'!T13</f>
        <v>9.0034722222222209E-4</v>
      </c>
      <c r="P22" s="28">
        <f>'NK-LK Transf.'!T15</f>
        <v>7.4259259259259254E-4</v>
      </c>
      <c r="Q22" s="28">
        <f>'NK-LK Transf.'!T17</f>
        <v>1.767361111111111E-3</v>
      </c>
      <c r="R22" s="28">
        <f>'NK-LK Transf.'!T16</f>
        <v>1.6129629629629632E-3</v>
      </c>
      <c r="S22" s="28"/>
      <c r="T22" s="28"/>
      <c r="U22" s="28"/>
      <c r="V22" s="28"/>
      <c r="W22" s="28"/>
      <c r="X22" s="28"/>
    </row>
    <row r="23" spans="1:24" x14ac:dyDescent="0.45">
      <c r="A23" s="25" t="s">
        <v>243</v>
      </c>
      <c r="B23" s="25" t="s">
        <v>130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144</v>
      </c>
      <c r="I23" s="25" t="s">
        <v>146</v>
      </c>
      <c r="J23" s="25"/>
      <c r="K23" s="25"/>
      <c r="L23" s="25">
        <v>10</v>
      </c>
      <c r="M23" s="28">
        <f>'NK-LK Transf.'!S12</f>
        <v>4.5138888888888887E-4</v>
      </c>
      <c r="N23" s="28">
        <f>'NK-LK Transf.'!S14</f>
        <v>6.8449074074074072E-4</v>
      </c>
      <c r="O23" s="28">
        <f>'NK-LK Transf.'!S13</f>
        <v>9.2094907407407403E-4</v>
      </c>
      <c r="P23" s="28">
        <f>'NK-LK Transf.'!S15</f>
        <v>7.583333333333333E-4</v>
      </c>
      <c r="Q23" s="28">
        <f>'NK-LK Transf.'!S17</f>
        <v>1.7916666666666669E-3</v>
      </c>
      <c r="R23" s="28">
        <f>'NK-LK Transf.'!S16</f>
        <v>1.6278935185185185E-3</v>
      </c>
      <c r="S23" s="28"/>
      <c r="T23" s="28"/>
      <c r="U23" s="28"/>
      <c r="V23" s="28"/>
      <c r="W23" s="28"/>
      <c r="X23" s="28"/>
    </row>
    <row r="24" spans="1:24" x14ac:dyDescent="0.45">
      <c r="A24" s="25" t="s">
        <v>243</v>
      </c>
      <c r="B24" s="25" t="s">
        <v>130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144</v>
      </c>
      <c r="I24" s="25" t="s">
        <v>146</v>
      </c>
      <c r="J24" s="25"/>
      <c r="K24" s="25"/>
      <c r="L24" s="25">
        <v>10</v>
      </c>
      <c r="M24" s="28">
        <f>'NK-LK Transf.'!R12</f>
        <v>4.586805555555556E-4</v>
      </c>
      <c r="N24" s="28">
        <f>'NK-LK Transf.'!R14</f>
        <v>6.9837962962962963E-4</v>
      </c>
      <c r="O24" s="28">
        <f>'NK-LK Transf.'!R13</f>
        <v>9.4340277777777782E-4</v>
      </c>
      <c r="P24" s="28">
        <f>'NK-LK Transf.'!R15</f>
        <v>7.7534722222222219E-4</v>
      </c>
      <c r="Q24" s="28">
        <f>'NK-LK Transf.'!R17</f>
        <v>1.8180555555555554E-3</v>
      </c>
      <c r="R24" s="28">
        <f>'NK-LK Transf.'!R16</f>
        <v>1.644212962962963E-3</v>
      </c>
      <c r="S24" s="28"/>
      <c r="T24" s="28"/>
      <c r="U24" s="28"/>
      <c r="V24" s="28"/>
      <c r="W24" s="28"/>
      <c r="X24" s="28"/>
    </row>
    <row r="25" spans="1:24" x14ac:dyDescent="0.45">
      <c r="A25" s="25" t="s">
        <v>244</v>
      </c>
      <c r="B25" s="25" t="s">
        <v>148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144</v>
      </c>
      <c r="I25" s="25" t="s">
        <v>146</v>
      </c>
      <c r="J25" s="25"/>
      <c r="K25" s="25"/>
      <c r="L25" s="25">
        <v>10</v>
      </c>
      <c r="M25" s="28">
        <f>'NK-LK Transf.'!J12</f>
        <v>3.3900462962962964E-4</v>
      </c>
      <c r="N25" s="28">
        <f>'NK-LK Transf.'!J14</f>
        <v>5.3935185185185184E-4</v>
      </c>
      <c r="O25" s="28">
        <f>'NK-LK Transf.'!J13</f>
        <v>7.1921296296296295E-4</v>
      </c>
      <c r="P25" s="28">
        <f>'NK-LK Transf.'!J15</f>
        <v>5.9317129629629629E-4</v>
      </c>
      <c r="Q25" s="28">
        <f>'NK-LK Transf.'!J17</f>
        <v>1.5422453703703705E-3</v>
      </c>
      <c r="R25" s="28">
        <f>'NK-LK Transf.'!J16</f>
        <v>1.3815972222222222E-3</v>
      </c>
      <c r="S25" s="28"/>
      <c r="T25" s="28"/>
      <c r="U25" s="28"/>
      <c r="V25" s="28"/>
      <c r="W25" s="28"/>
      <c r="X25" s="28"/>
    </row>
    <row r="26" spans="1:24" x14ac:dyDescent="0.45">
      <c r="A26" s="25" t="s">
        <v>244</v>
      </c>
      <c r="B26" s="25" t="s">
        <v>148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144</v>
      </c>
      <c r="I26" s="25" t="s">
        <v>146</v>
      </c>
      <c r="J26" s="25"/>
      <c r="K26" s="25"/>
      <c r="L26" s="25">
        <v>10</v>
      </c>
      <c r="M26" s="28">
        <f>'NK-LK Transf.'!I12</f>
        <v>3.5081018518518518E-4</v>
      </c>
      <c r="N26" s="28">
        <f>'NK-LK Transf.'!I14</f>
        <v>5.5659722222222222E-4</v>
      </c>
      <c r="O26" s="28">
        <f>'NK-LK Transf.'!I13</f>
        <v>7.4733796296296289E-4</v>
      </c>
      <c r="P26" s="28">
        <f>'NK-LK Transf.'!I15</f>
        <v>6.1886574074074068E-4</v>
      </c>
      <c r="Q26" s="28">
        <f>'NK-LK Transf.'!I17</f>
        <v>1.590625E-3</v>
      </c>
      <c r="R26" s="28">
        <f>'NK-LK Transf.'!I16</f>
        <v>1.4285879629629631E-3</v>
      </c>
      <c r="S26" s="28"/>
      <c r="T26" s="28"/>
      <c r="U26" s="28"/>
      <c r="V26" s="28"/>
      <c r="W26" s="28"/>
      <c r="X26" s="28"/>
    </row>
    <row r="27" spans="1:24" x14ac:dyDescent="0.45">
      <c r="A27" s="25" t="s">
        <v>244</v>
      </c>
      <c r="B27" s="25" t="s">
        <v>148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144</v>
      </c>
      <c r="I27" s="25" t="s">
        <v>146</v>
      </c>
      <c r="J27" s="25"/>
      <c r="K27" s="25"/>
      <c r="L27" s="25">
        <v>10</v>
      </c>
      <c r="M27" s="28">
        <f>'NK-LK Transf.'!H12</f>
        <v>3.6111111111111109E-4</v>
      </c>
      <c r="N27" s="28">
        <f>'NK-LK Transf.'!H14</f>
        <v>5.7175925925925927E-4</v>
      </c>
      <c r="O27" s="28">
        <f>'NK-LK Transf.'!H13</f>
        <v>7.7187499999999999E-4</v>
      </c>
      <c r="P27" s="28">
        <f>'NK-LK Transf.'!H15</f>
        <v>6.4131944444444436E-4</v>
      </c>
      <c r="Q27" s="28">
        <f>'NK-LK Transf.'!H17</f>
        <v>1.60625E-3</v>
      </c>
      <c r="R27" s="28">
        <f>'NK-LK Transf.'!H16</f>
        <v>1.4697916666666666E-3</v>
      </c>
      <c r="S27" s="28"/>
      <c r="T27" s="28"/>
      <c r="U27" s="28"/>
      <c r="V27" s="28"/>
      <c r="W27" s="28"/>
      <c r="X27" s="28"/>
    </row>
    <row r="28" spans="1:24" x14ac:dyDescent="0.45">
      <c r="A28" s="25" t="s">
        <v>244</v>
      </c>
      <c r="B28" s="25" t="s">
        <v>148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144</v>
      </c>
      <c r="I28" s="25" t="s">
        <v>146</v>
      </c>
      <c r="J28" s="25"/>
      <c r="K28" s="25"/>
      <c r="L28" s="25">
        <v>10</v>
      </c>
      <c r="M28" s="28">
        <f>'NK-LK Transf.'!G12</f>
        <v>3.6747685185185185E-4</v>
      </c>
      <c r="N28" s="28">
        <f>'NK-LK Transf.'!G14</f>
        <v>5.8101851851851858E-4</v>
      </c>
      <c r="O28" s="28">
        <f>'NK-LK Transf.'!G13</f>
        <v>7.8715277777777779E-4</v>
      </c>
      <c r="P28" s="28">
        <f>'NK-LK Transf.'!G15</f>
        <v>6.5532407407407401E-4</v>
      </c>
      <c r="Q28" s="28">
        <f>'NK-LK Transf.'!G17</f>
        <v>1.6241898148148146E-3</v>
      </c>
      <c r="R28" s="28">
        <f>'NK-LK Transf.'!G16</f>
        <v>1.4950231481481481E-3</v>
      </c>
      <c r="S28" s="28"/>
      <c r="T28" s="28"/>
      <c r="U28" s="28"/>
      <c r="V28" s="28"/>
      <c r="W28" s="28"/>
      <c r="X28" s="28"/>
    </row>
    <row r="29" spans="1:24" x14ac:dyDescent="0.45">
      <c r="A29" s="25" t="s">
        <v>244</v>
      </c>
      <c r="B29" s="25" t="s">
        <v>148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144</v>
      </c>
      <c r="I29" s="25" t="s">
        <v>146</v>
      </c>
      <c r="J29" s="25"/>
      <c r="K29" s="25"/>
      <c r="L29" s="25">
        <v>10</v>
      </c>
      <c r="M29" s="28">
        <f>'NK-LK Transf.'!F12</f>
        <v>3.7430555555555562E-4</v>
      </c>
      <c r="N29" s="28">
        <f>'NK-LK Transf.'!F14</f>
        <v>5.9097222222222222E-4</v>
      </c>
      <c r="O29" s="28">
        <f>'NK-LK Transf.'!F13</f>
        <v>8.0358796296296309E-4</v>
      </c>
      <c r="P29" s="28">
        <f>'NK-LK Transf.'!F15</f>
        <v>6.7048611111111107E-4</v>
      </c>
      <c r="Q29" s="28">
        <f>'NK-LK Transf.'!F17</f>
        <v>1.6435185185185185E-3</v>
      </c>
      <c r="R29" s="28">
        <f>'NK-LK Transf.'!F16</f>
        <v>1.522337962962963E-3</v>
      </c>
      <c r="S29" s="28"/>
      <c r="T29" s="28"/>
      <c r="U29" s="28"/>
      <c r="V29" s="28"/>
      <c r="W29" s="28"/>
      <c r="X29" s="28"/>
    </row>
    <row r="30" spans="1:24" x14ac:dyDescent="0.45">
      <c r="A30" s="25" t="s">
        <v>245</v>
      </c>
      <c r="B30" s="25" t="s">
        <v>130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144</v>
      </c>
      <c r="I30" s="25" t="s">
        <v>146</v>
      </c>
      <c r="J30" s="25"/>
      <c r="K30" s="25"/>
      <c r="L30" s="25">
        <v>10</v>
      </c>
      <c r="M30" s="28">
        <f>'NK-LK Transf.'!Z12</f>
        <v>4.0069444444444441E-4</v>
      </c>
      <c r="N30" s="28">
        <f>'NK-LK Transf.'!Z14</f>
        <v>6.2129629629629633E-4</v>
      </c>
      <c r="O30" s="28">
        <f>'NK-LK Transf.'!Z13</f>
        <v>8.2037037037037029E-4</v>
      </c>
      <c r="P30" s="28">
        <f>'NK-LK Transf.'!Z15</f>
        <v>6.8125E-4</v>
      </c>
      <c r="Q30" s="28">
        <f>'NK-LK Transf.'!Z17</f>
        <v>1.6695601851851852E-3</v>
      </c>
      <c r="R30" s="28">
        <f>'NK-LK Transf.'!Z16</f>
        <v>1.5517361111111109E-3</v>
      </c>
      <c r="S30" s="28"/>
      <c r="T30" s="28"/>
      <c r="U30" s="28"/>
      <c r="V30" s="28"/>
      <c r="W30" s="28"/>
      <c r="X30" s="28"/>
    </row>
    <row r="31" spans="1:24" x14ac:dyDescent="0.45">
      <c r="A31" s="25" t="s">
        <v>245</v>
      </c>
      <c r="B31" s="25" t="s">
        <v>130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144</v>
      </c>
      <c r="I31" s="25" t="s">
        <v>146</v>
      </c>
      <c r="J31" s="25"/>
      <c r="K31" s="25"/>
      <c r="L31" s="25">
        <v>10</v>
      </c>
      <c r="M31" s="28">
        <f>'NK-LK Transf.'!Y12</f>
        <v>4.0381944444444444E-4</v>
      </c>
      <c r="N31" s="28">
        <f>'NK-LK Transf.'!Y14</f>
        <v>6.2523148148148149E-4</v>
      </c>
      <c r="O31" s="28">
        <f>'NK-LK Transf.'!Y13</f>
        <v>8.2662037037037036E-4</v>
      </c>
      <c r="P31" s="28">
        <f>'NK-LK Transf.'!Y15</f>
        <v>6.8611111111111108E-4</v>
      </c>
      <c r="Q31" s="28">
        <f>'NK-LK Transf.'!Y17</f>
        <v>1.677199074074074E-3</v>
      </c>
      <c r="R31" s="28">
        <f>'NK-LK Transf.'!Y16</f>
        <v>1.5564814814814814E-3</v>
      </c>
      <c r="S31" s="28"/>
      <c r="T31" s="28"/>
      <c r="U31" s="28"/>
      <c r="V31" s="28"/>
      <c r="W31" s="28"/>
      <c r="X31" s="28"/>
    </row>
    <row r="32" spans="1:24" x14ac:dyDescent="0.45">
      <c r="A32" s="25" t="s">
        <v>245</v>
      </c>
      <c r="B32" s="25" t="s">
        <v>130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144</v>
      </c>
      <c r="I32" s="25" t="s">
        <v>146</v>
      </c>
      <c r="J32" s="25"/>
      <c r="K32" s="25"/>
      <c r="L32" s="25">
        <v>10</v>
      </c>
      <c r="M32" s="28">
        <f>'NK-LK Transf.'!X12</f>
        <v>4.1331018518518518E-4</v>
      </c>
      <c r="N32" s="28">
        <f>'NK-LK Transf.'!X14</f>
        <v>6.3703703703703698E-4</v>
      </c>
      <c r="O32" s="28">
        <f>'NK-LK Transf.'!X13</f>
        <v>8.4548611111111109E-4</v>
      </c>
      <c r="P32" s="28">
        <f>'NK-LK Transf.'!X15</f>
        <v>7.0046296296296295E-4</v>
      </c>
      <c r="Q32" s="28">
        <f>'NK-LK Transf.'!X17</f>
        <v>1.7002314814814816E-3</v>
      </c>
      <c r="R32" s="28">
        <f>'NK-LK Transf.'!X16</f>
        <v>1.570949074074074E-3</v>
      </c>
      <c r="S32" s="28"/>
      <c r="T32" s="28"/>
      <c r="U32" s="28"/>
      <c r="V32" s="28"/>
      <c r="W32" s="28"/>
      <c r="X32" s="28"/>
    </row>
    <row r="33" spans="1:24" x14ac:dyDescent="0.45">
      <c r="A33" s="25" t="s">
        <v>245</v>
      </c>
      <c r="B33" s="25" t="s">
        <v>130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144</v>
      </c>
      <c r="I33" s="25" t="s">
        <v>146</v>
      </c>
      <c r="J33" s="25"/>
      <c r="K33" s="25"/>
      <c r="L33" s="25">
        <v>10</v>
      </c>
      <c r="M33" s="28">
        <f>'NK-LK Transf.'!W12</f>
        <v>4.2118055555555555E-4</v>
      </c>
      <c r="N33" s="28">
        <f>'NK-LK Transf.'!W14</f>
        <v>6.4699074074074073E-4</v>
      </c>
      <c r="O33" s="28">
        <f>'NK-LK Transf.'!W13</f>
        <v>8.6111111111111121E-4</v>
      </c>
      <c r="P33" s="28">
        <f>'NK-LK Transf.'!W15</f>
        <v>7.1250000000000003E-4</v>
      </c>
      <c r="Q33" s="28">
        <f>'NK-LK Transf.'!W17</f>
        <v>1.7194444444444444E-3</v>
      </c>
      <c r="R33" s="28">
        <f>'NK-LK Transf.'!W16</f>
        <v>1.5829861111111112E-3</v>
      </c>
      <c r="S33" s="28"/>
      <c r="T33" s="28"/>
      <c r="U33" s="28"/>
      <c r="V33" s="28"/>
      <c r="W33" s="28"/>
      <c r="X33" s="28"/>
    </row>
    <row r="34" spans="1:24" x14ac:dyDescent="0.45">
      <c r="A34" s="25" t="s">
        <v>246</v>
      </c>
      <c r="B34" s="25" t="s">
        <v>148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144</v>
      </c>
      <c r="I34" s="25" t="s">
        <v>146</v>
      </c>
      <c r="J34" s="25"/>
      <c r="K34" s="25"/>
      <c r="L34" s="25">
        <v>10</v>
      </c>
      <c r="M34" s="28">
        <f>'NK-LK Transf.'!N12</f>
        <v>3.359953703703704E-4</v>
      </c>
      <c r="N34" s="28">
        <f>'NK-LK Transf.'!N14</f>
        <v>5.3506944444444446E-4</v>
      </c>
      <c r="O34" s="28">
        <f>'NK-LK Transf.'!N13</f>
        <v>7.1215277777777781E-4</v>
      </c>
      <c r="P34" s="28">
        <f>'NK-LK Transf.'!N15</f>
        <v>5.8680555555555558E-4</v>
      </c>
      <c r="Q34" s="28">
        <f>'NK-LK Transf.'!N17</f>
        <v>1.4912037037037038E-3</v>
      </c>
      <c r="R34" s="28">
        <f>'NK-LK Transf.'!N16</f>
        <v>1.3697916666666665E-3</v>
      </c>
      <c r="S34" s="28"/>
      <c r="T34" s="28"/>
      <c r="U34" s="28"/>
      <c r="V34" s="28"/>
      <c r="W34" s="28"/>
      <c r="X34" s="28"/>
    </row>
    <row r="35" spans="1:24" x14ac:dyDescent="0.45">
      <c r="A35" s="25" t="s">
        <v>246</v>
      </c>
      <c r="B35" s="25" t="s">
        <v>148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144</v>
      </c>
      <c r="I35" s="25" t="s">
        <v>146</v>
      </c>
      <c r="J35" s="25"/>
      <c r="K35" s="25"/>
      <c r="L35" s="25">
        <v>10</v>
      </c>
      <c r="M35" s="28">
        <f>'NK-LK Transf.'!M12</f>
        <v>3.3796296296296298E-4</v>
      </c>
      <c r="N35" s="28">
        <f>'NK-LK Transf.'!M14</f>
        <v>5.3796296296296296E-4</v>
      </c>
      <c r="O35" s="28">
        <f>'NK-LK Transf.'!M13</f>
        <v>7.1678240740740741E-4</v>
      </c>
      <c r="P35" s="28">
        <f>'NK-LK Transf.'!M15</f>
        <v>5.9108796296296296E-4</v>
      </c>
      <c r="Q35" s="28">
        <f>'NK-LK Transf.'!M17</f>
        <v>1.5002314814814815E-3</v>
      </c>
      <c r="R35" s="28">
        <f>'NK-LK Transf.'!M16</f>
        <v>1.377662037037037E-3</v>
      </c>
      <c r="S35" s="28"/>
      <c r="T35" s="28"/>
      <c r="U35" s="28"/>
      <c r="V35" s="28"/>
      <c r="W35" s="28"/>
      <c r="X35" s="28"/>
    </row>
    <row r="36" spans="1:24" x14ac:dyDescent="0.45">
      <c r="A36" s="25" t="s">
        <v>246</v>
      </c>
      <c r="B36" s="25" t="s">
        <v>148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144</v>
      </c>
      <c r="I36" s="25" t="s">
        <v>146</v>
      </c>
      <c r="J36" s="25"/>
      <c r="K36" s="25"/>
      <c r="L36" s="25">
        <v>10</v>
      </c>
      <c r="M36" s="28">
        <f>'NK-LK Transf.'!L12</f>
        <v>3.4386574074074077E-4</v>
      </c>
      <c r="N36" s="28">
        <f>'NK-LK Transf.'!L14</f>
        <v>5.4652777777777772E-4</v>
      </c>
      <c r="O36" s="28">
        <f>'NK-LK Transf.'!L13</f>
        <v>7.309027777777778E-4</v>
      </c>
      <c r="P36" s="28">
        <f>'NK-LK Transf.'!L15</f>
        <v>6.0393518518518522E-4</v>
      </c>
      <c r="Q36" s="28">
        <f>'NK-LK Transf.'!L17</f>
        <v>1.5273148148148149E-3</v>
      </c>
      <c r="R36" s="28">
        <f>'NK-LK Transf.'!L16</f>
        <v>1.4011574074074074E-3</v>
      </c>
      <c r="S36" s="28"/>
      <c r="T36" s="28"/>
      <c r="U36" s="28"/>
      <c r="V36" s="28"/>
      <c r="W36" s="28"/>
      <c r="X36" s="28"/>
    </row>
    <row r="37" spans="1:24" x14ac:dyDescent="0.45">
      <c r="A37" s="25" t="s">
        <v>246</v>
      </c>
      <c r="B37" s="25" t="s">
        <v>148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144</v>
      </c>
      <c r="I37" s="25" t="s">
        <v>146</v>
      </c>
      <c r="J37" s="25"/>
      <c r="K37" s="25"/>
      <c r="L37" s="25">
        <v>10</v>
      </c>
      <c r="M37" s="28">
        <f>'NK-LK Transf.'!K12</f>
        <v>3.488425925925926E-4</v>
      </c>
      <c r="N37" s="28">
        <f>'NK-LK Transf.'!K14</f>
        <v>5.5381944444444445E-4</v>
      </c>
      <c r="O37" s="28">
        <f>'NK-LK Transf.'!K13</f>
        <v>7.4259259259259254E-4</v>
      </c>
      <c r="P37" s="28">
        <f>'NK-LK Transf.'!K15</f>
        <v>6.145833333333333E-4</v>
      </c>
      <c r="Q37" s="28">
        <f>'NK-LK Transf.'!K17</f>
        <v>1.5498842592592593E-3</v>
      </c>
      <c r="R37" s="28">
        <f>'NK-LK Transf.'!K16</f>
        <v>1.4207175925925926E-3</v>
      </c>
      <c r="S37" s="28"/>
      <c r="T37" s="28"/>
      <c r="U37" s="28"/>
      <c r="V37" s="28"/>
      <c r="W37" s="28"/>
      <c r="X37" s="28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I9" zoomScale="262" workbookViewId="0">
      <selection activeCell="Z12" sqref="Z1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40" customFormat="1" ht="18" customHeight="1" x14ac:dyDescent="0.5">
      <c r="A1" s="106">
        <v>2025</v>
      </c>
      <c r="B1" s="45" t="str">
        <f ca="1">CONCATENATE("in: ",YEAR(TODAY())-1," für: ", YEAR(TODAY()))</f>
        <v>in: 2025 für: 2026</v>
      </c>
      <c r="C1" s="107" t="s">
        <v>220</v>
      </c>
      <c r="D1" s="107"/>
      <c r="E1" s="108"/>
      <c r="F1" s="109" t="s">
        <v>221</v>
      </c>
      <c r="G1" s="110"/>
      <c r="H1" s="110"/>
      <c r="I1" s="110"/>
      <c r="J1" s="111"/>
      <c r="K1" s="112" t="s">
        <v>225</v>
      </c>
      <c r="L1" s="113"/>
      <c r="M1" s="113"/>
      <c r="N1" s="114"/>
      <c r="O1" s="132" t="s">
        <v>222</v>
      </c>
      <c r="P1" s="132"/>
      <c r="Q1" s="133"/>
      <c r="R1" s="134" t="s">
        <v>223</v>
      </c>
      <c r="S1" s="135"/>
      <c r="T1" s="135"/>
      <c r="U1" s="135"/>
      <c r="V1" s="136"/>
      <c r="W1" s="137" t="s">
        <v>226</v>
      </c>
      <c r="X1" s="138"/>
      <c r="Y1" s="138"/>
      <c r="Z1" s="139"/>
      <c r="AA1"/>
      <c r="AB1" s="45" t="str">
        <f ca="1">CONCATENATE("in: ",YEAR(TODAY())-1," für: ", YEAR(TODAY()))</f>
        <v>in: 2025 für: 2026</v>
      </c>
      <c r="AC1" s="115" t="s">
        <v>227</v>
      </c>
      <c r="AD1" s="115"/>
      <c r="AE1" s="116"/>
      <c r="AF1" s="117" t="s">
        <v>228</v>
      </c>
      <c r="AG1" s="118"/>
      <c r="AH1" s="118"/>
      <c r="AI1" s="118"/>
      <c r="AJ1" s="119"/>
      <c r="AK1" s="120" t="s">
        <v>229</v>
      </c>
      <c r="AL1" s="121"/>
      <c r="AM1" s="121"/>
      <c r="AN1" s="122"/>
      <c r="AO1" s="123" t="s">
        <v>230</v>
      </c>
      <c r="AP1" s="124"/>
      <c r="AQ1" s="125"/>
      <c r="AR1" s="126" t="s">
        <v>231</v>
      </c>
      <c r="AS1" s="127"/>
      <c r="AT1" s="127"/>
      <c r="AU1" s="127"/>
      <c r="AV1" s="128"/>
      <c r="AW1" s="129" t="s">
        <v>232</v>
      </c>
      <c r="AX1" s="130"/>
      <c r="AY1" s="130"/>
      <c r="AZ1" s="131"/>
      <c r="BB1" s="45" t="str">
        <f ca="1">CONCATENATE("in: ",YEAR(TODAY())-1," für: ", YEAR(TODAY()))</f>
        <v>in: 2025 für: 2026</v>
      </c>
      <c r="BC1" s="107" t="s">
        <v>233</v>
      </c>
      <c r="BD1" s="107"/>
      <c r="BE1" s="108"/>
      <c r="BF1" s="109" t="s">
        <v>234</v>
      </c>
      <c r="BG1" s="110"/>
      <c r="BH1" s="110"/>
      <c r="BI1" s="110"/>
      <c r="BJ1" s="111"/>
      <c r="BK1" s="112" t="s">
        <v>235</v>
      </c>
      <c r="BL1" s="113"/>
      <c r="BM1" s="113"/>
      <c r="BN1" s="114"/>
      <c r="BO1" s="132" t="s">
        <v>241</v>
      </c>
      <c r="BP1" s="132"/>
      <c r="BQ1" s="133"/>
      <c r="BR1" s="134" t="s">
        <v>242</v>
      </c>
      <c r="BS1" s="135"/>
      <c r="BT1" s="135"/>
      <c r="BU1" s="135"/>
      <c r="BV1" s="136"/>
      <c r="BW1" s="137" t="s">
        <v>236</v>
      </c>
      <c r="BX1" s="138"/>
      <c r="BY1" s="138"/>
      <c r="BZ1" s="139"/>
    </row>
    <row r="2" spans="1:78" s="94" customFormat="1" ht="21.4" thickBot="1" x14ac:dyDescent="0.55000000000000004">
      <c r="A2" s="106"/>
      <c r="B2" s="46" t="s">
        <v>224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224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224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4.65" thickTop="1" x14ac:dyDescent="0.45">
      <c r="A3" s="106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45">
      <c r="A4" s="106"/>
      <c r="B4" s="47" t="s">
        <v>185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185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185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45">
      <c r="A5" s="106"/>
      <c r="B5" s="47" t="s">
        <v>186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186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186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45">
      <c r="A6" s="106"/>
      <c r="B6" s="47" t="s">
        <v>187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187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187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45">
      <c r="A7" s="106"/>
      <c r="B7" s="47" t="s">
        <v>188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188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188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4.65" thickBot="1" x14ac:dyDescent="0.5">
      <c r="A8" s="106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4.65" thickTop="1" x14ac:dyDescent="0.45"/>
    <row r="10" spans="1:78" ht="18" x14ac:dyDescent="0.45">
      <c r="A10" s="106">
        <v>2026</v>
      </c>
      <c r="B10" s="45" t="str">
        <f ca="1">CONCATENATE("in: ",YEAR(TODAY())," für: ", YEAR(TODAY())+1)</f>
        <v>in: 2026 für: 2027</v>
      </c>
      <c r="C10" s="107" t="s">
        <v>220</v>
      </c>
      <c r="D10" s="107"/>
      <c r="E10" s="108"/>
      <c r="F10" s="109" t="s">
        <v>221</v>
      </c>
      <c r="G10" s="110"/>
      <c r="H10" s="110"/>
      <c r="I10" s="110"/>
      <c r="J10" s="111"/>
      <c r="K10" s="112" t="s">
        <v>225</v>
      </c>
      <c r="L10" s="113"/>
      <c r="M10" s="113"/>
      <c r="N10" s="114"/>
      <c r="O10" s="132" t="s">
        <v>222</v>
      </c>
      <c r="P10" s="132"/>
      <c r="Q10" s="133"/>
      <c r="R10" s="134" t="s">
        <v>223</v>
      </c>
      <c r="S10" s="135"/>
      <c r="T10" s="135"/>
      <c r="U10" s="135"/>
      <c r="V10" s="136"/>
      <c r="W10" s="137" t="s">
        <v>226</v>
      </c>
      <c r="X10" s="138"/>
      <c r="Y10" s="138"/>
      <c r="Z10" s="139"/>
      <c r="AB10" s="45" t="str">
        <f ca="1">CONCATENATE("in: ",YEAR(TODAY())," für: ", YEAR(TODAY())+1)</f>
        <v>in: 2026 für: 2027</v>
      </c>
      <c r="AC10" s="115" t="s">
        <v>227</v>
      </c>
      <c r="AD10" s="115"/>
      <c r="AE10" s="116"/>
      <c r="AF10" s="117" t="s">
        <v>228</v>
      </c>
      <c r="AG10" s="118"/>
      <c r="AH10" s="118"/>
      <c r="AI10" s="118"/>
      <c r="AJ10" s="119"/>
      <c r="AK10" s="120" t="s">
        <v>229</v>
      </c>
      <c r="AL10" s="121"/>
      <c r="AM10" s="121"/>
      <c r="AN10" s="122"/>
      <c r="AO10" s="123" t="s">
        <v>230</v>
      </c>
      <c r="AP10" s="124"/>
      <c r="AQ10" s="125"/>
      <c r="AR10" s="126" t="s">
        <v>231</v>
      </c>
      <c r="AS10" s="127"/>
      <c r="AT10" s="127"/>
      <c r="AU10" s="127"/>
      <c r="AV10" s="128"/>
      <c r="AW10" s="129" t="s">
        <v>232</v>
      </c>
      <c r="AX10" s="130"/>
      <c r="AY10" s="130"/>
      <c r="AZ10" s="131"/>
      <c r="BB10" s="45" t="str">
        <f ca="1">CONCATENATE("in: ",YEAR(TODAY())," für: ", YEAR(TODAY())+1)</f>
        <v>in: 2026 für: 2027</v>
      </c>
      <c r="BC10" s="107" t="s">
        <v>233</v>
      </c>
      <c r="BD10" s="107"/>
      <c r="BE10" s="108"/>
      <c r="BF10" s="109" t="s">
        <v>234</v>
      </c>
      <c r="BG10" s="110"/>
      <c r="BH10" s="110"/>
      <c r="BI10" s="110"/>
      <c r="BJ10" s="111"/>
      <c r="BK10" s="112" t="s">
        <v>235</v>
      </c>
      <c r="BL10" s="113"/>
      <c r="BM10" s="113"/>
      <c r="BN10" s="114"/>
      <c r="BO10" s="132" t="s">
        <v>241</v>
      </c>
      <c r="BP10" s="132"/>
      <c r="BQ10" s="133"/>
      <c r="BR10" s="134" t="s">
        <v>242</v>
      </c>
      <c r="BS10" s="135"/>
      <c r="BT10" s="135"/>
      <c r="BU10" s="135"/>
      <c r="BV10" s="136"/>
      <c r="BW10" s="137" t="s">
        <v>236</v>
      </c>
      <c r="BX10" s="138"/>
      <c r="BY10" s="138"/>
      <c r="BZ10" s="139"/>
    </row>
    <row r="11" spans="1:78" ht="21.4" thickBot="1" x14ac:dyDescent="0.5">
      <c r="A11" s="106"/>
      <c r="B11" s="46" t="s">
        <v>224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224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224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4.65" thickTop="1" x14ac:dyDescent="0.45">
      <c r="A12" s="106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45">
      <c r="A13" s="106"/>
      <c r="B13" s="47" t="s">
        <v>185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185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185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45">
      <c r="A14" s="106"/>
      <c r="B14" s="47" t="s">
        <v>186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186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186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45">
      <c r="A15" s="106"/>
      <c r="B15" s="47" t="s">
        <v>187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187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187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45">
      <c r="A16" s="106"/>
      <c r="B16" s="47" t="s">
        <v>188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188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188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4.65" thickBot="1" x14ac:dyDescent="0.5">
      <c r="A17" s="106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4.65" thickTop="1" x14ac:dyDescent="0.45">
      <c r="C18" s="30"/>
      <c r="O18" s="30"/>
      <c r="T18" s="33"/>
      <c r="U18" s="33"/>
      <c r="W18" s="34"/>
      <c r="X18" s="30"/>
      <c r="AD18" s="30"/>
    </row>
    <row r="21" spans="1:78" x14ac:dyDescent="0.4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4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4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4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4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4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4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45">
      <c r="C30" s="29"/>
      <c r="D30" s="32"/>
      <c r="E30" s="32"/>
      <c r="F30" s="32"/>
      <c r="G30" s="32"/>
      <c r="H30" s="32"/>
      <c r="P30" s="33"/>
    </row>
    <row r="31" spans="1:78" x14ac:dyDescent="0.45">
      <c r="C31" s="30"/>
      <c r="D31" s="31"/>
      <c r="E31" s="31"/>
      <c r="F31" s="31"/>
      <c r="G31" s="31"/>
      <c r="H31" s="31"/>
    </row>
    <row r="40" spans="3:8" x14ac:dyDescent="0.45">
      <c r="C40" s="30"/>
      <c r="D40" s="31"/>
      <c r="E40" s="31"/>
      <c r="F40" s="31"/>
      <c r="G40" s="31"/>
      <c r="H40" s="31"/>
    </row>
    <row r="41" spans="3:8" x14ac:dyDescent="0.45">
      <c r="C41" s="30"/>
      <c r="D41" s="31"/>
      <c r="E41" s="31"/>
      <c r="F41" s="31"/>
      <c r="G41" s="31"/>
      <c r="H41" s="31"/>
    </row>
    <row r="42" spans="3:8" x14ac:dyDescent="0.45">
      <c r="C42" s="30"/>
      <c r="D42" s="31"/>
      <c r="E42" s="31"/>
      <c r="F42" s="31"/>
      <c r="G42" s="31"/>
      <c r="H42" s="31"/>
    </row>
    <row r="43" spans="3:8" x14ac:dyDescent="0.45">
      <c r="C43" s="30"/>
      <c r="D43" s="31"/>
      <c r="E43" s="31"/>
      <c r="F43" s="31"/>
      <c r="G43" s="31"/>
      <c r="H43" s="31"/>
    </row>
    <row r="44" spans="3:8" x14ac:dyDescent="0.45">
      <c r="C44" s="30"/>
      <c r="D44" s="31"/>
      <c r="E44" s="31"/>
      <c r="F44" s="31"/>
      <c r="G44" s="31"/>
      <c r="H44" s="31"/>
    </row>
    <row r="45" spans="3:8" x14ac:dyDescent="0.45">
      <c r="C45" s="30"/>
      <c r="D45" s="31"/>
      <c r="E45" s="31"/>
      <c r="F45" s="31"/>
      <c r="G45" s="31"/>
      <c r="H45" s="31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workbookViewId="0">
      <selection activeCell="F14" sqref="F14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201</v>
      </c>
      <c r="G1" t="s">
        <v>197</v>
      </c>
      <c r="H1" t="s">
        <v>196</v>
      </c>
    </row>
    <row r="2" spans="1:8" x14ac:dyDescent="0.45">
      <c r="A2" s="36">
        <v>46124</v>
      </c>
      <c r="C2" s="37">
        <v>0.38541666666666669</v>
      </c>
      <c r="D2" s="37">
        <v>0.52083333333333337</v>
      </c>
      <c r="E2" s="38" t="s">
        <v>198</v>
      </c>
      <c r="F2" s="38" t="s">
        <v>202</v>
      </c>
      <c r="G2" t="s">
        <v>199</v>
      </c>
      <c r="H2" t="s">
        <v>200</v>
      </c>
    </row>
    <row r="3" spans="1:8" x14ac:dyDescent="0.45">
      <c r="A3" s="36">
        <v>46124</v>
      </c>
      <c r="C3" s="37">
        <v>0.5</v>
      </c>
      <c r="D3" s="37">
        <v>0.65625</v>
      </c>
      <c r="E3" s="38" t="s">
        <v>203</v>
      </c>
      <c r="F3" s="38" t="s">
        <v>204</v>
      </c>
      <c r="G3" t="s">
        <v>199</v>
      </c>
      <c r="H3" t="s">
        <v>237</v>
      </c>
    </row>
    <row r="4" spans="1:8" x14ac:dyDescent="0.45">
      <c r="A4" s="36">
        <v>46186</v>
      </c>
      <c r="C4" s="37">
        <v>0.41666666666666669</v>
      </c>
      <c r="D4" s="37">
        <v>0.76041666666666663</v>
      </c>
      <c r="E4" s="38" t="s">
        <v>203</v>
      </c>
      <c r="F4" s="38" t="s">
        <v>205</v>
      </c>
      <c r="G4" t="s">
        <v>206</v>
      </c>
      <c r="H4" t="s">
        <v>237</v>
      </c>
    </row>
    <row r="5" spans="1:8" x14ac:dyDescent="0.45">
      <c r="A5" s="36">
        <v>46187</v>
      </c>
      <c r="C5" s="37">
        <v>0.53125</v>
      </c>
      <c r="D5" s="37">
        <v>0.66666666666666663</v>
      </c>
      <c r="E5" s="38" t="s">
        <v>198</v>
      </c>
      <c r="F5" s="38" t="s">
        <v>207</v>
      </c>
      <c r="G5" t="s">
        <v>199</v>
      </c>
      <c r="H5" t="s">
        <v>200</v>
      </c>
    </row>
    <row r="6" spans="1:8" x14ac:dyDescent="0.4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208</v>
      </c>
      <c r="F6" s="38" t="s">
        <v>209</v>
      </c>
      <c r="G6" t="s">
        <v>210</v>
      </c>
      <c r="H6" t="s">
        <v>237</v>
      </c>
    </row>
    <row r="7" spans="1:8" x14ac:dyDescent="0.45">
      <c r="A7" s="36">
        <v>46201</v>
      </c>
      <c r="C7" s="37">
        <v>0.41666666666666669</v>
      </c>
      <c r="D7" s="37">
        <v>0.75</v>
      </c>
      <c r="E7" s="38" t="s">
        <v>211</v>
      </c>
      <c r="F7" s="38" t="s">
        <v>238</v>
      </c>
      <c r="G7" t="s">
        <v>212</v>
      </c>
      <c r="H7" t="s">
        <v>213</v>
      </c>
    </row>
    <row r="8" spans="1:8" x14ac:dyDescent="0.45">
      <c r="A8" s="36">
        <v>46228</v>
      </c>
      <c r="C8" s="37">
        <v>0</v>
      </c>
      <c r="D8" s="37">
        <v>0.99930555555555556</v>
      </c>
      <c r="E8" s="38" t="s">
        <v>214</v>
      </c>
      <c r="F8" s="38" t="s">
        <v>215</v>
      </c>
      <c r="G8" t="s">
        <v>216</v>
      </c>
      <c r="H8" t="s">
        <v>217</v>
      </c>
    </row>
  </sheetData>
  <conditionalFormatting sqref="A2:H8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2026-03-05T04:21:48Z</dcterms:modified>
</cp:coreProperties>
</file>