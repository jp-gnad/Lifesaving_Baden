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C84E42CB-CD28-4C1B-BBE7-F388D35DF57A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" i="13" l="1"/>
  <c r="K19" i="14"/>
  <c r="Q7" i="13" s="1"/>
  <c r="J19" i="14"/>
  <c r="Q8" i="13" s="1"/>
  <c r="I19" i="14"/>
  <c r="Q9" i="13" s="1"/>
  <c r="K18" i="14"/>
  <c r="R7" i="13" s="1"/>
  <c r="J18" i="14"/>
  <c r="R8" i="13" s="1"/>
  <c r="I18" i="14"/>
  <c r="R9" i="13" s="1"/>
  <c r="K17" i="14"/>
  <c r="P7" i="13" s="1"/>
  <c r="J17" i="14"/>
  <c r="P8" i="13" s="1"/>
  <c r="I17" i="14"/>
  <c r="P9" i="13" s="1"/>
  <c r="K16" i="14"/>
  <c r="N7" i="13" s="1"/>
  <c r="J16" i="14"/>
  <c r="N8" i="13" s="1"/>
  <c r="I16" i="14"/>
  <c r="N9" i="13" s="1"/>
  <c r="K15" i="14"/>
  <c r="O7" i="13" s="1"/>
  <c r="J15" i="14"/>
  <c r="O8" i="13" s="1"/>
  <c r="I15" i="14"/>
  <c r="O9" i="13" s="1"/>
  <c r="K14" i="14"/>
  <c r="M7" i="13" s="1"/>
  <c r="J14" i="14"/>
  <c r="M8" i="13" s="1"/>
  <c r="I14" i="14"/>
  <c r="M9" i="13" s="1"/>
  <c r="V9" i="13" s="1"/>
  <c r="E19" i="14"/>
  <c r="Q4" i="13" s="1"/>
  <c r="D19" i="14"/>
  <c r="Q5" i="13" s="1"/>
  <c r="C19" i="14"/>
  <c r="Q6" i="13" s="1"/>
  <c r="C15" i="14"/>
  <c r="O6" i="13" s="1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P4" i="13" s="1"/>
  <c r="C18" i="14"/>
  <c r="R6" i="13" s="1"/>
  <c r="D18" i="14"/>
  <c r="R5" i="13" s="1"/>
  <c r="E18" i="14"/>
  <c r="R4" i="13" s="1"/>
  <c r="D14" i="14"/>
  <c r="M5" i="13" s="1"/>
  <c r="W5" i="13" s="1"/>
  <c r="E14" i="14"/>
  <c r="M4" i="13" s="1"/>
  <c r="X4" i="13" s="1"/>
  <c r="C14" i="14"/>
  <c r="M6" i="13" s="1"/>
  <c r="X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T5" i="13" l="1"/>
  <c r="S5" i="13"/>
  <c r="U5" i="13"/>
  <c r="V5" i="13"/>
  <c r="W9" i="13"/>
  <c r="X9" i="13"/>
  <c r="V6" i="13"/>
  <c r="S6" i="13"/>
  <c r="T6" i="13"/>
  <c r="U6" i="13"/>
  <c r="W6" i="13"/>
  <c r="X8" i="13"/>
  <c r="W8" i="13"/>
  <c r="V8" i="13"/>
  <c r="U8" i="13"/>
  <c r="T8" i="13"/>
  <c r="S8" i="13"/>
  <c r="T7" i="13"/>
  <c r="S7" i="13"/>
  <c r="X7" i="13"/>
  <c r="W7" i="13"/>
  <c r="V7" i="13"/>
  <c r="U7" i="13"/>
  <c r="S9" i="13"/>
  <c r="T9" i="13"/>
  <c r="U9" i="13"/>
  <c r="S4" i="13"/>
  <c r="T4" i="13"/>
  <c r="U4" i="13"/>
  <c r="V4" i="13"/>
  <c r="W4" i="13"/>
  <c r="G4" i="6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<sst xmlns="http://schemas.openxmlformats.org/spreadsheetml/2006/main" count="662" uniqueCount="235">
  <si>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</si>
  <si>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</si>
  <si>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</si>
  <si>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</si>
  <si>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</si>
  <si>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</si>
  <si>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</si>
  <si>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</si>
  <si>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</si>
  <si>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</si>
  <si>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</si>
  <si>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</si>
  <si>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</si>
  <si>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</si>
  <si>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</si>
  <si>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</si>
  <si>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</si>
  <si>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</si>
  <si>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</si>
  <si>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</si>
  <si>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</si>
  <si>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</si>
  <si>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</si>
  <si>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</si>
  <si>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</si>
  <si>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</si>
  <si>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</si>
  <si>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</si>
  <si>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</si>
  <si>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</si>
  <si>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</si>
  <si>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</si>
  <si>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</si>
  <si>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</si>
  <si>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</si>
  <si>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</si>
  <si>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</si>
  <si>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</si>
  <si>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</si>
  <si>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</si>
  <si>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</si>
  <si>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</si>
  <si>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</si>
  <si>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</si>
  <si>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</si>
  <si>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</si>
  <si>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</si>
  <si>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</si>
  <si>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</si>
  <si>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</si>
  <si>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</si>
  <si>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</si>
  <si>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</si>
  <si>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</si>
  <si>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</si>
  <si>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</si>
  <si>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</si>
  <si>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</si>
  <si>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</si>
  <si>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</si>
  <si>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</si>
  <si>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</si>
  <si>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</si>
  <si>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</si>
  <si>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</si>
  <si>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</si>
  <si>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</si>
  <si>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</si>
  <si>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</si>
  <si>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</si>
  <si>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</si>
  <si>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</si>
  <si>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</si>
  <si>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</si>
  <si>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</si>
  <si>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</si>
  <si>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</si>
  <si>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</si>
  <si>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</si>
  <si>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</si>
  <si>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</si>
  <si>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</si>
  <si>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</si>
  <si>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</si>
  <si>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</si>
  <si>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</si>
  <si>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</si>
  <si>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</si>
  <si>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</si>
  <si>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</si>
  <si>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</si>
  <si>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</si>
  <si>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</si>
  <si>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</si>
  <si>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</si>
  <si>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</si>
  <si>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</si>
  <si>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</si>
  <si>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</si>
  <si>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</si>
  <si>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</si>
  <si>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</si>
  <si>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</si>
  <si>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</si>
  <si>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</si>
  <si>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</si>
  <si>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</si>
  <si>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</si>
  <si>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</si>
  <si>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</si>
  <si>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</si>
  <si>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</si>
  <si>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</si>
  <si>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</si>
  <si>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</si>
  <si>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</si>
  <si>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</si>
  <si>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</si>
  <si>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</si>
  <si>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</si>
  <si>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</si>
  <si>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</si>
  <si>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</si>
  <si>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</si>
  <si>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</si>
  <si>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</si>
  <si>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</si>
  <si>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</si>
  <si>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</si>
  <si>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</si>
  <si>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</si>
  <si>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</si>
  <si>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</si>
  <si>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</si>
  <si>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</si>
  <si>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</si>
  <si>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</si>
  <si>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</si>
  <si>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</si>
  <si>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</si>
  <si>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</si>
  <si>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</si>
  <si>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</si>
  <si>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</si>
  <si>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</si>
  <si>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</si>
  <si>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</si>
  <si>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</si>
  <si>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</si>
  <si>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</si>
  <si>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</si>
  <si>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</si>
  <si>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</si>
  <si>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</si>
  <si>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</si>
  <si>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</si>
  <si>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</si>
  <si>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</si>
  <si>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</si>
  <si>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</si>
  <si>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</si>
  <si>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</si>
  <si>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</si>
  <si>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</si>
  <si>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</si>
  <si>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</si>
  <si>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</si>
  <si>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</si>
  <si>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</si>
  <si>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</si>
  <si>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</si>
  <si>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</si>
  <si>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</si>
  <si>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</si>
  <si>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</si>
  <si>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</si>
  <si>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</si>
  <si>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</si>
  <si>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</si>
  <si>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</si>
  <si>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</si>
  <si>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</si>
  <si>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</si>
  <si>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</si>
  <si>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</si>
  <si>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</si>
  <si>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</si>
  <si>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</si>
  <si>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</si>
  <si>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</si>
  <si>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</si>
  <si>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</si>
  <si>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</si>
  <si>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</si>
  <si>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</si>
  <si>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</si>
  <si>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</si>
  <si>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</si>
  <si>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</si>
  <si>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</si>
  <si>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</si>
  <si>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</si>
  <si>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</si>
  <si>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</si>
  <si>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</si>
  <si>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</si>
  <si>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</si>
  <si>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</si>
  <si>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</si>
  <si>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</si>
  <si>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</si>
  <si>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</si>
  <si>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</si>
  <si>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</si>
  <si>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</si>
  <si>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</si>
  <si>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</si>
  <si>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</si>
  <si>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</si>
  <si>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</si>
  <si>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</si>
  <si>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</si>
  <si>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</si>
  <si>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</si>
  <si>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</si>
  <si>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</si>
  <si>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</si>
  <si>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</si>
  <si>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</si>
  <si>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</si>
  <si>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</si>
  <si>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</si>
  <si>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</si>
  <si>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NK2-M (20%Test)</t>
  </si>
  <si>
    <t>NK2-W (20%Test)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</si>
</sst>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workbookViewId="0">
      <selection activeCell="A9" sqref="A9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233</v>
      </c>
      <c r="B4" s="59" t="s">
        <v>182</v>
      </c>
      <c r="C4" s="59">
        <v>18</v>
      </c>
      <c r="D4" s="59">
        <v>18</v>
      </c>
      <c r="E4" s="61">
        <v>45658</v>
      </c>
      <c r="F4" s="61">
        <v>46387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4.3944444444444445E-4</v>
      </c>
      <c r="N4" s="62">
        <f>Tabelle1!E16</f>
        <v>6.951388888888888E-4</v>
      </c>
      <c r="O4" s="62">
        <f>Tabelle1!E15</f>
        <v>9.4430555555555544E-4</v>
      </c>
      <c r="P4" s="62">
        <f>Tabelle1!E17</f>
        <v>7.919444444444444E-4</v>
      </c>
      <c r="Q4" s="62">
        <f>Tabelle1!E19</f>
        <v>1.9579166666666664E-3</v>
      </c>
      <c r="R4" s="62">
        <f>Tabelle1!E18</f>
        <v>1.7913888888888886E-3</v>
      </c>
      <c r="S4" s="62">
        <f>JRP_konfig[[#This Row],[PZ1 - 50m Retten]]</f>
        <v>4.3944444444444445E-4</v>
      </c>
      <c r="T4" s="62">
        <f>JRP_konfig[[#This Row],[PZ1 - 50m Retten]]</f>
        <v>4.3944444444444445E-4</v>
      </c>
      <c r="U4" s="62">
        <f>JRP_konfig[[#This Row],[PZ1 - 50m Retten]]</f>
        <v>4.3944444444444445E-4</v>
      </c>
      <c r="V4" s="62">
        <f>JRP_konfig[[#This Row],[PZ1 - 50m Retten]]</f>
        <v>4.3944444444444445E-4</v>
      </c>
      <c r="W4" s="62">
        <f>JRP_konfig[[#This Row],[PZ1 - 50m Retten]]</f>
        <v>4.3944444444444445E-4</v>
      </c>
      <c r="X4" s="62">
        <f>JRP_konfig[[#This Row],[PZ1 - 50m Retten]]</f>
        <v>4.3944444444444445E-4</v>
      </c>
    </row>
    <row r="5" spans="1:24" x14ac:dyDescent="0.45">
      <c r="A5" s="59" t="s">
        <v>233</v>
      </c>
      <c r="B5" s="59" t="s">
        <v>182</v>
      </c>
      <c r="C5" s="59">
        <v>17</v>
      </c>
      <c r="D5" s="59">
        <v>17</v>
      </c>
      <c r="E5" s="61">
        <v>45658</v>
      </c>
      <c r="F5" s="61">
        <v>46387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4.4430555555555553E-4</v>
      </c>
      <c r="N5" s="62">
        <f>Tabelle1!D16</f>
        <v>7.0194444444444449E-4</v>
      </c>
      <c r="O5" s="62">
        <f>Tabelle1!D15</f>
        <v>9.5805555555555553E-4</v>
      </c>
      <c r="P5" s="62">
        <f>Tabelle1!D17</f>
        <v>8.0902777777777776E-4</v>
      </c>
      <c r="Q5" s="62">
        <f>Tabelle1!D19</f>
        <v>1.9811111111111106E-3</v>
      </c>
      <c r="R5" s="62">
        <f>Tabelle1!D18</f>
        <v>1.8124999999999999E-3</v>
      </c>
      <c r="S5" s="62">
        <f>JRP_konfig[[#This Row],[PZ1 - 50m Retten]]</f>
        <v>4.4430555555555553E-4</v>
      </c>
      <c r="T5" s="62">
        <f>JRP_konfig[[#This Row],[PZ1 - 50m Retten]]</f>
        <v>4.4430555555555553E-4</v>
      </c>
      <c r="U5" s="62">
        <f>JRP_konfig[[#This Row],[PZ1 - 50m Retten]]</f>
        <v>4.4430555555555553E-4</v>
      </c>
      <c r="V5" s="62">
        <f>JRP_konfig[[#This Row],[PZ1 - 50m Retten]]</f>
        <v>4.4430555555555553E-4</v>
      </c>
      <c r="W5" s="62">
        <f>JRP_konfig[[#This Row],[PZ1 - 50m Retten]]</f>
        <v>4.4430555555555553E-4</v>
      </c>
      <c r="X5" s="62">
        <f>JRP_konfig[[#This Row],[PZ1 - 50m Retten]]</f>
        <v>4.4430555555555553E-4</v>
      </c>
    </row>
    <row r="6" spans="1:24" x14ac:dyDescent="0.45">
      <c r="A6" s="59" t="s">
        <v>233</v>
      </c>
      <c r="B6" s="59" t="s">
        <v>182</v>
      </c>
      <c r="C6" s="59">
        <v>14</v>
      </c>
      <c r="D6" s="59">
        <v>16</v>
      </c>
      <c r="E6" s="61">
        <v>45658</v>
      </c>
      <c r="F6" s="61">
        <v>46387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4.4861111111111105E-4</v>
      </c>
      <c r="N6" s="62">
        <f>Tabelle1!C16</f>
        <v>7.0833333333333328E-4</v>
      </c>
      <c r="O6" s="62">
        <f>Tabelle1!C15</f>
        <v>9.7083333333333342E-4</v>
      </c>
      <c r="P6" s="62">
        <f>Tabelle1!C17</f>
        <v>8.2472222222222224E-4</v>
      </c>
      <c r="Q6" s="62">
        <f>Tabelle1!C19</f>
        <v>2.0026388888888889E-3</v>
      </c>
      <c r="R6" s="62">
        <f>Tabelle1!C18</f>
        <v>1.8319444444444444E-3</v>
      </c>
      <c r="S6" s="62">
        <f>JRP_konfig[[#This Row],[PZ1 - 50m Retten]]</f>
        <v>4.4861111111111105E-4</v>
      </c>
      <c r="T6" s="62">
        <f>JRP_konfig[[#This Row],[PZ1 - 50m Retten]]</f>
        <v>4.4861111111111105E-4</v>
      </c>
      <c r="U6" s="62">
        <f>JRP_konfig[[#This Row],[PZ1 - 50m Retten]]</f>
        <v>4.4861111111111105E-4</v>
      </c>
      <c r="V6" s="62">
        <f>JRP_konfig[[#This Row],[PZ1 - 50m Retten]]</f>
        <v>4.4861111111111105E-4</v>
      </c>
      <c r="W6" s="62">
        <f>JRP_konfig[[#This Row],[PZ1 - 50m Retten]]</f>
        <v>4.4861111111111105E-4</v>
      </c>
      <c r="X6" s="62">
        <f>JRP_konfig[[#This Row],[PZ1 - 50m Retten]]</f>
        <v>4.4861111111111105E-4</v>
      </c>
    </row>
    <row r="7" spans="1:24" x14ac:dyDescent="0.45">
      <c r="A7" s="59" t="s">
        <v>234</v>
      </c>
      <c r="B7" s="59" t="s">
        <v>164</v>
      </c>
      <c r="C7" s="59">
        <v>18</v>
      </c>
      <c r="D7" s="59">
        <v>18</v>
      </c>
      <c r="E7" s="61">
        <v>45658</v>
      </c>
      <c r="F7" s="61">
        <v>46387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5.4361111111111114E-4</v>
      </c>
      <c r="N7" s="62">
        <f>Tabelle1!K16</f>
        <v>8.1805555555555548E-4</v>
      </c>
      <c r="O7" s="62">
        <f>Tabelle1!K15</f>
        <v>1.1063888888888887E-3</v>
      </c>
      <c r="P7" s="62">
        <f>Tabelle1!K17</f>
        <v>9.0861111111111101E-4</v>
      </c>
      <c r="Q7" s="62">
        <f>Tabelle1!K19</f>
        <v>2.1416666666666663E-3</v>
      </c>
      <c r="R7" s="62">
        <f>Tabelle1!K18</f>
        <v>1.9452777777777775E-3</v>
      </c>
      <c r="S7" s="62">
        <f>JRP_konfig[[#This Row],[PZ1 - 50m Retten]]</f>
        <v>5.4361111111111114E-4</v>
      </c>
      <c r="T7" s="62">
        <f>JRP_konfig[[#This Row],[PZ1 - 50m Retten]]</f>
        <v>5.4361111111111114E-4</v>
      </c>
      <c r="U7" s="62">
        <f>JRP_konfig[[#This Row],[PZ1 - 50m Retten]]</f>
        <v>5.4361111111111114E-4</v>
      </c>
      <c r="V7" s="62">
        <f>JRP_konfig[[#This Row],[PZ1 - 50m Retten]]</f>
        <v>5.4361111111111114E-4</v>
      </c>
      <c r="W7" s="62">
        <f>JRP_konfig[[#This Row],[PZ1 - 50m Retten]]</f>
        <v>5.4361111111111114E-4</v>
      </c>
      <c r="X7" s="62">
        <f>JRP_konfig[[#This Row],[PZ1 - 50m Retten]]</f>
        <v>5.4361111111111114E-4</v>
      </c>
    </row>
    <row r="8" spans="1:24" x14ac:dyDescent="0.45">
      <c r="A8" s="59" t="s">
        <v>234</v>
      </c>
      <c r="B8" s="59" t="s">
        <v>164</v>
      </c>
      <c r="C8" s="59">
        <v>17</v>
      </c>
      <c r="D8" s="59">
        <v>17</v>
      </c>
      <c r="E8" s="61">
        <v>45658</v>
      </c>
      <c r="F8" s="61">
        <v>46387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5.5458333333333336E-4</v>
      </c>
      <c r="N8" s="62">
        <f>Tabelle1!J16</f>
        <v>8.2736111111111118E-4</v>
      </c>
      <c r="O8" s="62">
        <f>Tabelle1!J15</f>
        <v>1.1262500000000001E-3</v>
      </c>
      <c r="P8" s="62">
        <f>Tabelle1!J17</f>
        <v>9.2194444444444431E-4</v>
      </c>
      <c r="Q8" s="62">
        <f>Tabelle1!J19</f>
        <v>2.1574999999999997E-3</v>
      </c>
      <c r="R8" s="62">
        <f>Tabelle1!J18</f>
        <v>1.9526388888888887E-3</v>
      </c>
      <c r="S8" s="62">
        <f>JRP_konfig[[#This Row],[PZ1 - 50m Retten]]</f>
        <v>5.5458333333333336E-4</v>
      </c>
      <c r="T8" s="62">
        <f>JRP_konfig[[#This Row],[PZ1 - 50m Retten]]</f>
        <v>5.5458333333333336E-4</v>
      </c>
      <c r="U8" s="62">
        <f>JRP_konfig[[#This Row],[PZ1 - 50m Retten]]</f>
        <v>5.5458333333333336E-4</v>
      </c>
      <c r="V8" s="62">
        <f>JRP_konfig[[#This Row],[PZ1 - 50m Retten]]</f>
        <v>5.5458333333333336E-4</v>
      </c>
      <c r="W8" s="62">
        <f>JRP_konfig[[#This Row],[PZ1 - 50m Retten]]</f>
        <v>5.5458333333333336E-4</v>
      </c>
      <c r="X8" s="62">
        <f>JRP_konfig[[#This Row],[PZ1 - 50m Retten]]</f>
        <v>5.5458333333333336E-4</v>
      </c>
    </row>
    <row r="9" spans="1:24" x14ac:dyDescent="0.45">
      <c r="A9" s="59" t="s">
        <v>234</v>
      </c>
      <c r="B9" s="59" t="s">
        <v>164</v>
      </c>
      <c r="C9" s="59">
        <v>14</v>
      </c>
      <c r="D9" s="59">
        <v>16</v>
      </c>
      <c r="E9" s="61">
        <v>45658</v>
      </c>
      <c r="F9" s="61">
        <v>46387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5.6499999999999996E-4</v>
      </c>
      <c r="N9" s="62">
        <f>Tabelle1!I16</f>
        <v>8.3597222222222222E-4</v>
      </c>
      <c r="O9" s="62">
        <f>Tabelle1!I15</f>
        <v>1.1445833333333332E-3</v>
      </c>
      <c r="P9" s="62">
        <f>Tabelle1!I17</f>
        <v>9.341666666666667E-4</v>
      </c>
      <c r="Q9" s="62">
        <f>Tabelle1!I19</f>
        <v>2.1722222222222221E-3</v>
      </c>
      <c r="R9" s="62">
        <f>Tabelle1!I18</f>
        <v>1.9594444444444442E-3</v>
      </c>
      <c r="S9" s="62">
        <f>JRP_konfig[[#This Row],[PZ1 - 50m Retten]]</f>
        <v>5.6499999999999996E-4</v>
      </c>
      <c r="T9" s="62">
        <f>JRP_konfig[[#This Row],[PZ1 - 50m Retten]]</f>
        <v>5.6499999999999996E-4</v>
      </c>
      <c r="U9" s="62">
        <f>JRP_konfig[[#This Row],[PZ1 - 50m Retten]]</f>
        <v>5.6499999999999996E-4</v>
      </c>
      <c r="V9" s="62">
        <f>JRP_konfig[[#This Row],[PZ1 - 50m Retten]]</f>
        <v>5.6499999999999996E-4</v>
      </c>
      <c r="W9" s="62">
        <f>JRP_konfig[[#This Row],[PZ1 - 50m Retten]]</f>
        <v>5.6499999999999996E-4</v>
      </c>
      <c r="X9" s="62">
        <f>JRP_konfig[[#This Row],[PZ1 - 50m Retten]]</f>
        <v>5.6499999999999996E-4</v>
      </c>
    </row>
    <row r="12" spans="1:24" x14ac:dyDescent="0.45">
      <c r="S12" s="67"/>
      <c r="T12" s="67"/>
      <c r="U12" s="67"/>
      <c r="V12" s="67"/>
      <c r="W12" s="67"/>
      <c r="X12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workbookViewId="0">
      <selection activeCell="L13" sqref="L13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231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232</v>
      </c>
      <c r="F12">
        <v>1.2</v>
      </c>
      <c r="H12" t="s">
        <v>232</v>
      </c>
      <c r="L12">
        <v>1.2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4.4861111111111105E-4</v>
      </c>
      <c r="D14" s="65">
        <f t="shared" ref="D14:E14" si="0">D5*$F$12</f>
        <v>4.4430555555555553E-4</v>
      </c>
      <c r="E14" s="65">
        <f t="shared" si="0"/>
        <v>4.3944444444444445E-4</v>
      </c>
      <c r="H14" s="64" t="s">
        <v>0</v>
      </c>
      <c r="I14" s="65">
        <f>I5*$L$12</f>
        <v>5.6499999999999996E-4</v>
      </c>
      <c r="J14" s="65">
        <f t="shared" ref="J14:K14" si="1">J5*$L$12</f>
        <v>5.5458333333333336E-4</v>
      </c>
      <c r="K14" s="65">
        <f t="shared" si="1"/>
        <v>5.4361111111111114E-4</v>
      </c>
    </row>
    <row r="15" spans="2:12" x14ac:dyDescent="0.45">
      <c r="B15" s="64" t="s">
        <v>225</v>
      </c>
      <c r="C15" s="65">
        <f t="shared" ref="C15:E15" si="2">C6*$F$12</f>
        <v>9.7083333333333342E-4</v>
      </c>
      <c r="D15" s="65">
        <f t="shared" si="2"/>
        <v>9.5805555555555553E-4</v>
      </c>
      <c r="E15" s="65">
        <f t="shared" si="2"/>
        <v>9.4430555555555544E-4</v>
      </c>
      <c r="H15" s="64" t="s">
        <v>225</v>
      </c>
      <c r="I15" s="65">
        <f t="shared" ref="I15:K15" si="3">I6*$L$12</f>
        <v>1.1445833333333332E-3</v>
      </c>
      <c r="J15" s="65">
        <f t="shared" si="3"/>
        <v>1.1262500000000001E-3</v>
      </c>
      <c r="K15" s="65">
        <f t="shared" si="3"/>
        <v>1.1063888888888887E-3</v>
      </c>
    </row>
    <row r="16" spans="2:12" x14ac:dyDescent="0.45">
      <c r="B16" s="64" t="s">
        <v>226</v>
      </c>
      <c r="C16" s="65">
        <f t="shared" ref="C16:E16" si="4">C7*$F$12</f>
        <v>7.0833333333333328E-4</v>
      </c>
      <c r="D16" s="65">
        <f t="shared" si="4"/>
        <v>7.0194444444444449E-4</v>
      </c>
      <c r="E16" s="65">
        <f t="shared" si="4"/>
        <v>6.951388888888888E-4</v>
      </c>
      <c r="H16" s="64" t="s">
        <v>226</v>
      </c>
      <c r="I16" s="65">
        <f t="shared" ref="I16:K16" si="5">I7*$L$12</f>
        <v>8.3597222222222222E-4</v>
      </c>
      <c r="J16" s="65">
        <f t="shared" si="5"/>
        <v>8.2736111111111118E-4</v>
      </c>
      <c r="K16" s="65">
        <f t="shared" si="5"/>
        <v>8.1805555555555548E-4</v>
      </c>
    </row>
    <row r="17" spans="2:11" x14ac:dyDescent="0.45">
      <c r="B17" s="64" t="s">
        <v>227</v>
      </c>
      <c r="C17" s="65">
        <f t="shared" ref="C17:E17" si="6">C8*$F$12</f>
        <v>8.2472222222222224E-4</v>
      </c>
      <c r="D17" s="65">
        <f t="shared" si="6"/>
        <v>8.0902777777777776E-4</v>
      </c>
      <c r="E17" s="65">
        <f t="shared" si="6"/>
        <v>7.919444444444444E-4</v>
      </c>
      <c r="H17" s="64" t="s">
        <v>227</v>
      </c>
      <c r="I17" s="65">
        <f t="shared" ref="I17:K17" si="7">I8*$L$12</f>
        <v>9.341666666666667E-4</v>
      </c>
      <c r="J17" s="65">
        <f t="shared" si="7"/>
        <v>9.2194444444444431E-4</v>
      </c>
      <c r="K17" s="65">
        <f t="shared" si="7"/>
        <v>9.0861111111111101E-4</v>
      </c>
    </row>
    <row r="18" spans="2:11" x14ac:dyDescent="0.45">
      <c r="B18" s="64" t="s">
        <v>228</v>
      </c>
      <c r="C18" s="65">
        <f t="shared" ref="C18:E19" si="8">C9*$F$12</f>
        <v>1.8319444444444444E-3</v>
      </c>
      <c r="D18" s="65">
        <f t="shared" si="8"/>
        <v>1.8124999999999999E-3</v>
      </c>
      <c r="E18" s="65">
        <f t="shared" si="8"/>
        <v>1.7913888888888886E-3</v>
      </c>
      <c r="H18" s="64" t="s">
        <v>228</v>
      </c>
      <c r="I18" s="65">
        <f t="shared" ref="I18:K18" si="9">I9*$L$12</f>
        <v>1.9594444444444442E-3</v>
      </c>
      <c r="J18" s="65">
        <f t="shared" si="9"/>
        <v>1.9526388888888887E-3</v>
      </c>
      <c r="K18" s="65">
        <f t="shared" si="9"/>
        <v>1.9452777777777775E-3</v>
      </c>
    </row>
    <row r="19" spans="2:11" x14ac:dyDescent="0.45">
      <c r="B19" s="64" t="s">
        <v>4</v>
      </c>
      <c r="C19" s="65">
        <f t="shared" si="8"/>
        <v>2.0026388888888889E-3</v>
      </c>
      <c r="D19" s="65">
        <f t="shared" si="8"/>
        <v>1.9811111111111106E-3</v>
      </c>
      <c r="E19" s="65">
        <f t="shared" si="8"/>
        <v>1.9579166666666664E-3</v>
      </c>
      <c r="H19" s="64" t="s">
        <v>4</v>
      </c>
      <c r="I19" s="65">
        <f t="shared" ref="I19:K19" si="10">I10*$L$12</f>
        <v>2.1722222222222221E-3</v>
      </c>
      <c r="J19" s="65">
        <f t="shared" si="10"/>
        <v>2.1574999999999997E-3</v>
      </c>
      <c r="K19" s="65">
        <f t="shared" si="10"/>
        <v>2.1416666666666663E-3</v>
      </c>
    </row>
    <row r="22" spans="2:11" x14ac:dyDescent="0.45">
      <c r="B22" s="63"/>
      <c r="C22" s="66"/>
      <c r="D22" s="66"/>
      <c r="E22" s="66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8" t="s">
        <v>14</v>
      </c>
      <c r="B14" s="68"/>
      <c r="C14" s="68"/>
      <c r="D14" s="68"/>
      <c r="E14" s="68"/>
      <c r="F14" s="68"/>
      <c r="G14"/>
      <c r="H14" s="70" t="s">
        <v>35</v>
      </c>
      <c r="I14" s="70"/>
      <c r="J14" s="70"/>
      <c r="L14" s="70" t="s">
        <v>36</v>
      </c>
      <c r="M14"/>
      <c r="N14"/>
    </row>
    <row r="15" spans="1:14" ht="15" customHeight="1" x14ac:dyDescent="0.45">
      <c r="A15" s="68"/>
      <c r="B15" s="68"/>
      <c r="C15" s="68"/>
      <c r="D15" s="68"/>
      <c r="E15" s="68"/>
      <c r="F15" s="68"/>
      <c r="G15"/>
      <c r="H15" s="70"/>
      <c r="I15" s="70"/>
      <c r="J15" s="70"/>
      <c r="L15" s="70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2026-01-20T05:18:28Z</dcterms:modified>
</cp:coreProperties>
</file>