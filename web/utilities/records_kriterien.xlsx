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DB367AD6-B191-4A37-93F9-FB912524627C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NK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1" i="13" l="1"/>
  <c r="W111" i="13"/>
  <c r="V111" i="13"/>
  <c r="U111" i="13"/>
  <c r="T111" i="13"/>
  <c r="S111" i="13"/>
  <c r="X110" i="13"/>
  <c r="W110" i="13"/>
  <c r="V110" i="13"/>
  <c r="U110" i="13"/>
  <c r="T110" i="13"/>
  <c r="S110" i="13"/>
  <c r="X109" i="13"/>
  <c r="W109" i="13"/>
  <c r="V109" i="13"/>
  <c r="U109" i="13"/>
  <c r="T109" i="13"/>
  <c r="S109" i="13"/>
  <c r="X108" i="13"/>
  <c r="W108" i="13"/>
  <c r="V108" i="13"/>
  <c r="U108" i="13"/>
  <c r="T108" i="13"/>
  <c r="S108" i="13"/>
  <c r="X107" i="13"/>
  <c r="W107" i="13"/>
  <c r="V107" i="13"/>
  <c r="U107" i="13"/>
  <c r="T107" i="13"/>
  <c r="S107" i="13"/>
  <c r="X106" i="13"/>
  <c r="W106" i="13"/>
  <c r="V106" i="13"/>
  <c r="U106" i="13"/>
  <c r="T106" i="13"/>
  <c r="S106" i="13"/>
  <c r="X99" i="13"/>
  <c r="W99" i="13"/>
  <c r="V99" i="13"/>
  <c r="U99" i="13"/>
  <c r="T99" i="13"/>
  <c r="S99" i="13"/>
  <c r="X98" i="13"/>
  <c r="W98" i="13"/>
  <c r="V98" i="13"/>
  <c r="U98" i="13"/>
  <c r="T98" i="13"/>
  <c r="S98" i="13"/>
  <c r="X97" i="13"/>
  <c r="W97" i="13"/>
  <c r="V97" i="13"/>
  <c r="U97" i="13"/>
  <c r="T97" i="13"/>
  <c r="S97" i="13"/>
  <c r="X96" i="13"/>
  <c r="W96" i="13"/>
  <c r="V96" i="13"/>
  <c r="U96" i="13"/>
  <c r="T96" i="13"/>
  <c r="S96" i="13"/>
  <c r="X95" i="13"/>
  <c r="W95" i="13"/>
  <c r="V95" i="13"/>
  <c r="U95" i="13"/>
  <c r="T95" i="13"/>
  <c r="S95" i="13"/>
  <c r="X94" i="13"/>
  <c r="W94" i="13"/>
  <c r="V94" i="13"/>
  <c r="U94" i="13"/>
  <c r="T94" i="13"/>
  <c r="S94" i="13"/>
  <c r="X93" i="13"/>
  <c r="W93" i="13"/>
  <c r="V93" i="13"/>
  <c r="U93" i="13"/>
  <c r="T93" i="13"/>
  <c r="S93" i="13"/>
  <c r="X92" i="13"/>
  <c r="W92" i="13"/>
  <c r="V92" i="13"/>
  <c r="U92" i="13"/>
  <c r="T92" i="13"/>
  <c r="S92" i="13"/>
  <c r="X91" i="13"/>
  <c r="W91" i="13"/>
  <c r="V91" i="13"/>
  <c r="U91" i="13"/>
  <c r="T91" i="13"/>
  <c r="S91" i="13"/>
  <c r="X90" i="13"/>
  <c r="W90" i="13"/>
  <c r="V90" i="13"/>
  <c r="U90" i="13"/>
  <c r="T90" i="13"/>
  <c r="S90" i="13"/>
  <c r="X89" i="13"/>
  <c r="W89" i="13"/>
  <c r="V89" i="13"/>
  <c r="U89" i="13"/>
  <c r="T89" i="13"/>
  <c r="S89" i="13"/>
  <c r="X88" i="13"/>
  <c r="W88" i="13"/>
  <c r="V88" i="13"/>
  <c r="U88" i="13"/>
  <c r="T88" i="13"/>
  <c r="S88" i="13"/>
  <c r="X87" i="13"/>
  <c r="W87" i="13"/>
  <c r="V87" i="13"/>
  <c r="U87" i="13"/>
  <c r="T87" i="13"/>
  <c r="S87" i="13"/>
  <c r="X86" i="13"/>
  <c r="W86" i="13"/>
  <c r="V86" i="13"/>
  <c r="U86" i="13"/>
  <c r="T86" i="13"/>
  <c r="S86" i="13"/>
  <c r="X85" i="13"/>
  <c r="W85" i="13"/>
  <c r="V85" i="13"/>
  <c r="U85" i="13"/>
  <c r="T85" i="13"/>
  <c r="S85" i="13"/>
  <c r="X84" i="13"/>
  <c r="W84" i="13"/>
  <c r="V84" i="13"/>
  <c r="U84" i="13"/>
  <c r="T84" i="13"/>
  <c r="S84" i="13"/>
  <c r="X83" i="13"/>
  <c r="W83" i="13"/>
  <c r="V83" i="13"/>
  <c r="U83" i="13"/>
  <c r="T83" i="13"/>
  <c r="S83" i="13"/>
  <c r="X82" i="13"/>
  <c r="W82" i="13"/>
  <c r="V82" i="13"/>
  <c r="U82" i="13"/>
  <c r="T82" i="13"/>
  <c r="S82" i="13"/>
  <c r="X81" i="13"/>
  <c r="W81" i="13"/>
  <c r="V81" i="13"/>
  <c r="U81" i="13"/>
  <c r="T81" i="13"/>
  <c r="S81" i="13"/>
  <c r="X80" i="13"/>
  <c r="W80" i="13"/>
  <c r="V80" i="13"/>
  <c r="U80" i="13"/>
  <c r="T80" i="13"/>
  <c r="S80" i="13"/>
  <c r="X79" i="13"/>
  <c r="W79" i="13"/>
  <c r="V79" i="13"/>
  <c r="U79" i="13"/>
  <c r="T79" i="13"/>
  <c r="S79" i="13"/>
  <c r="X78" i="13"/>
  <c r="W78" i="13"/>
  <c r="V78" i="13"/>
  <c r="U78" i="13"/>
  <c r="T78" i="13"/>
  <c r="S78" i="13"/>
  <c r="X77" i="13"/>
  <c r="W77" i="13"/>
  <c r="V77" i="13"/>
  <c r="U77" i="13"/>
  <c r="T77" i="13"/>
  <c r="S77" i="13"/>
  <c r="X76" i="13"/>
  <c r="W76" i="13"/>
  <c r="V76" i="13"/>
  <c r="U76" i="13"/>
  <c r="T76" i="13"/>
  <c r="S76" i="13"/>
  <c r="X75" i="13"/>
  <c r="W75" i="13"/>
  <c r="V75" i="13"/>
  <c r="U75" i="13"/>
  <c r="T75" i="13"/>
  <c r="S75" i="13"/>
  <c r="X74" i="13"/>
  <c r="W74" i="13"/>
  <c r="V74" i="13"/>
  <c r="U74" i="13"/>
  <c r="T74" i="13"/>
  <c r="S74" i="13"/>
  <c r="X73" i="13"/>
  <c r="W73" i="13"/>
  <c r="V73" i="13"/>
  <c r="U73" i="13"/>
  <c r="T73" i="13"/>
  <c r="S73" i="13"/>
  <c r="X72" i="13"/>
  <c r="W72" i="13"/>
  <c r="V72" i="13"/>
  <c r="U72" i="13"/>
  <c r="T72" i="13"/>
  <c r="S72" i="13"/>
  <c r="X71" i="13"/>
  <c r="W71" i="13"/>
  <c r="V71" i="13"/>
  <c r="U71" i="13"/>
  <c r="T71" i="13"/>
  <c r="S71" i="13"/>
  <c r="X70" i="13"/>
  <c r="W70" i="13"/>
  <c r="V70" i="13"/>
  <c r="U70" i="13"/>
  <c r="T70" i="13"/>
  <c r="S70" i="13"/>
  <c r="X69" i="13"/>
  <c r="W69" i="13"/>
  <c r="V69" i="13"/>
  <c r="U69" i="13"/>
  <c r="T69" i="13"/>
  <c r="S69" i="13"/>
  <c r="X68" i="13"/>
  <c r="W68" i="13"/>
  <c r="V68" i="13"/>
  <c r="U68" i="13"/>
  <c r="T68" i="13"/>
  <c r="S68" i="13"/>
  <c r="X67" i="13"/>
  <c r="W67" i="13"/>
  <c r="V67" i="13"/>
  <c r="U67" i="13"/>
  <c r="T67" i="13"/>
  <c r="S67" i="13"/>
  <c r="X66" i="13"/>
  <c r="W66" i="13"/>
  <c r="V66" i="13"/>
  <c r="U66" i="13"/>
  <c r="T66" i="13"/>
  <c r="S66" i="13"/>
  <c r="X65" i="13"/>
  <c r="W65" i="13"/>
  <c r="V65" i="13"/>
  <c r="U65" i="13"/>
  <c r="T65" i="13"/>
  <c r="S65" i="13"/>
  <c r="X64" i="13"/>
  <c r="W64" i="13"/>
  <c r="V64" i="13"/>
  <c r="U64" i="13"/>
  <c r="T64" i="13"/>
  <c r="S64" i="13"/>
  <c r="X63" i="13"/>
  <c r="W63" i="13"/>
  <c r="V63" i="13"/>
  <c r="U63" i="13"/>
  <c r="T63" i="13"/>
  <c r="S63" i="13"/>
  <c r="X62" i="13"/>
  <c r="W62" i="13"/>
  <c r="V62" i="13"/>
  <c r="U62" i="13"/>
  <c r="T62" i="13"/>
  <c r="S62" i="13"/>
  <c r="X61" i="13"/>
  <c r="W61" i="13"/>
  <c r="V61" i="13"/>
  <c r="U61" i="13"/>
  <c r="T61" i="13"/>
  <c r="S61" i="13"/>
  <c r="X60" i="13"/>
  <c r="W60" i="13"/>
  <c r="V60" i="13"/>
  <c r="U60" i="13"/>
  <c r="T60" i="13"/>
  <c r="S60" i="13"/>
  <c r="X59" i="13"/>
  <c r="W59" i="13"/>
  <c r="V59" i="13"/>
  <c r="U59" i="13"/>
  <c r="T59" i="13"/>
  <c r="S59" i="13"/>
  <c r="X58" i="13"/>
  <c r="W58" i="13"/>
  <c r="V58" i="13"/>
  <c r="U58" i="13"/>
  <c r="T58" i="13"/>
  <c r="S58" i="13"/>
  <c r="X57" i="13"/>
  <c r="W57" i="13"/>
  <c r="V57" i="13"/>
  <c r="U57" i="13"/>
  <c r="T57" i="13"/>
  <c r="S57" i="13"/>
  <c r="X56" i="13"/>
  <c r="W56" i="13"/>
  <c r="V56" i="13"/>
  <c r="U56" i="13"/>
  <c r="T56" i="13"/>
  <c r="S56" i="13"/>
  <c r="X55" i="13"/>
  <c r="W55" i="13"/>
  <c r="V55" i="13"/>
  <c r="U55" i="13"/>
  <c r="T55" i="13"/>
  <c r="S55" i="13"/>
  <c r="X54" i="13"/>
  <c r="W54" i="13"/>
  <c r="V54" i="13"/>
  <c r="U54" i="13"/>
  <c r="T54" i="13"/>
  <c r="S54" i="13"/>
  <c r="X53" i="13"/>
  <c r="W53" i="13"/>
  <c r="V53" i="13"/>
  <c r="U53" i="13"/>
  <c r="T53" i="13"/>
  <c r="S53" i="13"/>
  <c r="X52" i="13"/>
  <c r="W52" i="13"/>
  <c r="V52" i="13"/>
  <c r="U52" i="13"/>
  <c r="T52" i="13"/>
  <c r="S52" i="13"/>
  <c r="Z19" i="14" l="1"/>
  <c r="Q105" i="13" s="1"/>
  <c r="W105" i="13" s="1"/>
  <c r="Y19" i="14"/>
  <c r="Q104" i="13" s="1"/>
  <c r="W104" i="13" s="1"/>
  <c r="X19" i="14"/>
  <c r="Q103" i="13" s="1"/>
  <c r="W103" i="13" s="1"/>
  <c r="Z18" i="14"/>
  <c r="R105" i="13" s="1"/>
  <c r="X105" i="13" s="1"/>
  <c r="Y18" i="14"/>
  <c r="R104" i="13" s="1"/>
  <c r="X104" i="13" s="1"/>
  <c r="X18" i="14"/>
  <c r="R103" i="13" s="1"/>
  <c r="X103" i="13" s="1"/>
  <c r="Z17" i="14"/>
  <c r="P105" i="13" s="1"/>
  <c r="V105" i="13" s="1"/>
  <c r="Y17" i="14"/>
  <c r="P104" i="13" s="1"/>
  <c r="V104" i="13" s="1"/>
  <c r="X17" i="14"/>
  <c r="P103" i="13" s="1"/>
  <c r="V103" i="13" s="1"/>
  <c r="Z16" i="14"/>
  <c r="N105" i="13" s="1"/>
  <c r="T105" i="13" s="1"/>
  <c r="Y16" i="14"/>
  <c r="N104" i="13" s="1"/>
  <c r="T104" i="13" s="1"/>
  <c r="X16" i="14"/>
  <c r="N103" i="13" s="1"/>
  <c r="T103" i="13" s="1"/>
  <c r="Z15" i="14"/>
  <c r="O105" i="13" s="1"/>
  <c r="U105" i="13" s="1"/>
  <c r="Y15" i="14"/>
  <c r="O104" i="13" s="1"/>
  <c r="U104" i="13" s="1"/>
  <c r="X15" i="14"/>
  <c r="O103" i="13" s="1"/>
  <c r="U103" i="13" s="1"/>
  <c r="Z14" i="14"/>
  <c r="M105" i="13" s="1"/>
  <c r="S105" i="13" s="1"/>
  <c r="Y14" i="14"/>
  <c r="M104" i="13" s="1"/>
  <c r="S104" i="13" s="1"/>
  <c r="X14" i="14"/>
  <c r="M103" i="13" s="1"/>
  <c r="S103" i="13" s="1"/>
  <c r="T19" i="14"/>
  <c r="Q102" i="13" s="1"/>
  <c r="W102" i="13" s="1"/>
  <c r="S19" i="14"/>
  <c r="Q101" i="13" s="1"/>
  <c r="W101" i="13" s="1"/>
  <c r="R19" i="14"/>
  <c r="Q100" i="13" s="1"/>
  <c r="W100" i="13" s="1"/>
  <c r="T18" i="14"/>
  <c r="R102" i="13" s="1"/>
  <c r="X102" i="13" s="1"/>
  <c r="S18" i="14"/>
  <c r="R101" i="13" s="1"/>
  <c r="X101" i="13" s="1"/>
  <c r="R18" i="14"/>
  <c r="R100" i="13" s="1"/>
  <c r="X100" i="13" s="1"/>
  <c r="T17" i="14"/>
  <c r="P102" i="13" s="1"/>
  <c r="V102" i="13" s="1"/>
  <c r="S17" i="14"/>
  <c r="P101" i="13" s="1"/>
  <c r="V101" i="13" s="1"/>
  <c r="R17" i="14"/>
  <c r="P100" i="13" s="1"/>
  <c r="V100" i="13" s="1"/>
  <c r="T16" i="14"/>
  <c r="N102" i="13" s="1"/>
  <c r="T102" i="13" s="1"/>
  <c r="S16" i="14"/>
  <c r="N101" i="13" s="1"/>
  <c r="T101" i="13" s="1"/>
  <c r="R16" i="14"/>
  <c r="N100" i="13" s="1"/>
  <c r="T100" i="13" s="1"/>
  <c r="T15" i="14"/>
  <c r="O102" i="13" s="1"/>
  <c r="U102" i="13" s="1"/>
  <c r="S15" i="14"/>
  <c r="O101" i="13" s="1"/>
  <c r="U101" i="13" s="1"/>
  <c r="R15" i="14"/>
  <c r="O100" i="13" s="1"/>
  <c r="U100" i="13" s="1"/>
  <c r="T14" i="14"/>
  <c r="M102" i="13" s="1"/>
  <c r="S102" i="13" s="1"/>
  <c r="S14" i="14"/>
  <c r="M101" i="13" s="1"/>
  <c r="S101" i="13" s="1"/>
  <c r="R14" i="14"/>
  <c r="M100" i="13" s="1"/>
  <c r="S100" i="13" s="1"/>
  <c r="K19" i="14"/>
  <c r="Q37" i="13" s="1"/>
  <c r="W37" i="13" s="1"/>
  <c r="J19" i="14"/>
  <c r="Q38" i="13" s="1"/>
  <c r="W38" i="13" s="1"/>
  <c r="I19" i="14"/>
  <c r="Q39" i="13" s="1"/>
  <c r="W39" i="13" s="1"/>
  <c r="K18" i="14"/>
  <c r="R37" i="13" s="1"/>
  <c r="X37" i="13" s="1"/>
  <c r="J18" i="14"/>
  <c r="R38" i="13" s="1"/>
  <c r="X38" i="13" s="1"/>
  <c r="I18" i="14"/>
  <c r="R39" i="13" s="1"/>
  <c r="X39" i="13" s="1"/>
  <c r="K17" i="14"/>
  <c r="P37" i="13" s="1"/>
  <c r="V37" i="13" s="1"/>
  <c r="J17" i="14"/>
  <c r="P38" i="13" s="1"/>
  <c r="V38" i="13" s="1"/>
  <c r="I17" i="14"/>
  <c r="K16" i="14"/>
  <c r="N37" i="13" s="1"/>
  <c r="T37" i="13" s="1"/>
  <c r="J16" i="14"/>
  <c r="N38" i="13" s="1"/>
  <c r="T38" i="13" s="1"/>
  <c r="I16" i="14"/>
  <c r="N39" i="13" s="1"/>
  <c r="T39" i="13" s="1"/>
  <c r="K15" i="14"/>
  <c r="O37" i="13" s="1"/>
  <c r="U37" i="13" s="1"/>
  <c r="J15" i="14"/>
  <c r="O38" i="13" s="1"/>
  <c r="U38" i="13" s="1"/>
  <c r="I15" i="14"/>
  <c r="O39" i="13" s="1"/>
  <c r="U39" i="13" s="1"/>
  <c r="K14" i="14"/>
  <c r="M37" i="13" s="1"/>
  <c r="S37" i="13" s="1"/>
  <c r="J14" i="14"/>
  <c r="M38" i="13" s="1"/>
  <c r="S38" i="13" s="1"/>
  <c r="I14" i="14"/>
  <c r="M39" i="13" s="1"/>
  <c r="S39" i="13" s="1"/>
  <c r="E19" i="14"/>
  <c r="Q34" i="13" s="1"/>
  <c r="W34" i="13" s="1"/>
  <c r="D19" i="14"/>
  <c r="Q35" i="13" s="1"/>
  <c r="W35" i="13" s="1"/>
  <c r="C19" i="14"/>
  <c r="Q36" i="13" s="1"/>
  <c r="W36" i="13" s="1"/>
  <c r="E18" i="14"/>
  <c r="R34" i="13" s="1"/>
  <c r="X34" i="13" s="1"/>
  <c r="D18" i="14"/>
  <c r="R35" i="13" s="1"/>
  <c r="X35" i="13" s="1"/>
  <c r="C18" i="14"/>
  <c r="R36" i="13" s="1"/>
  <c r="X36" i="13" s="1"/>
  <c r="E17" i="14"/>
  <c r="P34" i="13" s="1"/>
  <c r="V34" i="13" s="1"/>
  <c r="D17" i="14"/>
  <c r="P35" i="13" s="1"/>
  <c r="V35" i="13" s="1"/>
  <c r="C17" i="14"/>
  <c r="P36" i="13" s="1"/>
  <c r="V36" i="13" s="1"/>
  <c r="E16" i="14"/>
  <c r="N34" i="13" s="1"/>
  <c r="T34" i="13" s="1"/>
  <c r="D16" i="14"/>
  <c r="N35" i="13" s="1"/>
  <c r="T35" i="13" s="1"/>
  <c r="C16" i="14"/>
  <c r="N36" i="13" s="1"/>
  <c r="T36" i="13" s="1"/>
  <c r="E15" i="14"/>
  <c r="O34" i="13" s="1"/>
  <c r="U34" i="13" s="1"/>
  <c r="D15" i="14"/>
  <c r="O35" i="13" s="1"/>
  <c r="U35" i="13" s="1"/>
  <c r="C15" i="14"/>
  <c r="O36" i="13" s="1"/>
  <c r="U36" i="13" s="1"/>
  <c r="E14" i="14"/>
  <c r="M34" i="13" s="1"/>
  <c r="S34" i="13" s="1"/>
  <c r="D14" i="14"/>
  <c r="M35" i="13" s="1"/>
  <c r="S35" i="13" s="1"/>
  <c r="C14" i="14"/>
  <c r="M36" i="13" s="1"/>
  <c r="S36" i="13" s="1"/>
  <c r="P39" i="13"/>
  <c r="V39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<sst xmlns="http://schemas.openxmlformats.org/spreadsheetml/2006/main" count="1114" uniqueCount="275">
  <si>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</si>
  <si>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</si>
  <si>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</si>
  <si>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</si>
  <si>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</si>
  <si>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</si>
  <si>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</si>
  <si>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</si>
  <si>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</si>
  <si>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</si>
  <si>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</si>
  <si>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</si>
  <si>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</si>
  <si>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</si>
  <si>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</si>
  <si>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</si>
  <si>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</si>
  <si>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</si>
  <si>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</si>
  <si>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</si>
  <si>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</si>
  <si>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</si>
  <si>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</si>
  <si>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</si>
  <si>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</si>
  <si>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</si>
  <si>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</si>
  <si>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</si>
  <si>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</si>
  <si>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</si>
  <si>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</si>
  <si>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</si>
  <si>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</si>
  <si>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</si>
  <si>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</si>
  <si>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</si>
  <si>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</si>
  <si>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</si>
  <si>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</si>
  <si>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</si>
  <si>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</si>
  <si>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</si>
  <si>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</si>
  <si>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</si>
  <si>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</si>
  <si>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</si>
  <si>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</si>
  <si>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</si>
  <si>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</si>
  <si>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</si>
  <si>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</si>
  <si>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</si>
  <si>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</si>
  <si>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</si>
  <si>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</si>
  <si>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</si>
  <si>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</si>
  <si>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</si>
  <si>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</si>
  <si>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</si>
  <si>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</si>
  <si>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</si>
  <si>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</si>
  <si>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</si>
  <si>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</si>
  <si>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</si>
  <si>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</si>
  <si>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</si>
  <si>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</si>
  <si>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</si>
  <si>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</si>
  <si>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</si>
  <si>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</si>
  <si>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</si>
  <si>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</si>
  <si>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</si>
  <si>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</si>
  <si>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</si>
  <si>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</si>
  <si>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</si>
  <si>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</si>
  <si>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</si>
  <si>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</si>
  <si>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</si>
  <si>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</si>
  <si>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</si>
  <si>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</si>
  <si>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</si>
  <si>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</si>
  <si>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</si>
  <si>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</si>
  <si>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</si>
  <si>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</si>
  <si>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</si>
  <si>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</si>
  <si>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</si>
  <si>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</si>
  <si>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</si>
  <si>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</si>
  <si>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</si>
  <si>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</si>
  <si>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</si>
  <si>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</si>
  <si>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</si>
  <si>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</si>
  <si>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</si>
  <si>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</si>
  <si>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</si>
  <si>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</si>
  <si>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</si>
  <si>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</si>
  <si>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</si>
  <si>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</si>
  <si>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</si>
  <si>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</si>
  <si>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</si>
  <si>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</si>
  <si>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</si>
  <si>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</si>
  <si>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</si>
  <si>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</si>
  <si>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</si>
  <si>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</si>
  <si>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</si>
  <si>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</si>
  <si>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</si>
  <si>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</si>
  <si>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</si>
  <si>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</si>
  <si>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</si>
  <si>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</si>
  <si>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</si>
  <si>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</si>
  <si>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</si>
  <si>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</si>
  <si>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</si>
  <si>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</si>
  <si>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</si>
  <si>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</si>
  <si>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</si>
  <si>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</si>
  <si>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</si>
  <si>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</si>
  <si>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</si>
  <si>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</si>
  <si>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</si>
  <si>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</si>
  <si>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</si>
  <si>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</si>
  <si>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</si>
  <si>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</si>
  <si>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</si>
  <si>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</si>
  <si>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</si>
  <si>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</si>
  <si>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</si>
  <si>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</si>
  <si>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</si>
  <si>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</si>
  <si>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</si>
  <si>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</si>
  <si>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</si>
  <si>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</si>
  <si>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</si>
  <si>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</si>
  <si>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</si>
  <si>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</si>
  <si>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</si>
  <si>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</si>
  <si>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</si>
  <si>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</si>
  <si>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</si>
  <si>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</si>
  <si>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</si>
  <si>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</si>
  <si>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</si>
  <si>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</si>
  <si>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</si>
  <si>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</si>
  <si>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</si>
  <si>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</si>
  <si>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</si>
  <si>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</si>
  <si>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</si>
  <si>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</si>
  <si>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</si>
  <si>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</si>
  <si>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</si>
  <si>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</si>
  <si>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</si>
  <si>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</si>
  <si>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</si>
  <si>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</si>
  <si>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</si>
  <si>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</si>
  <si>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</si>
  <si>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</si>
  <si>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</si>
  <si>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</si>
  <si>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</si>
  <si>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</si>
  <si>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</si>
  <si>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</si>
  <si>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</si>
  <si>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</si>
  <si>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</si>
  <si>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</si>
  <si>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</si>
  <si>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</si>
  <si>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</si>
  <si>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</si>
  <si>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</si>
  <si>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</si>
  <si>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</si>
  <si>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</si>
  <si>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</si>
  <si>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</si>
  <si>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</si>
  <si>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</si>
  <si>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</si>
  <si>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</si>
  <si>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</si>
  <si>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</si>
  <si>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</si>
  <si>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</si>
  <si>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</si>
  <si>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</si>
  <si>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</si>
  <si>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</si>
  <si>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</si>
  <si>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</si>
  <si>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+ 10% Frauen</t>
  </si>
  <si>
    <t>NK1 + 10% Männer</t>
  </si>
  <si>
    <t>NK1 Orginal M</t>
  </si>
  <si>
    <t>NK1 Orginal W</t>
  </si>
  <si>
    <t>&gt;2007</t>
  </si>
  <si>
    <t>2004-2006</t>
  </si>
  <si>
    <t>&lt;2006</t>
  </si>
  <si>
    <t>NK1 % M</t>
  </si>
  <si>
    <t>NK2 +25% Mäner</t>
  </si>
  <si>
    <t>NK2 +25% Frauen</t>
  </si>
  <si>
    <t>NK2 +27,5% Mäner</t>
  </si>
  <si>
    <t>NK2 +27,5% Frauen</t>
  </si>
  <si>
    <t>NK2 +30% Mäner</t>
  </si>
  <si>
    <t>NK2 +30% Frauen</t>
  </si>
  <si>
    <t>NK2 +22,5% Frauen</t>
  </si>
  <si>
    <t>NK2 +22,5% Mäner</t>
  </si>
  <si>
    <t>NK2 +20% Frauen</t>
  </si>
  <si>
    <t>NK2 +20% Mäner</t>
  </si>
  <si>
    <t>NK2 +17,5% Frauen</t>
  </si>
  <si>
    <t>NK2 +17,5% Mäner</t>
  </si>
  <si>
    <t>NK2 +15% Mäner</t>
  </si>
  <si>
    <t>NK2 +15% Frauen</t>
  </si>
  <si>
    <t>NK2 +12,5% Mäner</t>
  </si>
  <si>
    <t>NK2 +12,5% Frauen</t>
  </si>
  <si>
    <t>JRP (TEST) Weiblich</t>
  </si>
  <si>
    <t>JRP (TEST) Männlich</t>
  </si>
  <si>
    <t>NK1 +12,5% Mäner</t>
  </si>
  <si>
    <t>NK1 +12,5% Frauen</t>
  </si>
  <si>
    <t>NK1 +15% Mäner</t>
  </si>
  <si>
    <t>NK1 +15% Frauen</t>
  </si>
  <si>
    <t>NK1 +17,5% Mäner</t>
  </si>
  <si>
    <t>NK1 +17,5% Frauen</t>
  </si>
  <si>
    <t>NK1 +20% Mäner</t>
  </si>
  <si>
    <t>NK1 +20% Frauen</t>
  </si>
  <si>
    <t>NK1 +22,5% Mäner</t>
  </si>
  <si>
    <t>NK1 +22,5% Frauen</t>
  </si>
  <si>
    <t>NK1 +25% Mäner</t>
  </si>
  <si>
    <t>NK1 +25% Frauen</t>
  </si>
  <si>
    <t>NK1 +27,5% Mäner</t>
  </si>
  <si>
    <t>NK1 +27,5% Frauen</t>
  </si>
  <si>
    <t>NK1 +14% Mäner (bis 10 nominiert)</t>
  </si>
  <si>
    <t>NK1 +19% Frauen (bis 10 nominiert)</t>
  </si>
  <si>
    <t>NK2 +23% Mäner  (bis 6 nominiert)</t>
  </si>
  <si>
    <t>NK2 +18% Frauen  (bis 6 nominiert)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</si>
</sst>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JRP!$M$2:$M$109</c:f>
              <c:numCache>
                <c:formatCode>m:ss.00</c:formatCode>
                <c:ptCount val="108"/>
                <c:pt idx="0">
                  <c:v>4.6817129629629634E-4</c:v>
                </c:pt>
                <c:pt idx="1">
                  <c:v>3.9178240740740742E-4</c:v>
                </c:pt>
                <c:pt idx="2">
                  <c:v>4.1197916666666667E-4</c:v>
                </c:pt>
                <c:pt idx="3">
                  <c:v>4.1653645833333332E-4</c:v>
                </c:pt>
                <c:pt idx="4">
                  <c:v>4.2057291666666664E-4</c:v>
                </c:pt>
                <c:pt idx="5">
                  <c:v>5.096354166666667E-4</c:v>
                </c:pt>
                <c:pt idx="6">
                  <c:v>5.1992187499999998E-4</c:v>
                </c:pt>
                <c:pt idx="7">
                  <c:v>5.2968749999999999E-4</c:v>
                </c:pt>
                <c:pt idx="8">
                  <c:v>4.2113425925925923E-4</c:v>
                </c:pt>
                <c:pt idx="9">
                  <c:v>4.2579282407407404E-4</c:v>
                </c:pt>
                <c:pt idx="10">
                  <c:v>4.2991898148148143E-4</c:v>
                </c:pt>
                <c:pt idx="11">
                  <c:v>5.2096064814814811E-4</c:v>
                </c:pt>
                <c:pt idx="12">
                  <c:v>5.3147569444444444E-4</c:v>
                </c:pt>
                <c:pt idx="13">
                  <c:v>5.4145833333333324E-4</c:v>
                </c:pt>
                <c:pt idx="14">
                  <c:v>4.3028935185185189E-4</c:v>
                </c:pt>
                <c:pt idx="15">
                  <c:v>4.3504918981481481E-4</c:v>
                </c:pt>
                <c:pt idx="16">
                  <c:v>4.3926504629629627E-4</c:v>
                </c:pt>
                <c:pt idx="17">
                  <c:v>5.3228587962962962E-4</c:v>
                </c:pt>
                <c:pt idx="18">
                  <c:v>5.430295138888889E-4</c:v>
                </c:pt>
                <c:pt idx="19">
                  <c:v>5.532291666666666E-4</c:v>
                </c:pt>
                <c:pt idx="20">
                  <c:v>4.3944444444444445E-4</c:v>
                </c:pt>
                <c:pt idx="21">
                  <c:v>4.4430555555555553E-4</c:v>
                </c:pt>
                <c:pt idx="22">
                  <c:v>4.4861111111111105E-4</c:v>
                </c:pt>
                <c:pt idx="23">
                  <c:v>5.4361111111111114E-4</c:v>
                </c:pt>
                <c:pt idx="24">
                  <c:v>5.5458333333333336E-4</c:v>
                </c:pt>
                <c:pt idx="25">
                  <c:v>5.6499999999999996E-4</c:v>
                </c:pt>
                <c:pt idx="26">
                  <c:v>4.4859953703703707E-4</c:v>
                </c:pt>
                <c:pt idx="27">
                  <c:v>4.5356192129629631E-4</c:v>
                </c:pt>
                <c:pt idx="28">
                  <c:v>4.5795717592592589E-4</c:v>
                </c:pt>
                <c:pt idx="29">
                  <c:v>5.5493634259259266E-4</c:v>
                </c:pt>
                <c:pt idx="30">
                  <c:v>5.6613715277777782E-4</c:v>
                </c:pt>
                <c:pt idx="31">
                  <c:v>5.7677083333333332E-4</c:v>
                </c:pt>
                <c:pt idx="32">
                  <c:v>4.5043055555555553E-4</c:v>
                </c:pt>
                <c:pt idx="33">
                  <c:v>4.5541319444444443E-4</c:v>
                </c:pt>
                <c:pt idx="34">
                  <c:v>4.5982638888888885E-4</c:v>
                </c:pt>
                <c:pt idx="35">
                  <c:v>5.3455092592592595E-4</c:v>
                </c:pt>
                <c:pt idx="36">
                  <c:v>5.4534027777777773E-4</c:v>
                </c:pt>
                <c:pt idx="37">
                  <c:v>5.5558333333333328E-4</c:v>
                </c:pt>
                <c:pt idx="38">
                  <c:v>4.6690972222222218E-4</c:v>
                </c:pt>
                <c:pt idx="39">
                  <c:v>4.7207465277777775E-4</c:v>
                </c:pt>
                <c:pt idx="40">
                  <c:v>4.7664930555555546E-4</c:v>
                </c:pt>
                <c:pt idx="41">
                  <c:v>5.7758680555555558E-4</c:v>
                </c:pt>
                <c:pt idx="42">
                  <c:v>5.8924479166666663E-4</c:v>
                </c:pt>
                <c:pt idx="43">
                  <c:v>6.0031249999999993E-4</c:v>
                </c:pt>
                <c:pt idx="44">
                  <c:v>4.7606481481481485E-4</c:v>
                </c:pt>
                <c:pt idx="45">
                  <c:v>4.8133101851851852E-4</c:v>
                </c:pt>
                <c:pt idx="46">
                  <c:v>4.8599537037037036E-4</c:v>
                </c:pt>
                <c:pt idx="47">
                  <c:v>5.8891203703703709E-4</c:v>
                </c:pt>
                <c:pt idx="48">
                  <c:v>6.0079861111111119E-4</c:v>
                </c:pt>
                <c:pt idx="49">
                  <c:v>6.1208333333333329E-4</c:v>
                </c:pt>
                <c:pt idx="50">
                  <c:v>3.9722222222222226E-4</c:v>
                </c:pt>
                <c:pt idx="51">
                  <c:v>3.9365740740740745E-4</c:v>
                </c:pt>
                <c:pt idx="52">
                  <c:v>3.8283564814814821E-4</c:v>
                </c:pt>
                <c:pt idx="53">
                  <c:v>4.8506944444444455E-4</c:v>
                </c:pt>
                <c:pt idx="54">
                  <c:v>4.7717592592592592E-4</c:v>
                </c:pt>
                <c:pt idx="55">
                  <c:v>4.5273148148148153E-4</c:v>
                </c:pt>
                <c:pt idx="56">
                  <c:v>4.0624999999999998E-4</c:v>
                </c:pt>
                <c:pt idx="57">
                  <c:v>4.0260416666666667E-4</c:v>
                </c:pt>
                <c:pt idx="58">
                  <c:v>3.9153645833333336E-4</c:v>
                </c:pt>
                <c:pt idx="59">
                  <c:v>4.9609375000000001E-4</c:v>
                </c:pt>
                <c:pt idx="60">
                  <c:v>4.8802083333333331E-4</c:v>
                </c:pt>
                <c:pt idx="61">
                  <c:v>4.6302083333333335E-4</c:v>
                </c:pt>
                <c:pt idx="62">
                  <c:v>4.152777777777777E-4</c:v>
                </c:pt>
                <c:pt idx="63">
                  <c:v>4.1155092592592589E-4</c:v>
                </c:pt>
                <c:pt idx="64">
                  <c:v>4.0023726851851852E-4</c:v>
                </c:pt>
                <c:pt idx="65">
                  <c:v>5.0711805555555558E-4</c:v>
                </c:pt>
                <c:pt idx="66">
                  <c:v>4.9886574074074069E-4</c:v>
                </c:pt>
                <c:pt idx="67">
                  <c:v>4.7331018518518517E-4</c:v>
                </c:pt>
                <c:pt idx="68">
                  <c:v>4.2430555555555554E-4</c:v>
                </c:pt>
                <c:pt idx="69">
                  <c:v>4.2049768518518521E-4</c:v>
                </c:pt>
                <c:pt idx="70">
                  <c:v>4.0893807870370373E-4</c:v>
                </c:pt>
                <c:pt idx="71">
                  <c:v>5.1814236111111115E-4</c:v>
                </c:pt>
                <c:pt idx="72">
                  <c:v>5.0971064814814813E-4</c:v>
                </c:pt>
                <c:pt idx="73">
                  <c:v>4.8359953703703705E-4</c:v>
                </c:pt>
                <c:pt idx="74">
                  <c:v>4.3333333333333331E-4</c:v>
                </c:pt>
                <c:pt idx="75">
                  <c:v>4.2944444444444443E-4</c:v>
                </c:pt>
                <c:pt idx="76">
                  <c:v>4.1763888888888889E-4</c:v>
                </c:pt>
                <c:pt idx="77">
                  <c:v>5.2916666666666672E-4</c:v>
                </c:pt>
                <c:pt idx="78">
                  <c:v>5.2055555555555546E-4</c:v>
                </c:pt>
                <c:pt idx="79">
                  <c:v>4.9388888888888887E-4</c:v>
                </c:pt>
                <c:pt idx="80">
                  <c:v>4.4236111111111115E-4</c:v>
                </c:pt>
                <c:pt idx="81">
                  <c:v>4.3839120370370375E-4</c:v>
                </c:pt>
                <c:pt idx="82">
                  <c:v>4.263396990740741E-4</c:v>
                </c:pt>
                <c:pt idx="83">
                  <c:v>5.4019097222222229E-4</c:v>
                </c:pt>
                <c:pt idx="84">
                  <c:v>5.3140046296296301E-4</c:v>
                </c:pt>
                <c:pt idx="85">
                  <c:v>5.041782407407408E-4</c:v>
                </c:pt>
                <c:pt idx="86">
                  <c:v>4.5138888888888887E-4</c:v>
                </c:pt>
                <c:pt idx="87">
                  <c:v>4.4733796296296297E-4</c:v>
                </c:pt>
                <c:pt idx="88">
                  <c:v>4.3504050925925926E-4</c:v>
                </c:pt>
                <c:pt idx="89">
                  <c:v>5.5121527777777786E-4</c:v>
                </c:pt>
                <c:pt idx="90">
                  <c:v>5.4224537037037034E-4</c:v>
                </c:pt>
                <c:pt idx="91">
                  <c:v>5.1446759259259262E-4</c:v>
                </c:pt>
                <c:pt idx="92">
                  <c:v>4.6041666666666659E-4</c:v>
                </c:pt>
                <c:pt idx="93">
                  <c:v>4.5628472222222218E-4</c:v>
                </c:pt>
                <c:pt idx="94">
                  <c:v>4.4374131944444441E-4</c:v>
                </c:pt>
                <c:pt idx="95">
                  <c:v>5.6223958333333332E-4</c:v>
                </c:pt>
                <c:pt idx="96">
                  <c:v>5.5309027777777767E-4</c:v>
                </c:pt>
                <c:pt idx="97">
                  <c:v>5.2475694444444445E-4</c:v>
                </c:pt>
                <c:pt idx="98">
                  <c:v>4.1166666666666663E-4</c:v>
                </c:pt>
                <c:pt idx="99">
                  <c:v>4.0797222222222217E-4</c:v>
                </c:pt>
                <c:pt idx="100">
                  <c:v>3.9675694444444442E-4</c:v>
                </c:pt>
                <c:pt idx="101">
                  <c:v>5.2475694444444445E-4</c:v>
                </c:pt>
                <c:pt idx="102">
                  <c:v>5.1621759259259253E-4</c:v>
                </c:pt>
                <c:pt idx="103">
                  <c:v>4.8977314814814814E-4</c:v>
                </c:pt>
                <c:pt idx="104">
                  <c:v>4.5043055555555553E-4</c:v>
                </c:pt>
                <c:pt idx="105">
                  <c:v>4.5541319444444443E-4</c:v>
                </c:pt>
                <c:pt idx="106">
                  <c:v>4.5982638888888885E-4</c:v>
                </c:pt>
                <c:pt idx="107">
                  <c:v>5.3455092592592595E-4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56-4469-84C5-8D24DBA7559C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JRP!$N$2:$N$109</c:f>
              <c:numCache>
                <c:formatCode>m:ss.00</c:formatCode>
                <c:ptCount val="108"/>
                <c:pt idx="0">
                  <c:v>7.4872685185185188E-4</c:v>
                </c:pt>
                <c:pt idx="1">
                  <c:v>6.310185185185186E-4</c:v>
                </c:pt>
                <c:pt idx="2">
                  <c:v>6.5169270833333333E-4</c:v>
                </c:pt>
                <c:pt idx="3">
                  <c:v>6.5807291666666672E-4</c:v>
                </c:pt>
                <c:pt idx="4">
                  <c:v>6.6406250000000005E-4</c:v>
                </c:pt>
                <c:pt idx="5">
                  <c:v>7.6692708333333333E-4</c:v>
                </c:pt>
                <c:pt idx="6">
                  <c:v>7.7565104166666668E-4</c:v>
                </c:pt>
                <c:pt idx="7">
                  <c:v>7.8372395833333332E-4</c:v>
                </c:pt>
                <c:pt idx="8">
                  <c:v>6.6617476851851842E-4</c:v>
                </c:pt>
                <c:pt idx="9">
                  <c:v>6.7269675925925928E-4</c:v>
                </c:pt>
                <c:pt idx="10">
                  <c:v>6.7881944444444435E-4</c:v>
                </c:pt>
                <c:pt idx="11">
                  <c:v>7.8396990740740738E-4</c:v>
                </c:pt>
                <c:pt idx="12">
                  <c:v>7.9288773148148144E-4</c:v>
                </c:pt>
                <c:pt idx="13">
                  <c:v>8.0114004629629621E-4</c:v>
                </c:pt>
                <c:pt idx="14">
                  <c:v>6.8065682870370372E-4</c:v>
                </c:pt>
                <c:pt idx="15">
                  <c:v>6.8732060185185194E-4</c:v>
                </c:pt>
                <c:pt idx="16">
                  <c:v>6.9357638888888897E-4</c:v>
                </c:pt>
                <c:pt idx="17">
                  <c:v>8.0101273148148154E-4</c:v>
                </c:pt>
                <c:pt idx="18">
                  <c:v>8.1012442129629642E-4</c:v>
                </c:pt>
                <c:pt idx="19">
                  <c:v>8.1855613425925932E-4</c:v>
                </c:pt>
                <c:pt idx="20">
                  <c:v>6.951388888888888E-4</c:v>
                </c:pt>
                <c:pt idx="21">
                  <c:v>7.0194444444444449E-4</c:v>
                </c:pt>
                <c:pt idx="22">
                  <c:v>7.0833333333333328E-4</c:v>
                </c:pt>
                <c:pt idx="23">
                  <c:v>8.1805555555555548E-4</c:v>
                </c:pt>
                <c:pt idx="24">
                  <c:v>8.2736111111111118E-4</c:v>
                </c:pt>
                <c:pt idx="25">
                  <c:v>8.3597222222222222E-4</c:v>
                </c:pt>
                <c:pt idx="26">
                  <c:v>7.096209490740741E-4</c:v>
                </c:pt>
                <c:pt idx="27">
                  <c:v>7.1656828703703715E-4</c:v>
                </c:pt>
                <c:pt idx="28">
                  <c:v>7.2309027777777779E-4</c:v>
                </c:pt>
                <c:pt idx="29">
                  <c:v>8.3509837962962965E-4</c:v>
                </c:pt>
                <c:pt idx="30">
                  <c:v>8.4459780092592605E-4</c:v>
                </c:pt>
                <c:pt idx="31">
                  <c:v>8.5338831018518522E-4</c:v>
                </c:pt>
                <c:pt idx="32">
                  <c:v>7.1251736111111103E-4</c:v>
                </c:pt>
                <c:pt idx="33">
                  <c:v>7.1949305555555558E-4</c:v>
                </c:pt>
                <c:pt idx="34">
                  <c:v>7.2604166666666661E-4</c:v>
                </c:pt>
                <c:pt idx="35">
                  <c:v>8.0442129629629624E-4</c:v>
                </c:pt>
                <c:pt idx="36">
                  <c:v>8.1357175925925933E-4</c:v>
                </c:pt>
                <c:pt idx="37">
                  <c:v>8.2203935185185179E-4</c:v>
                </c:pt>
                <c:pt idx="38">
                  <c:v>7.3858506944444438E-4</c:v>
                </c:pt>
                <c:pt idx="39">
                  <c:v>7.4581597222222226E-4</c:v>
                </c:pt>
                <c:pt idx="40">
                  <c:v>7.5260416666666661E-4</c:v>
                </c:pt>
                <c:pt idx="41">
                  <c:v>8.6918402777777775E-4</c:v>
                </c:pt>
                <c:pt idx="42">
                  <c:v>8.7907118055555557E-4</c:v>
                </c:pt>
                <c:pt idx="43">
                  <c:v>8.8822048611111111E-4</c:v>
                </c:pt>
                <c:pt idx="44">
                  <c:v>7.5306712962962957E-4</c:v>
                </c:pt>
                <c:pt idx="45">
                  <c:v>7.6043981481481492E-4</c:v>
                </c:pt>
                <c:pt idx="46">
                  <c:v>7.6736111111111113E-4</c:v>
                </c:pt>
                <c:pt idx="47">
                  <c:v>8.8622685185185191E-4</c:v>
                </c:pt>
                <c:pt idx="48">
                  <c:v>8.9630787037037044E-4</c:v>
                </c:pt>
                <c:pt idx="49">
                  <c:v>9.0563657407407411E-4</c:v>
                </c:pt>
                <c:pt idx="50">
                  <c:v>6.2893518518518528E-4</c:v>
                </c:pt>
                <c:pt idx="51">
                  <c:v>6.2384259259259272E-4</c:v>
                </c:pt>
                <c:pt idx="52">
                  <c:v>6.079282407407408E-4</c:v>
                </c:pt>
                <c:pt idx="53">
                  <c:v>7.3880787037037046E-4</c:v>
                </c:pt>
                <c:pt idx="54">
                  <c:v>7.3193287037037042E-4</c:v>
                </c:pt>
                <c:pt idx="55">
                  <c:v>7.1067129629629638E-4</c:v>
                </c:pt>
                <c:pt idx="56">
                  <c:v>6.4322916666666673E-4</c:v>
                </c:pt>
                <c:pt idx="57">
                  <c:v>6.3802083333333332E-4</c:v>
                </c:pt>
                <c:pt idx="58">
                  <c:v>6.2174479166666671E-4</c:v>
                </c:pt>
                <c:pt idx="59">
                  <c:v>7.5559895833333338E-4</c:v>
                </c:pt>
                <c:pt idx="60">
                  <c:v>7.4856770833333329E-4</c:v>
                </c:pt>
                <c:pt idx="61">
                  <c:v>7.2682291666666663E-4</c:v>
                </c:pt>
                <c:pt idx="62">
                  <c:v>6.5752314814814807E-4</c:v>
                </c:pt>
                <c:pt idx="63">
                  <c:v>6.5219907407407403E-4</c:v>
                </c:pt>
                <c:pt idx="64">
                  <c:v>6.3556134259259251E-4</c:v>
                </c:pt>
                <c:pt idx="65">
                  <c:v>7.723900462962963E-4</c:v>
                </c:pt>
                <c:pt idx="66">
                  <c:v>7.6520254629629627E-4</c:v>
                </c:pt>
                <c:pt idx="67">
                  <c:v>7.42974537037037E-4</c:v>
                </c:pt>
                <c:pt idx="68">
                  <c:v>6.7181712962962963E-4</c:v>
                </c:pt>
                <c:pt idx="69">
                  <c:v>6.6637731481481485E-4</c:v>
                </c:pt>
                <c:pt idx="70">
                  <c:v>6.4937789351851853E-4</c:v>
                </c:pt>
                <c:pt idx="71">
                  <c:v>7.8918113425925933E-4</c:v>
                </c:pt>
                <c:pt idx="72">
                  <c:v>7.8183738425925925E-4</c:v>
                </c:pt>
                <c:pt idx="73">
                  <c:v>7.5912615740740747E-4</c:v>
                </c:pt>
                <c:pt idx="74">
                  <c:v>6.8611111111111108E-4</c:v>
                </c:pt>
                <c:pt idx="75">
                  <c:v>6.8055555555555556E-4</c:v>
                </c:pt>
                <c:pt idx="76">
                  <c:v>6.6319444444444444E-4</c:v>
                </c:pt>
                <c:pt idx="77">
                  <c:v>8.0597222222222225E-4</c:v>
                </c:pt>
                <c:pt idx="78">
                  <c:v>7.9847222222222223E-4</c:v>
                </c:pt>
                <c:pt idx="79">
                  <c:v>7.7527777777777773E-4</c:v>
                </c:pt>
                <c:pt idx="80">
                  <c:v>7.0040509259259264E-4</c:v>
                </c:pt>
                <c:pt idx="81">
                  <c:v>6.9473379629629638E-4</c:v>
                </c:pt>
                <c:pt idx="82">
                  <c:v>6.7701099537037046E-4</c:v>
                </c:pt>
                <c:pt idx="83">
                  <c:v>8.2276331018518527E-4</c:v>
                </c:pt>
                <c:pt idx="84">
                  <c:v>8.1510706018518521E-4</c:v>
                </c:pt>
                <c:pt idx="85">
                  <c:v>7.914293981481482E-4</c:v>
                </c:pt>
                <c:pt idx="86">
                  <c:v>7.1469907407407409E-4</c:v>
                </c:pt>
                <c:pt idx="87">
                  <c:v>7.0891203703703708E-4</c:v>
                </c:pt>
                <c:pt idx="88">
                  <c:v>6.9082754629629637E-4</c:v>
                </c:pt>
                <c:pt idx="89">
                  <c:v>8.3955439814814819E-4</c:v>
                </c:pt>
                <c:pt idx="90">
                  <c:v>8.3174189814814808E-4</c:v>
                </c:pt>
                <c:pt idx="91">
                  <c:v>8.0758101851851846E-4</c:v>
                </c:pt>
                <c:pt idx="92">
                  <c:v>7.2899305555555554E-4</c:v>
                </c:pt>
                <c:pt idx="93">
                  <c:v>7.2309027777777779E-4</c:v>
                </c:pt>
                <c:pt idx="94">
                  <c:v>7.0464409722222217E-4</c:v>
                </c:pt>
                <c:pt idx="95">
                  <c:v>8.5634548611111111E-4</c:v>
                </c:pt>
                <c:pt idx="96">
                  <c:v>8.4837673611111105E-4</c:v>
                </c:pt>
                <c:pt idx="97">
                  <c:v>8.2373263888888882E-4</c:v>
                </c:pt>
                <c:pt idx="98">
                  <c:v>6.5180555555555554E-4</c:v>
                </c:pt>
                <c:pt idx="99">
                  <c:v>6.4652777777777777E-4</c:v>
                </c:pt>
                <c:pt idx="100">
                  <c:v>6.3003472222222215E-4</c:v>
                </c:pt>
                <c:pt idx="101">
                  <c:v>7.9925578703703712E-4</c:v>
                </c:pt>
                <c:pt idx="102">
                  <c:v>7.9181828703703695E-4</c:v>
                </c:pt>
                <c:pt idx="103">
                  <c:v>7.688171296296296E-4</c:v>
                </c:pt>
                <c:pt idx="104">
                  <c:v>7.1251736111111103E-4</c:v>
                </c:pt>
                <c:pt idx="105">
                  <c:v>7.1949305555555558E-4</c:v>
                </c:pt>
                <c:pt idx="106">
                  <c:v>7.2604166666666661E-4</c:v>
                </c:pt>
                <c:pt idx="107">
                  <c:v>8.0442129629629624E-4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56-4469-84C5-8D24DBA7559C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Ref>
              <c:f>JRP!$O$2:$O$109</c:f>
              <c:numCache>
                <c:formatCode>m:ss.00</c:formatCode>
                <c:ptCount val="108"/>
                <c:pt idx="0">
                  <c:v>9.9224537037037033E-4</c:v>
                </c:pt>
                <c:pt idx="1">
                  <c:v>8.5555555555555558E-4</c:v>
                </c:pt>
                <c:pt idx="2">
                  <c:v>8.8528645833333319E-4</c:v>
                </c:pt>
                <c:pt idx="3">
                  <c:v>8.981770833333334E-4</c:v>
                </c:pt>
                <c:pt idx="4">
                  <c:v>9.1015625000000016E-4</c:v>
                </c:pt>
                <c:pt idx="5">
                  <c:v>1.0372395833333334E-3</c:v>
                </c:pt>
                <c:pt idx="6">
                  <c:v>1.0558593750000002E-3</c:v>
                </c:pt>
                <c:pt idx="7">
                  <c:v>1.073046875E-3</c:v>
                </c:pt>
                <c:pt idx="8">
                  <c:v>9.0495949074074057E-4</c:v>
                </c:pt>
                <c:pt idx="9">
                  <c:v>9.1813657407407404E-4</c:v>
                </c:pt>
                <c:pt idx="10">
                  <c:v>9.3038194444444451E-4</c:v>
                </c:pt>
                <c:pt idx="11">
                  <c:v>1.0602893518518518E-3</c:v>
                </c:pt>
                <c:pt idx="12">
                  <c:v>1.0793229166666666E-3</c:v>
                </c:pt>
                <c:pt idx="13">
                  <c:v>1.096892361111111E-3</c:v>
                </c:pt>
                <c:pt idx="14">
                  <c:v>9.2463252314814806E-4</c:v>
                </c:pt>
                <c:pt idx="15">
                  <c:v>9.3809606481481489E-4</c:v>
                </c:pt>
                <c:pt idx="16">
                  <c:v>9.5060763888888907E-4</c:v>
                </c:pt>
                <c:pt idx="17">
                  <c:v>1.0833391203703704E-3</c:v>
                </c:pt>
                <c:pt idx="18">
                  <c:v>1.1027864583333334E-3</c:v>
                </c:pt>
                <c:pt idx="19">
                  <c:v>1.1207378472222222E-3</c:v>
                </c:pt>
                <c:pt idx="20">
                  <c:v>9.4430555555555544E-4</c:v>
                </c:pt>
                <c:pt idx="21">
                  <c:v>9.5805555555555553E-4</c:v>
                </c:pt>
                <c:pt idx="22">
                  <c:v>9.7083333333333342E-4</c:v>
                </c:pt>
                <c:pt idx="23">
                  <c:v>1.1063888888888887E-3</c:v>
                </c:pt>
                <c:pt idx="24">
                  <c:v>1.1262500000000001E-3</c:v>
                </c:pt>
                <c:pt idx="25">
                  <c:v>1.1445833333333332E-3</c:v>
                </c:pt>
                <c:pt idx="26">
                  <c:v>9.6397858796296292E-4</c:v>
                </c:pt>
                <c:pt idx="27">
                  <c:v>9.7801504629629649E-4</c:v>
                </c:pt>
                <c:pt idx="28">
                  <c:v>9.9105902777777799E-4</c:v>
                </c:pt>
                <c:pt idx="29">
                  <c:v>1.1294386574074073E-3</c:v>
                </c:pt>
                <c:pt idx="30">
                  <c:v>1.1497135416666669E-3</c:v>
                </c:pt>
                <c:pt idx="31">
                  <c:v>1.1684288194444446E-3</c:v>
                </c:pt>
                <c:pt idx="32">
                  <c:v>9.6791319444444431E-4</c:v>
                </c:pt>
                <c:pt idx="33">
                  <c:v>9.8200694444444442E-4</c:v>
                </c:pt>
                <c:pt idx="34">
                  <c:v>9.9510416666666671E-4</c:v>
                </c:pt>
                <c:pt idx="35">
                  <c:v>1.0879490740740739E-3</c:v>
                </c:pt>
                <c:pt idx="36">
                  <c:v>1.1074791666666668E-3</c:v>
                </c:pt>
                <c:pt idx="37">
                  <c:v>1.1255069444444444E-3</c:v>
                </c:pt>
                <c:pt idx="38">
                  <c:v>1.0033246527777777E-3</c:v>
                </c:pt>
                <c:pt idx="39">
                  <c:v>1.0179340277777778E-3</c:v>
                </c:pt>
                <c:pt idx="40">
                  <c:v>1.0315104166666667E-3</c:v>
                </c:pt>
                <c:pt idx="41">
                  <c:v>1.1755381944444443E-3</c:v>
                </c:pt>
                <c:pt idx="42">
                  <c:v>1.196640625E-3</c:v>
                </c:pt>
                <c:pt idx="43">
                  <c:v>1.2161197916666666E-3</c:v>
                </c:pt>
                <c:pt idx="44">
                  <c:v>1.0229976851851852E-3</c:v>
                </c:pt>
                <c:pt idx="45">
                  <c:v>1.0378935185185187E-3</c:v>
                </c:pt>
                <c:pt idx="46">
                  <c:v>1.0517361111111114E-3</c:v>
                </c:pt>
                <c:pt idx="47">
                  <c:v>1.1985879629629629E-3</c:v>
                </c:pt>
                <c:pt idx="48">
                  <c:v>1.2201041666666669E-3</c:v>
                </c:pt>
                <c:pt idx="49">
                  <c:v>1.2399652777777778E-3</c:v>
                </c:pt>
                <c:pt idx="50">
                  <c:v>8.490625000000001E-4</c:v>
                </c:pt>
                <c:pt idx="51">
                  <c:v>8.3900462962962976E-4</c:v>
                </c:pt>
                <c:pt idx="52">
                  <c:v>8.0768518518518526E-4</c:v>
                </c:pt>
                <c:pt idx="53">
                  <c:v>9.9038194444444434E-4</c:v>
                </c:pt>
                <c:pt idx="54">
                  <c:v>9.7599537037037034E-4</c:v>
                </c:pt>
                <c:pt idx="55">
                  <c:v>9.3168981481481499E-4</c:v>
                </c:pt>
                <c:pt idx="56">
                  <c:v>8.6835937499999999E-4</c:v>
                </c:pt>
                <c:pt idx="57">
                  <c:v>8.5807291666666671E-4</c:v>
                </c:pt>
                <c:pt idx="58">
                  <c:v>8.2604166666666666E-4</c:v>
                </c:pt>
                <c:pt idx="59">
                  <c:v>1.0128906249999999E-3</c:v>
                </c:pt>
                <c:pt idx="60">
                  <c:v>9.9817708333333334E-4</c:v>
                </c:pt>
                <c:pt idx="61">
                  <c:v>9.5286458333333345E-4</c:v>
                </c:pt>
                <c:pt idx="62">
                  <c:v>8.8765624999999988E-4</c:v>
                </c:pt>
                <c:pt idx="63">
                  <c:v>8.7714120370370365E-4</c:v>
                </c:pt>
                <c:pt idx="64">
                  <c:v>8.4439814814814805E-4</c:v>
                </c:pt>
                <c:pt idx="65">
                  <c:v>1.0353993055555552E-3</c:v>
                </c:pt>
                <c:pt idx="66">
                  <c:v>1.0203587962962961E-3</c:v>
                </c:pt>
                <c:pt idx="67">
                  <c:v>9.7403935185185191E-4</c:v>
                </c:pt>
                <c:pt idx="68">
                  <c:v>9.0695312499999999E-4</c:v>
                </c:pt>
                <c:pt idx="69">
                  <c:v>8.9620949074074082E-4</c:v>
                </c:pt>
                <c:pt idx="70">
                  <c:v>8.6275462962962966E-4</c:v>
                </c:pt>
                <c:pt idx="71">
                  <c:v>1.057907986111111E-3</c:v>
                </c:pt>
                <c:pt idx="72">
                  <c:v>1.0425405092592593E-3</c:v>
                </c:pt>
                <c:pt idx="73">
                  <c:v>9.9521412037037048E-4</c:v>
                </c:pt>
                <c:pt idx="74">
                  <c:v>9.2624999999999999E-4</c:v>
                </c:pt>
                <c:pt idx="75">
                  <c:v>9.1527777777777777E-4</c:v>
                </c:pt>
                <c:pt idx="76">
                  <c:v>8.8111111111111105E-4</c:v>
                </c:pt>
                <c:pt idx="77">
                  <c:v>1.0804166666666664E-3</c:v>
                </c:pt>
                <c:pt idx="78">
                  <c:v>1.0647222222222221E-3</c:v>
                </c:pt>
                <c:pt idx="79">
                  <c:v>1.0163888888888889E-3</c:v>
                </c:pt>
                <c:pt idx="80">
                  <c:v>9.455468750000001E-4</c:v>
                </c:pt>
                <c:pt idx="81">
                  <c:v>9.3434606481481493E-4</c:v>
                </c:pt>
                <c:pt idx="82">
                  <c:v>8.9946759259259266E-4</c:v>
                </c:pt>
                <c:pt idx="83">
                  <c:v>1.1029253472222222E-3</c:v>
                </c:pt>
                <c:pt idx="84">
                  <c:v>1.0869039351851851E-3</c:v>
                </c:pt>
                <c:pt idx="85">
                  <c:v>1.0375636574074076E-3</c:v>
                </c:pt>
                <c:pt idx="86">
                  <c:v>9.6484374999999999E-4</c:v>
                </c:pt>
                <c:pt idx="87">
                  <c:v>9.5341435185185188E-4</c:v>
                </c:pt>
                <c:pt idx="88">
                  <c:v>9.1782407407407405E-4</c:v>
                </c:pt>
                <c:pt idx="89">
                  <c:v>1.1254340277777777E-3</c:v>
                </c:pt>
                <c:pt idx="90">
                  <c:v>1.1090856481481481E-3</c:v>
                </c:pt>
                <c:pt idx="91">
                  <c:v>1.0587384259259261E-3</c:v>
                </c:pt>
                <c:pt idx="92">
                  <c:v>9.8414062499999999E-4</c:v>
                </c:pt>
                <c:pt idx="93">
                  <c:v>9.7248263888888883E-4</c:v>
                </c:pt>
                <c:pt idx="94">
                  <c:v>9.3618055555555544E-4</c:v>
                </c:pt>
                <c:pt idx="95">
                  <c:v>1.1479427083333331E-3</c:v>
                </c:pt>
                <c:pt idx="96">
                  <c:v>1.1312673611111109E-3</c:v>
                </c:pt>
                <c:pt idx="97">
                  <c:v>1.0799131944444445E-3</c:v>
                </c:pt>
                <c:pt idx="98">
                  <c:v>8.7993749999999997E-4</c:v>
                </c:pt>
                <c:pt idx="99">
                  <c:v>8.6951388888888885E-4</c:v>
                </c:pt>
                <c:pt idx="100">
                  <c:v>8.3705555555555551E-4</c:v>
                </c:pt>
                <c:pt idx="101">
                  <c:v>1.0714131944444443E-3</c:v>
                </c:pt>
                <c:pt idx="102">
                  <c:v>1.055849537037037E-3</c:v>
                </c:pt>
                <c:pt idx="103">
                  <c:v>1.0079189814814816E-3</c:v>
                </c:pt>
                <c:pt idx="104">
                  <c:v>9.6791319444444431E-4</c:v>
                </c:pt>
                <c:pt idx="105">
                  <c:v>9.8200694444444442E-4</c:v>
                </c:pt>
                <c:pt idx="106">
                  <c:v>9.9510416666666671E-4</c:v>
                </c:pt>
                <c:pt idx="107">
                  <c:v>1.0879490740740739E-3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A56-4469-84C5-8D24DBA7559C}"/>
            </c:ext>
          </c:extLst>
        </c:ser>
        <c:ser>
          <c:idx val="3"/>
          <c:order val="3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JRP!$P$2:$P$109</c:f>
              <c:numCache>
                <c:formatCode>m:ss.00</c:formatCode>
                <c:ptCount val="108"/>
                <c:pt idx="0">
                  <c:v>7.8888888888888889E-4</c:v>
                </c:pt>
                <c:pt idx="1">
                  <c:v>7.0196759259259257E-4</c:v>
                </c:pt>
                <c:pt idx="2">
                  <c:v>7.4244791666666665E-4</c:v>
                </c:pt>
                <c:pt idx="3">
                  <c:v>7.5846354166666673E-4</c:v>
                </c:pt>
                <c:pt idx="4">
                  <c:v>7.731770833333334E-4</c:v>
                </c:pt>
                <c:pt idx="5">
                  <c:v>8.5182291666666664E-4</c:v>
                </c:pt>
                <c:pt idx="6">
                  <c:v>8.6432291666666656E-4</c:v>
                </c:pt>
                <c:pt idx="7">
                  <c:v>8.7578125000000004E-4</c:v>
                </c:pt>
                <c:pt idx="8">
                  <c:v>7.5894675925925923E-4</c:v>
                </c:pt>
                <c:pt idx="9">
                  <c:v>7.7531828703703703E-4</c:v>
                </c:pt>
                <c:pt idx="10">
                  <c:v>7.9035879629629627E-4</c:v>
                </c:pt>
                <c:pt idx="11">
                  <c:v>8.7075231481481476E-4</c:v>
                </c:pt>
                <c:pt idx="12">
                  <c:v>8.8353009259259244E-4</c:v>
                </c:pt>
                <c:pt idx="13">
                  <c:v>8.9524305555555559E-4</c:v>
                </c:pt>
                <c:pt idx="14">
                  <c:v>7.7544560185185192E-4</c:v>
                </c:pt>
                <c:pt idx="15">
                  <c:v>7.9217303240740745E-4</c:v>
                </c:pt>
                <c:pt idx="16">
                  <c:v>8.0754050925925937E-4</c:v>
                </c:pt>
                <c:pt idx="17">
                  <c:v>8.89681712962963E-4</c:v>
                </c:pt>
                <c:pt idx="18">
                  <c:v>9.0273726851851843E-4</c:v>
                </c:pt>
                <c:pt idx="19">
                  <c:v>9.1470486111111125E-4</c:v>
                </c:pt>
                <c:pt idx="20">
                  <c:v>7.919444444444444E-4</c:v>
                </c:pt>
                <c:pt idx="21">
                  <c:v>8.0902777777777776E-4</c:v>
                </c:pt>
                <c:pt idx="22">
                  <c:v>8.2472222222222224E-4</c:v>
                </c:pt>
                <c:pt idx="23">
                  <c:v>9.0861111111111101E-4</c:v>
                </c:pt>
                <c:pt idx="24">
                  <c:v>9.2194444444444431E-4</c:v>
                </c:pt>
                <c:pt idx="25">
                  <c:v>9.341666666666667E-4</c:v>
                </c:pt>
                <c:pt idx="26">
                  <c:v>8.0844328703703709E-4</c:v>
                </c:pt>
                <c:pt idx="27">
                  <c:v>8.2588252314814829E-4</c:v>
                </c:pt>
                <c:pt idx="28">
                  <c:v>8.4190393518518533E-4</c:v>
                </c:pt>
                <c:pt idx="29">
                  <c:v>9.2754050925925925E-4</c:v>
                </c:pt>
                <c:pt idx="30">
                  <c:v>9.411516203703703E-4</c:v>
                </c:pt>
                <c:pt idx="31">
                  <c:v>9.5362847222222236E-4</c:v>
                </c:pt>
                <c:pt idx="32">
                  <c:v>8.1174305555555557E-4</c:v>
                </c:pt>
                <c:pt idx="33">
                  <c:v>8.2925347222222222E-4</c:v>
                </c:pt>
                <c:pt idx="34">
                  <c:v>8.4534027777777786E-4</c:v>
                </c:pt>
                <c:pt idx="35">
                  <c:v>8.9346759259259251E-4</c:v>
                </c:pt>
                <c:pt idx="36">
                  <c:v>9.065787037037035E-4</c:v>
                </c:pt>
                <c:pt idx="37">
                  <c:v>9.1859722222222223E-4</c:v>
                </c:pt>
                <c:pt idx="38">
                  <c:v>8.4144097222222216E-4</c:v>
                </c:pt>
                <c:pt idx="39">
                  <c:v>8.5959201388888891E-4</c:v>
                </c:pt>
                <c:pt idx="40">
                  <c:v>8.7626736111111119E-4</c:v>
                </c:pt>
                <c:pt idx="41">
                  <c:v>9.653993055555555E-4</c:v>
                </c:pt>
                <c:pt idx="42">
                  <c:v>9.7956597222222195E-4</c:v>
                </c:pt>
                <c:pt idx="43">
                  <c:v>9.9255208333333335E-4</c:v>
                </c:pt>
                <c:pt idx="44">
                  <c:v>8.5793981481481485E-4</c:v>
                </c:pt>
                <c:pt idx="45">
                  <c:v>8.7644675925925932E-4</c:v>
                </c:pt>
                <c:pt idx="46">
                  <c:v>8.9344907407407418E-4</c:v>
                </c:pt>
                <c:pt idx="47">
                  <c:v>9.8432870370370362E-4</c:v>
                </c:pt>
                <c:pt idx="48">
                  <c:v>9.9877314814814815E-4</c:v>
                </c:pt>
                <c:pt idx="49">
                  <c:v>1.0120138888888889E-3</c:v>
                </c:pt>
                <c:pt idx="50">
                  <c:v>7.0545138888888882E-4</c:v>
                </c:pt>
                <c:pt idx="51">
                  <c:v>6.9322916666666675E-4</c:v>
                </c:pt>
                <c:pt idx="52">
                  <c:v>6.5554398148148145E-4</c:v>
                </c:pt>
                <c:pt idx="53">
                  <c:v>8.1685185185185192E-4</c:v>
                </c:pt>
                <c:pt idx="54">
                  <c:v>8.0704861111111114E-4</c:v>
                </c:pt>
                <c:pt idx="55">
                  <c:v>7.7687500000000011E-4</c:v>
                </c:pt>
                <c:pt idx="56">
                  <c:v>7.214843749999999E-4</c:v>
                </c:pt>
                <c:pt idx="57">
                  <c:v>7.0898437499999998E-4</c:v>
                </c:pt>
                <c:pt idx="58">
                  <c:v>6.7044270833333333E-4</c:v>
                </c:pt>
                <c:pt idx="59">
                  <c:v>8.354166666666666E-4</c:v>
                </c:pt>
                <c:pt idx="60">
                  <c:v>8.2539062499999995E-4</c:v>
                </c:pt>
                <c:pt idx="61">
                  <c:v>7.945312500000001E-4</c:v>
                </c:pt>
                <c:pt idx="62">
                  <c:v>7.3751736111111099E-4</c:v>
                </c:pt>
                <c:pt idx="63">
                  <c:v>7.247395833333332E-4</c:v>
                </c:pt>
                <c:pt idx="64">
                  <c:v>6.853414351851851E-4</c:v>
                </c:pt>
                <c:pt idx="65">
                  <c:v>8.5398148148148139E-4</c:v>
                </c:pt>
                <c:pt idx="66">
                  <c:v>8.4373263888888887E-4</c:v>
                </c:pt>
                <c:pt idx="67">
                  <c:v>8.1218749999999998E-4</c:v>
                </c:pt>
                <c:pt idx="68">
                  <c:v>7.5355034722222219E-4</c:v>
                </c:pt>
                <c:pt idx="69">
                  <c:v>7.4049479166666664E-4</c:v>
                </c:pt>
                <c:pt idx="70">
                  <c:v>7.0024016203703698E-4</c:v>
                </c:pt>
                <c:pt idx="71">
                  <c:v>8.7254629629629629E-4</c:v>
                </c:pt>
                <c:pt idx="72">
                  <c:v>8.620746527777778E-4</c:v>
                </c:pt>
                <c:pt idx="73">
                  <c:v>8.2984375000000007E-4</c:v>
                </c:pt>
                <c:pt idx="74">
                  <c:v>7.6958333333333317E-4</c:v>
                </c:pt>
                <c:pt idx="75">
                  <c:v>7.5624999999999998E-4</c:v>
                </c:pt>
                <c:pt idx="76">
                  <c:v>7.1513888888888886E-4</c:v>
                </c:pt>
                <c:pt idx="77">
                  <c:v>8.9111111111111097E-4</c:v>
                </c:pt>
                <c:pt idx="78">
                  <c:v>8.8041666666666661E-4</c:v>
                </c:pt>
                <c:pt idx="79">
                  <c:v>8.4750000000000005E-4</c:v>
                </c:pt>
                <c:pt idx="80">
                  <c:v>7.8561631944444436E-4</c:v>
                </c:pt>
                <c:pt idx="81">
                  <c:v>7.7200520833333342E-4</c:v>
                </c:pt>
                <c:pt idx="82">
                  <c:v>7.3003761574074073E-4</c:v>
                </c:pt>
                <c:pt idx="83">
                  <c:v>9.0967592592592597E-4</c:v>
                </c:pt>
                <c:pt idx="84">
                  <c:v>8.9875868055555564E-4</c:v>
                </c:pt>
                <c:pt idx="85">
                  <c:v>8.6515625000000015E-4</c:v>
                </c:pt>
                <c:pt idx="86">
                  <c:v>8.0164930555555545E-4</c:v>
                </c:pt>
                <c:pt idx="87">
                  <c:v>7.8776041666666664E-4</c:v>
                </c:pt>
                <c:pt idx="88">
                  <c:v>7.4493634259259261E-4</c:v>
                </c:pt>
                <c:pt idx="89">
                  <c:v>9.2824074074074065E-4</c:v>
                </c:pt>
                <c:pt idx="90">
                  <c:v>9.1710069444444445E-4</c:v>
                </c:pt>
                <c:pt idx="91">
                  <c:v>8.8281250000000013E-4</c:v>
                </c:pt>
                <c:pt idx="92">
                  <c:v>8.1768229166666654E-4</c:v>
                </c:pt>
                <c:pt idx="93">
                  <c:v>8.0351562499999987E-4</c:v>
                </c:pt>
                <c:pt idx="94">
                  <c:v>7.5983506944444438E-4</c:v>
                </c:pt>
                <c:pt idx="95">
                  <c:v>9.4680555555555544E-4</c:v>
                </c:pt>
                <c:pt idx="96">
                  <c:v>9.3544270833333327E-4</c:v>
                </c:pt>
                <c:pt idx="97">
                  <c:v>9.0046875000000001E-4</c:v>
                </c:pt>
                <c:pt idx="98">
                  <c:v>7.3110416666666647E-4</c:v>
                </c:pt>
                <c:pt idx="99">
                  <c:v>7.1843749999999989E-4</c:v>
                </c:pt>
                <c:pt idx="100">
                  <c:v>6.7938194444444437E-4</c:v>
                </c:pt>
                <c:pt idx="101">
                  <c:v>8.8368518518518505E-4</c:v>
                </c:pt>
                <c:pt idx="102">
                  <c:v>8.7307986111111104E-4</c:v>
                </c:pt>
                <c:pt idx="103">
                  <c:v>8.4043750000000004E-4</c:v>
                </c:pt>
                <c:pt idx="104">
                  <c:v>8.1174305555555557E-4</c:v>
                </c:pt>
                <c:pt idx="105">
                  <c:v>8.2925347222222222E-4</c:v>
                </c:pt>
                <c:pt idx="106">
                  <c:v>8.4534027777777786E-4</c:v>
                </c:pt>
                <c:pt idx="107">
                  <c:v>8.9346759259259251E-4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56-4469-84C5-8D24DBA7559C}"/>
            </c:ext>
          </c:extLst>
        </c:ser>
        <c:ser>
          <c:idx val="4"/>
          <c:order val="4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yVal>
            <c:numRef>
              <c:f>JRP!$Q$2:$Q$109</c:f>
              <c:numCache>
                <c:formatCode>m:ss.00</c:formatCode>
                <c:ptCount val="108"/>
                <c:pt idx="0">
                  <c:v>1.9605324074074074E-3</c:v>
                </c:pt>
                <c:pt idx="1">
                  <c:v>1.7359953703703704E-3</c:v>
                </c:pt>
                <c:pt idx="2">
                  <c:v>1.8355468749999999E-3</c:v>
                </c:pt>
                <c:pt idx="3">
                  <c:v>1.8572916666666664E-3</c:v>
                </c:pt>
                <c:pt idx="4">
                  <c:v>1.8774739583333334E-3</c:v>
                </c:pt>
                <c:pt idx="5">
                  <c:v>2.0078124999999996E-3</c:v>
                </c:pt>
                <c:pt idx="6">
                  <c:v>2.0226562500000001E-3</c:v>
                </c:pt>
                <c:pt idx="7">
                  <c:v>2.0364583333333333E-3</c:v>
                </c:pt>
                <c:pt idx="8">
                  <c:v>1.8763368055555554E-3</c:v>
                </c:pt>
                <c:pt idx="9">
                  <c:v>1.8985648148148143E-3</c:v>
                </c:pt>
                <c:pt idx="10">
                  <c:v>1.9191956018518516E-3</c:v>
                </c:pt>
                <c:pt idx="11">
                  <c:v>2.0524305555555552E-3</c:v>
                </c:pt>
                <c:pt idx="12">
                  <c:v>2.0676041666666664E-3</c:v>
                </c:pt>
                <c:pt idx="13">
                  <c:v>2.0817129629629627E-3</c:v>
                </c:pt>
                <c:pt idx="14">
                  <c:v>1.9171267361111112E-3</c:v>
                </c:pt>
                <c:pt idx="15">
                  <c:v>1.9398379629629629E-3</c:v>
                </c:pt>
                <c:pt idx="16">
                  <c:v>1.9609172453703702E-3</c:v>
                </c:pt>
                <c:pt idx="17">
                  <c:v>2.0970486111111112E-3</c:v>
                </c:pt>
                <c:pt idx="18">
                  <c:v>2.1125520833333335E-3</c:v>
                </c:pt>
                <c:pt idx="19">
                  <c:v>2.1269675925925926E-3</c:v>
                </c:pt>
                <c:pt idx="20">
                  <c:v>1.9579166666666664E-3</c:v>
                </c:pt>
                <c:pt idx="21">
                  <c:v>1.9811111111111106E-3</c:v>
                </c:pt>
                <c:pt idx="22">
                  <c:v>2.0026388888888889E-3</c:v>
                </c:pt>
                <c:pt idx="23">
                  <c:v>2.1416666666666663E-3</c:v>
                </c:pt>
                <c:pt idx="24">
                  <c:v>2.1574999999999997E-3</c:v>
                </c:pt>
                <c:pt idx="25">
                  <c:v>2.1722222222222221E-3</c:v>
                </c:pt>
                <c:pt idx="26">
                  <c:v>1.9987065972222225E-3</c:v>
                </c:pt>
                <c:pt idx="27">
                  <c:v>2.0223842592592589E-3</c:v>
                </c:pt>
                <c:pt idx="28">
                  <c:v>2.0443605324074075E-3</c:v>
                </c:pt>
                <c:pt idx="29">
                  <c:v>2.1862847222222223E-3</c:v>
                </c:pt>
                <c:pt idx="30">
                  <c:v>2.2024479166666668E-3</c:v>
                </c:pt>
                <c:pt idx="31">
                  <c:v>2.217476851851852E-3</c:v>
                </c:pt>
                <c:pt idx="32">
                  <c:v>2.0068645833333332E-3</c:v>
                </c:pt>
                <c:pt idx="33">
                  <c:v>2.0306388888888887E-3</c:v>
                </c:pt>
                <c:pt idx="34">
                  <c:v>2.052704861111111E-3</c:v>
                </c:pt>
                <c:pt idx="35">
                  <c:v>2.1059722222222218E-3</c:v>
                </c:pt>
                <c:pt idx="36">
                  <c:v>2.1215416666666665E-3</c:v>
                </c:pt>
                <c:pt idx="37">
                  <c:v>2.1360185185185184E-3</c:v>
                </c:pt>
                <c:pt idx="38">
                  <c:v>2.0802864583333333E-3</c:v>
                </c:pt>
                <c:pt idx="39">
                  <c:v>2.1049305555555552E-3</c:v>
                </c:pt>
                <c:pt idx="40">
                  <c:v>2.1278038194444443E-3</c:v>
                </c:pt>
                <c:pt idx="41">
                  <c:v>2.275520833333333E-3</c:v>
                </c:pt>
                <c:pt idx="42">
                  <c:v>2.2923437499999997E-3</c:v>
                </c:pt>
                <c:pt idx="43">
                  <c:v>2.3079861111111109E-3</c:v>
                </c:pt>
                <c:pt idx="44">
                  <c:v>2.1210763888888889E-3</c:v>
                </c:pt>
                <c:pt idx="45">
                  <c:v>2.1462037037037036E-3</c:v>
                </c:pt>
                <c:pt idx="46">
                  <c:v>2.1695254629629629E-3</c:v>
                </c:pt>
                <c:pt idx="47">
                  <c:v>2.3201388888888889E-3</c:v>
                </c:pt>
                <c:pt idx="48">
                  <c:v>2.3372916666666668E-3</c:v>
                </c:pt>
                <c:pt idx="49">
                  <c:v>2.3532407407407408E-3</c:v>
                </c:pt>
                <c:pt idx="50">
                  <c:v>1.7668750000000002E-3</c:v>
                </c:pt>
                <c:pt idx="51">
                  <c:v>1.7496875000000002E-3</c:v>
                </c:pt>
                <c:pt idx="52">
                  <c:v>1.6964699074074076E-3</c:v>
                </c:pt>
                <c:pt idx="53">
                  <c:v>1.9440972222222223E-3</c:v>
                </c:pt>
                <c:pt idx="54">
                  <c:v>1.9321296296296298E-3</c:v>
                </c:pt>
                <c:pt idx="55">
                  <c:v>1.8950810185185186E-3</c:v>
                </c:pt>
                <c:pt idx="56">
                  <c:v>1.80703125E-3</c:v>
                </c:pt>
                <c:pt idx="57">
                  <c:v>1.789453125E-3</c:v>
                </c:pt>
                <c:pt idx="58">
                  <c:v>1.7350260416666668E-3</c:v>
                </c:pt>
                <c:pt idx="59">
                  <c:v>1.98828125E-3</c:v>
                </c:pt>
                <c:pt idx="60">
                  <c:v>1.9760416666666667E-3</c:v>
                </c:pt>
                <c:pt idx="61">
                  <c:v>1.9381510416666666E-3</c:v>
                </c:pt>
                <c:pt idx="62">
                  <c:v>1.8471874999999999E-3</c:v>
                </c:pt>
                <c:pt idx="63">
                  <c:v>1.8292187499999999E-3</c:v>
                </c:pt>
                <c:pt idx="64">
                  <c:v>1.7735821759259258E-3</c:v>
                </c:pt>
                <c:pt idx="65">
                  <c:v>2.0324652777777776E-3</c:v>
                </c:pt>
                <c:pt idx="66">
                  <c:v>2.0199537037037035E-3</c:v>
                </c:pt>
                <c:pt idx="67">
                  <c:v>1.9812210648148146E-3</c:v>
                </c:pt>
                <c:pt idx="68">
                  <c:v>1.8873437500000001E-3</c:v>
                </c:pt>
                <c:pt idx="69">
                  <c:v>1.8689843750000002E-3</c:v>
                </c:pt>
                <c:pt idx="70">
                  <c:v>1.8121383101851853E-3</c:v>
                </c:pt>
                <c:pt idx="71">
                  <c:v>2.0766493055555555E-3</c:v>
                </c:pt>
                <c:pt idx="72">
                  <c:v>2.0638657407407407E-3</c:v>
                </c:pt>
                <c:pt idx="73">
                  <c:v>2.024291087962963E-3</c:v>
                </c:pt>
                <c:pt idx="74">
                  <c:v>1.9275E-3</c:v>
                </c:pt>
                <c:pt idx="75">
                  <c:v>1.9087499999999999E-3</c:v>
                </c:pt>
                <c:pt idx="76">
                  <c:v>1.8506944444444445E-3</c:v>
                </c:pt>
                <c:pt idx="77">
                  <c:v>2.1208333333333331E-3</c:v>
                </c:pt>
                <c:pt idx="78">
                  <c:v>2.1077777777777779E-3</c:v>
                </c:pt>
                <c:pt idx="79">
                  <c:v>2.067361111111111E-3</c:v>
                </c:pt>
                <c:pt idx="80">
                  <c:v>1.9676562500000002E-3</c:v>
                </c:pt>
                <c:pt idx="81">
                  <c:v>1.9485156250000002E-3</c:v>
                </c:pt>
                <c:pt idx="82">
                  <c:v>1.889250578703704E-3</c:v>
                </c:pt>
                <c:pt idx="83">
                  <c:v>2.165017361111111E-3</c:v>
                </c:pt>
                <c:pt idx="84">
                  <c:v>2.151689814814815E-3</c:v>
                </c:pt>
                <c:pt idx="85">
                  <c:v>2.1104311342592594E-3</c:v>
                </c:pt>
                <c:pt idx="86">
                  <c:v>2.0078125E-3</c:v>
                </c:pt>
                <c:pt idx="87">
                  <c:v>1.98828125E-3</c:v>
                </c:pt>
                <c:pt idx="88">
                  <c:v>1.9278067129629632E-3</c:v>
                </c:pt>
                <c:pt idx="89">
                  <c:v>2.209201388888889E-3</c:v>
                </c:pt>
                <c:pt idx="90">
                  <c:v>2.1956018518518518E-3</c:v>
                </c:pt>
                <c:pt idx="91">
                  <c:v>2.1535011574074074E-3</c:v>
                </c:pt>
                <c:pt idx="92">
                  <c:v>2.0479687499999999E-3</c:v>
                </c:pt>
                <c:pt idx="93">
                  <c:v>2.0280468749999999E-3</c:v>
                </c:pt>
                <c:pt idx="94">
                  <c:v>1.9663628472222222E-3</c:v>
                </c:pt>
                <c:pt idx="95">
                  <c:v>2.2533854166666666E-3</c:v>
                </c:pt>
                <c:pt idx="96">
                  <c:v>2.2395138888888885E-3</c:v>
                </c:pt>
                <c:pt idx="97">
                  <c:v>2.1965711805555553E-3</c:v>
                </c:pt>
                <c:pt idx="98">
                  <c:v>1.8311249999999999E-3</c:v>
                </c:pt>
                <c:pt idx="99">
                  <c:v>1.8133124999999998E-3</c:v>
                </c:pt>
                <c:pt idx="100">
                  <c:v>1.7581597222222222E-3</c:v>
                </c:pt>
                <c:pt idx="101">
                  <c:v>2.103159722222222E-3</c:v>
                </c:pt>
                <c:pt idx="102">
                  <c:v>2.090212962962963E-3</c:v>
                </c:pt>
                <c:pt idx="103">
                  <c:v>2.0501331018518516E-3</c:v>
                </c:pt>
                <c:pt idx="104">
                  <c:v>2.0068645833333332E-3</c:v>
                </c:pt>
                <c:pt idx="105">
                  <c:v>2.0306388888888887E-3</c:v>
                </c:pt>
                <c:pt idx="106">
                  <c:v>2.052704861111111E-3</c:v>
                </c:pt>
                <c:pt idx="107">
                  <c:v>2.1059722222222218E-3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A56-4469-84C5-8D24DBA7559C}"/>
            </c:ext>
          </c:extLst>
        </c:ser>
        <c:ser>
          <c:idx val="5"/>
          <c:order val="5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yVal>
            <c:numRef>
              <c:f>JRP!$R$2:$R$109</c:f>
              <c:numCache>
                <c:formatCode>m:ss.00</c:formatCode>
                <c:ptCount val="108"/>
                <c:pt idx="0">
                  <c:v>1.7837962962962963E-3</c:v>
                </c:pt>
                <c:pt idx="1">
                  <c:v>1.6295138888888889E-3</c:v>
                </c:pt>
                <c:pt idx="2">
                  <c:v>1.6794270833333331E-3</c:v>
                </c:pt>
                <c:pt idx="3">
                  <c:v>1.69921875E-3</c:v>
                </c:pt>
                <c:pt idx="4">
                  <c:v>1.7174479166666668E-3</c:v>
                </c:pt>
                <c:pt idx="5">
                  <c:v>1.8236979166666666E-3</c:v>
                </c:pt>
                <c:pt idx="6">
                  <c:v>1.8305989583333334E-3</c:v>
                </c:pt>
                <c:pt idx="7">
                  <c:v>1.8369791666666664E-3</c:v>
                </c:pt>
                <c:pt idx="8">
                  <c:v>1.7167476851851849E-3</c:v>
                </c:pt>
                <c:pt idx="9">
                  <c:v>1.7369791666666664E-3</c:v>
                </c:pt>
                <c:pt idx="10">
                  <c:v>1.7556134259259259E-3</c:v>
                </c:pt>
                <c:pt idx="11">
                  <c:v>1.8642245370370368E-3</c:v>
                </c:pt>
                <c:pt idx="12">
                  <c:v>1.871278935185185E-3</c:v>
                </c:pt>
                <c:pt idx="13">
                  <c:v>1.8778009259259256E-3</c:v>
                </c:pt>
                <c:pt idx="14">
                  <c:v>1.7540682870370368E-3</c:v>
                </c:pt>
                <c:pt idx="15">
                  <c:v>1.7747395833333335E-3</c:v>
                </c:pt>
                <c:pt idx="16">
                  <c:v>1.7937789351851854E-3</c:v>
                </c:pt>
                <c:pt idx="17">
                  <c:v>1.9047511574074075E-3</c:v>
                </c:pt>
                <c:pt idx="18">
                  <c:v>1.9119589120370371E-3</c:v>
                </c:pt>
                <c:pt idx="19">
                  <c:v>1.9186226851851851E-3</c:v>
                </c:pt>
                <c:pt idx="20">
                  <c:v>1.7913888888888886E-3</c:v>
                </c:pt>
                <c:pt idx="21">
                  <c:v>1.8124999999999999E-3</c:v>
                </c:pt>
                <c:pt idx="22">
                  <c:v>1.8319444444444444E-3</c:v>
                </c:pt>
                <c:pt idx="23">
                  <c:v>1.9452777777777775E-3</c:v>
                </c:pt>
                <c:pt idx="24">
                  <c:v>1.9526388888888887E-3</c:v>
                </c:pt>
                <c:pt idx="25">
                  <c:v>1.9594444444444442E-3</c:v>
                </c:pt>
                <c:pt idx="26">
                  <c:v>1.8287094907407408E-3</c:v>
                </c:pt>
                <c:pt idx="27">
                  <c:v>1.8502604166666667E-3</c:v>
                </c:pt>
                <c:pt idx="28">
                  <c:v>1.8701099537037039E-3</c:v>
                </c:pt>
                <c:pt idx="29">
                  <c:v>1.9858043981481484E-3</c:v>
                </c:pt>
                <c:pt idx="30">
                  <c:v>1.9933188657407408E-3</c:v>
                </c:pt>
                <c:pt idx="31">
                  <c:v>2.0002662037037038E-3</c:v>
                </c:pt>
                <c:pt idx="32">
                  <c:v>1.8361736111111109E-3</c:v>
                </c:pt>
                <c:pt idx="33">
                  <c:v>1.8578124999999999E-3</c:v>
                </c:pt>
                <c:pt idx="34">
                  <c:v>1.8777430555555557E-3</c:v>
                </c:pt>
                <c:pt idx="35">
                  <c:v>1.9128564814814813E-3</c:v>
                </c:pt>
                <c:pt idx="36">
                  <c:v>1.9200949074074073E-3</c:v>
                </c:pt>
                <c:pt idx="37">
                  <c:v>1.9267870370370367E-3</c:v>
                </c:pt>
                <c:pt idx="38">
                  <c:v>1.9033506944444441E-3</c:v>
                </c:pt>
                <c:pt idx="39">
                  <c:v>1.9257812499999998E-3</c:v>
                </c:pt>
                <c:pt idx="40">
                  <c:v>1.9464409722222222E-3</c:v>
                </c:pt>
                <c:pt idx="41">
                  <c:v>2.0668576388888885E-3</c:v>
                </c:pt>
                <c:pt idx="42">
                  <c:v>2.0746788194444445E-3</c:v>
                </c:pt>
                <c:pt idx="43">
                  <c:v>2.081909722222222E-3</c:v>
                </c:pt>
                <c:pt idx="44">
                  <c:v>1.9406712962962962E-3</c:v>
                </c:pt>
                <c:pt idx="45">
                  <c:v>1.9635416666666668E-3</c:v>
                </c:pt>
                <c:pt idx="46">
                  <c:v>1.9846064814814817E-3</c:v>
                </c:pt>
                <c:pt idx="47">
                  <c:v>2.1073842592592594E-3</c:v>
                </c:pt>
                <c:pt idx="48">
                  <c:v>2.1153587962962966E-3</c:v>
                </c:pt>
                <c:pt idx="49">
                  <c:v>2.1227314814814815E-3</c:v>
                </c:pt>
                <c:pt idx="50">
                  <c:v>1.6167708333333333E-3</c:v>
                </c:pt>
                <c:pt idx="51">
                  <c:v>1.6011111111111113E-3</c:v>
                </c:pt>
                <c:pt idx="52">
                  <c:v>1.5527314814814815E-3</c:v>
                </c:pt>
                <c:pt idx="53">
                  <c:v>1.7742592592592597E-3</c:v>
                </c:pt>
                <c:pt idx="54">
                  <c:v>1.7686574074074078E-3</c:v>
                </c:pt>
                <c:pt idx="55">
                  <c:v>1.751087962962963E-3</c:v>
                </c:pt>
                <c:pt idx="56">
                  <c:v>1.6535156249999998E-3</c:v>
                </c:pt>
                <c:pt idx="57">
                  <c:v>1.6375000000000001E-3</c:v>
                </c:pt>
                <c:pt idx="58">
                  <c:v>1.5880208333333332E-3</c:v>
                </c:pt>
                <c:pt idx="59">
                  <c:v>1.8145833333333336E-3</c:v>
                </c:pt>
                <c:pt idx="60">
                  <c:v>1.8088541666666669E-3</c:v>
                </c:pt>
                <c:pt idx="61">
                  <c:v>1.7908854166666665E-3</c:v>
                </c:pt>
                <c:pt idx="62">
                  <c:v>1.6902604166666663E-3</c:v>
                </c:pt>
                <c:pt idx="63">
                  <c:v>1.6738888888888888E-3</c:v>
                </c:pt>
                <c:pt idx="64">
                  <c:v>1.6233101851851849E-3</c:v>
                </c:pt>
                <c:pt idx="65">
                  <c:v>1.8549074074074075E-3</c:v>
                </c:pt>
                <c:pt idx="66">
                  <c:v>1.8490509259259261E-3</c:v>
                </c:pt>
                <c:pt idx="67">
                  <c:v>1.8306828703703701E-3</c:v>
                </c:pt>
                <c:pt idx="68">
                  <c:v>1.7270052083333332E-3</c:v>
                </c:pt>
                <c:pt idx="69">
                  <c:v>1.710277777777778E-3</c:v>
                </c:pt>
                <c:pt idx="70">
                  <c:v>1.658599537037037E-3</c:v>
                </c:pt>
                <c:pt idx="71">
                  <c:v>1.8952314814814819E-3</c:v>
                </c:pt>
                <c:pt idx="72">
                  <c:v>1.8892476851851856E-3</c:v>
                </c:pt>
                <c:pt idx="73">
                  <c:v>1.8704803240740741E-3</c:v>
                </c:pt>
                <c:pt idx="74">
                  <c:v>1.7637499999999997E-3</c:v>
                </c:pt>
                <c:pt idx="75">
                  <c:v>1.7466666666666668E-3</c:v>
                </c:pt>
                <c:pt idx="76">
                  <c:v>1.6938888888888887E-3</c:v>
                </c:pt>
                <c:pt idx="77">
                  <c:v>1.9355555555555558E-3</c:v>
                </c:pt>
                <c:pt idx="78">
                  <c:v>1.9294444444444446E-3</c:v>
                </c:pt>
                <c:pt idx="79">
                  <c:v>1.9102777777777777E-3</c:v>
                </c:pt>
                <c:pt idx="80">
                  <c:v>1.8004947916666666E-3</c:v>
                </c:pt>
                <c:pt idx="81">
                  <c:v>1.7830555555555557E-3</c:v>
                </c:pt>
                <c:pt idx="82">
                  <c:v>1.7291782407407408E-3</c:v>
                </c:pt>
                <c:pt idx="83">
                  <c:v>1.9758796296296299E-3</c:v>
                </c:pt>
                <c:pt idx="84">
                  <c:v>1.9696412037037044E-3</c:v>
                </c:pt>
                <c:pt idx="85">
                  <c:v>1.9500752314814815E-3</c:v>
                </c:pt>
                <c:pt idx="86">
                  <c:v>1.8372395833333331E-3</c:v>
                </c:pt>
                <c:pt idx="87">
                  <c:v>1.8194444444444445E-3</c:v>
                </c:pt>
                <c:pt idx="88">
                  <c:v>1.7644675925925924E-3</c:v>
                </c:pt>
                <c:pt idx="89">
                  <c:v>2.0162037037037041E-3</c:v>
                </c:pt>
                <c:pt idx="90">
                  <c:v>2.0098379629629633E-3</c:v>
                </c:pt>
                <c:pt idx="91">
                  <c:v>1.9898726851851852E-3</c:v>
                </c:pt>
                <c:pt idx="92">
                  <c:v>1.8739843749999998E-3</c:v>
                </c:pt>
                <c:pt idx="93">
                  <c:v>1.8558333333333332E-3</c:v>
                </c:pt>
                <c:pt idx="94">
                  <c:v>1.7997569444444441E-3</c:v>
                </c:pt>
                <c:pt idx="95">
                  <c:v>2.0565277777777778E-3</c:v>
                </c:pt>
                <c:pt idx="96">
                  <c:v>2.0500347222222222E-3</c:v>
                </c:pt>
                <c:pt idx="97">
                  <c:v>2.0296701388888886E-3</c:v>
                </c:pt>
                <c:pt idx="98">
                  <c:v>1.6755624999999998E-3</c:v>
                </c:pt>
                <c:pt idx="99">
                  <c:v>1.6593333333333332E-3</c:v>
                </c:pt>
                <c:pt idx="100">
                  <c:v>1.6091944444444441E-3</c:v>
                </c:pt>
                <c:pt idx="101">
                  <c:v>1.9194259259259262E-3</c:v>
                </c:pt>
                <c:pt idx="102">
                  <c:v>1.9133657407407409E-3</c:v>
                </c:pt>
                <c:pt idx="103">
                  <c:v>1.8943587962962961E-3</c:v>
                </c:pt>
                <c:pt idx="104">
                  <c:v>1.8361736111111109E-3</c:v>
                </c:pt>
                <c:pt idx="105">
                  <c:v>1.8578124999999999E-3</c:v>
                </c:pt>
                <c:pt idx="106">
                  <c:v>1.8777430555555557E-3</c:v>
                </c:pt>
                <c:pt idx="107">
                  <c:v>1.9128564814814813E-3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56-4469-84C5-8D24DBA7559C}"/>
            </c:ext>
          </c:extLst>
        </c:ser>
        <c:ser>
          <c:idx val="6"/>
          <c:order val="6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yVal>
            <c:numRef>
              <c:f>JRP!$S$2:$S$109</c:f>
              <c:numCache>
                <c:formatCode>m:ss.00</c:formatCode>
                <c:ptCount val="108"/>
                <c:pt idx="0">
                  <c:v>4.803240740740741E-4</c:v>
                </c:pt>
                <c:pt idx="1">
                  <c:v>4.1747685185185187E-4</c:v>
                </c:pt>
                <c:pt idx="2">
                  <c:v>4.1197916666666667E-4</c:v>
                </c:pt>
                <c:pt idx="3">
                  <c:v>4.1653645833333332E-4</c:v>
                </c:pt>
                <c:pt idx="4">
                  <c:v>4.2057291666666664E-4</c:v>
                </c:pt>
                <c:pt idx="5">
                  <c:v>5.096354166666667E-4</c:v>
                </c:pt>
                <c:pt idx="6">
                  <c:v>5.1992187499999998E-4</c:v>
                </c:pt>
                <c:pt idx="7">
                  <c:v>5.2968749999999999E-4</c:v>
                </c:pt>
                <c:pt idx="8">
                  <c:v>4.2113425925925923E-4</c:v>
                </c:pt>
                <c:pt idx="9">
                  <c:v>4.2579282407407404E-4</c:v>
                </c:pt>
                <c:pt idx="10">
                  <c:v>4.2991898148148143E-4</c:v>
                </c:pt>
                <c:pt idx="11">
                  <c:v>5.2096064814814811E-4</c:v>
                </c:pt>
                <c:pt idx="12">
                  <c:v>5.3147569444444444E-4</c:v>
                </c:pt>
                <c:pt idx="13">
                  <c:v>5.4145833333333324E-4</c:v>
                </c:pt>
                <c:pt idx="14">
                  <c:v>4.3028935185185189E-4</c:v>
                </c:pt>
                <c:pt idx="15">
                  <c:v>4.3504918981481481E-4</c:v>
                </c:pt>
                <c:pt idx="16">
                  <c:v>4.3926504629629627E-4</c:v>
                </c:pt>
                <c:pt idx="17">
                  <c:v>5.3228587962962962E-4</c:v>
                </c:pt>
                <c:pt idx="18">
                  <c:v>5.430295138888889E-4</c:v>
                </c:pt>
                <c:pt idx="19">
                  <c:v>5.532291666666666E-4</c:v>
                </c:pt>
                <c:pt idx="20">
                  <c:v>4.3944444444444445E-4</c:v>
                </c:pt>
                <c:pt idx="21">
                  <c:v>4.4430555555555553E-4</c:v>
                </c:pt>
                <c:pt idx="22">
                  <c:v>4.4861111111111105E-4</c:v>
                </c:pt>
                <c:pt idx="23">
                  <c:v>5.4361111111111114E-4</c:v>
                </c:pt>
                <c:pt idx="24">
                  <c:v>5.5458333333333336E-4</c:v>
                </c:pt>
                <c:pt idx="25">
                  <c:v>5.6499999999999996E-4</c:v>
                </c:pt>
                <c:pt idx="26">
                  <c:v>4.4859953703703707E-4</c:v>
                </c:pt>
                <c:pt idx="27">
                  <c:v>4.5356192129629631E-4</c:v>
                </c:pt>
                <c:pt idx="28">
                  <c:v>4.5795717592592589E-4</c:v>
                </c:pt>
                <c:pt idx="29">
                  <c:v>5.5493634259259266E-4</c:v>
                </c:pt>
                <c:pt idx="30">
                  <c:v>5.6613715277777782E-4</c:v>
                </c:pt>
                <c:pt idx="31">
                  <c:v>5.7677083333333332E-4</c:v>
                </c:pt>
                <c:pt idx="32">
                  <c:v>4.5043055555555553E-4</c:v>
                </c:pt>
                <c:pt idx="33">
                  <c:v>4.5541319444444443E-4</c:v>
                </c:pt>
                <c:pt idx="34">
                  <c:v>4.5982638888888885E-4</c:v>
                </c:pt>
                <c:pt idx="35">
                  <c:v>5.3455092592592595E-4</c:v>
                </c:pt>
                <c:pt idx="36">
                  <c:v>5.4534027777777773E-4</c:v>
                </c:pt>
                <c:pt idx="37">
                  <c:v>5.5558333333333328E-4</c:v>
                </c:pt>
                <c:pt idx="38">
                  <c:v>4.6690972222222218E-4</c:v>
                </c:pt>
                <c:pt idx="39">
                  <c:v>4.7207465277777775E-4</c:v>
                </c:pt>
                <c:pt idx="40">
                  <c:v>4.7664930555555546E-4</c:v>
                </c:pt>
                <c:pt idx="41">
                  <c:v>5.7758680555555558E-4</c:v>
                </c:pt>
                <c:pt idx="42">
                  <c:v>5.8924479166666663E-4</c:v>
                </c:pt>
                <c:pt idx="43">
                  <c:v>6.0031249999999993E-4</c:v>
                </c:pt>
                <c:pt idx="44">
                  <c:v>4.7606481481481485E-4</c:v>
                </c:pt>
                <c:pt idx="45">
                  <c:v>4.8133101851851852E-4</c:v>
                </c:pt>
                <c:pt idx="46">
                  <c:v>4.8599537037037036E-4</c:v>
                </c:pt>
                <c:pt idx="47">
                  <c:v>5.8891203703703709E-4</c:v>
                </c:pt>
                <c:pt idx="48">
                  <c:v>6.0079861111111119E-4</c:v>
                </c:pt>
                <c:pt idx="49">
                  <c:v>6.1208333333333329E-4</c:v>
                </c:pt>
                <c:pt idx="50">
                  <c:v>3.9722222222222226E-4</c:v>
                </c:pt>
                <c:pt idx="51">
                  <c:v>3.9365740740740745E-4</c:v>
                </c:pt>
                <c:pt idx="52">
                  <c:v>3.8283564814814821E-4</c:v>
                </c:pt>
                <c:pt idx="53">
                  <c:v>4.8506944444444455E-4</c:v>
                </c:pt>
                <c:pt idx="54">
                  <c:v>4.7717592592592592E-4</c:v>
                </c:pt>
                <c:pt idx="55">
                  <c:v>4.5273148148148153E-4</c:v>
                </c:pt>
                <c:pt idx="56">
                  <c:v>4.0624999999999998E-4</c:v>
                </c:pt>
                <c:pt idx="57">
                  <c:v>4.0260416666666667E-4</c:v>
                </c:pt>
                <c:pt idx="58">
                  <c:v>3.9153645833333336E-4</c:v>
                </c:pt>
                <c:pt idx="59">
                  <c:v>4.9609375000000001E-4</c:v>
                </c:pt>
                <c:pt idx="60">
                  <c:v>4.8802083333333331E-4</c:v>
                </c:pt>
                <c:pt idx="61">
                  <c:v>4.6302083333333335E-4</c:v>
                </c:pt>
                <c:pt idx="62">
                  <c:v>4.152777777777777E-4</c:v>
                </c:pt>
                <c:pt idx="63">
                  <c:v>4.1155092592592589E-4</c:v>
                </c:pt>
                <c:pt idx="64">
                  <c:v>4.0023726851851852E-4</c:v>
                </c:pt>
                <c:pt idx="65">
                  <c:v>5.0711805555555558E-4</c:v>
                </c:pt>
                <c:pt idx="66">
                  <c:v>4.9886574074074069E-4</c:v>
                </c:pt>
                <c:pt idx="67">
                  <c:v>4.7331018518518517E-4</c:v>
                </c:pt>
                <c:pt idx="68">
                  <c:v>4.2430555555555554E-4</c:v>
                </c:pt>
                <c:pt idx="69">
                  <c:v>4.2049768518518521E-4</c:v>
                </c:pt>
                <c:pt idx="70">
                  <c:v>4.0893807870370373E-4</c:v>
                </c:pt>
                <c:pt idx="71">
                  <c:v>5.1814236111111115E-4</c:v>
                </c:pt>
                <c:pt idx="72">
                  <c:v>5.0971064814814813E-4</c:v>
                </c:pt>
                <c:pt idx="73">
                  <c:v>4.8359953703703705E-4</c:v>
                </c:pt>
                <c:pt idx="74">
                  <c:v>4.3333333333333331E-4</c:v>
                </c:pt>
                <c:pt idx="75">
                  <c:v>4.2944444444444443E-4</c:v>
                </c:pt>
                <c:pt idx="76">
                  <c:v>4.1763888888888889E-4</c:v>
                </c:pt>
                <c:pt idx="77">
                  <c:v>5.2916666666666672E-4</c:v>
                </c:pt>
                <c:pt idx="78">
                  <c:v>5.2055555555555546E-4</c:v>
                </c:pt>
                <c:pt idx="79">
                  <c:v>4.9388888888888887E-4</c:v>
                </c:pt>
                <c:pt idx="80">
                  <c:v>4.4236111111111115E-4</c:v>
                </c:pt>
                <c:pt idx="81">
                  <c:v>4.3839120370370375E-4</c:v>
                </c:pt>
                <c:pt idx="82">
                  <c:v>4.263396990740741E-4</c:v>
                </c:pt>
                <c:pt idx="83">
                  <c:v>5.4019097222222229E-4</c:v>
                </c:pt>
                <c:pt idx="84">
                  <c:v>5.3140046296296301E-4</c:v>
                </c:pt>
                <c:pt idx="85">
                  <c:v>5.041782407407408E-4</c:v>
                </c:pt>
                <c:pt idx="86">
                  <c:v>4.5138888888888887E-4</c:v>
                </c:pt>
                <c:pt idx="87">
                  <c:v>4.4733796296296297E-4</c:v>
                </c:pt>
                <c:pt idx="88">
                  <c:v>4.3504050925925926E-4</c:v>
                </c:pt>
                <c:pt idx="89">
                  <c:v>5.5121527777777786E-4</c:v>
                </c:pt>
                <c:pt idx="90">
                  <c:v>5.4224537037037034E-4</c:v>
                </c:pt>
                <c:pt idx="91">
                  <c:v>5.1446759259259262E-4</c:v>
                </c:pt>
                <c:pt idx="92">
                  <c:v>4.6041666666666659E-4</c:v>
                </c:pt>
                <c:pt idx="93">
                  <c:v>4.5628472222222218E-4</c:v>
                </c:pt>
                <c:pt idx="94">
                  <c:v>4.4374131944444441E-4</c:v>
                </c:pt>
                <c:pt idx="95">
                  <c:v>5.6223958333333332E-4</c:v>
                </c:pt>
                <c:pt idx="96">
                  <c:v>5.5309027777777767E-4</c:v>
                </c:pt>
                <c:pt idx="97">
                  <c:v>5.2475694444444445E-4</c:v>
                </c:pt>
                <c:pt idx="98">
                  <c:v>4.1166666666666663E-4</c:v>
                </c:pt>
                <c:pt idx="99">
                  <c:v>4.0797222222222217E-4</c:v>
                </c:pt>
                <c:pt idx="100">
                  <c:v>3.9675694444444442E-4</c:v>
                </c:pt>
                <c:pt idx="101">
                  <c:v>5.2475694444444445E-4</c:v>
                </c:pt>
                <c:pt idx="102">
                  <c:v>5.1621759259259253E-4</c:v>
                </c:pt>
                <c:pt idx="103">
                  <c:v>4.8977314814814814E-4</c:v>
                </c:pt>
                <c:pt idx="104">
                  <c:v>4.5043055555555553E-4</c:v>
                </c:pt>
                <c:pt idx="105">
                  <c:v>4.5541319444444443E-4</c:v>
                </c:pt>
                <c:pt idx="106">
                  <c:v>4.5982638888888885E-4</c:v>
                </c:pt>
                <c:pt idx="107">
                  <c:v>5.3455092592592595E-4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A56-4469-84C5-8D24DBA7559C}"/>
            </c:ext>
          </c:extLst>
        </c:ser>
        <c:ser>
          <c:idx val="7"/>
          <c:order val="7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yVal>
            <c:numRef>
              <c:f>JRP!$T$2:$T$109</c:f>
              <c:numCache>
                <c:formatCode>m:ss.00</c:formatCode>
                <c:ptCount val="108"/>
                <c:pt idx="0">
                  <c:v>7.8599537037037039E-4</c:v>
                </c:pt>
                <c:pt idx="1">
                  <c:v>6.7627314814814818E-4</c:v>
                </c:pt>
                <c:pt idx="2">
                  <c:v>6.5169270833333333E-4</c:v>
                </c:pt>
                <c:pt idx="3">
                  <c:v>6.5807291666666672E-4</c:v>
                </c:pt>
                <c:pt idx="4">
                  <c:v>6.6406250000000005E-4</c:v>
                </c:pt>
                <c:pt idx="5">
                  <c:v>7.6692708333333333E-4</c:v>
                </c:pt>
                <c:pt idx="6">
                  <c:v>7.7565104166666668E-4</c:v>
                </c:pt>
                <c:pt idx="7">
                  <c:v>7.8372395833333332E-4</c:v>
                </c:pt>
                <c:pt idx="8">
                  <c:v>6.6617476851851842E-4</c:v>
                </c:pt>
                <c:pt idx="9">
                  <c:v>6.7269675925925928E-4</c:v>
                </c:pt>
                <c:pt idx="10">
                  <c:v>6.7881944444444435E-4</c:v>
                </c:pt>
                <c:pt idx="11">
                  <c:v>7.8396990740740738E-4</c:v>
                </c:pt>
                <c:pt idx="12">
                  <c:v>7.9288773148148144E-4</c:v>
                </c:pt>
                <c:pt idx="13">
                  <c:v>8.0114004629629621E-4</c:v>
                </c:pt>
                <c:pt idx="14">
                  <c:v>6.8065682870370372E-4</c:v>
                </c:pt>
                <c:pt idx="15">
                  <c:v>6.8732060185185194E-4</c:v>
                </c:pt>
                <c:pt idx="16">
                  <c:v>6.9357638888888897E-4</c:v>
                </c:pt>
                <c:pt idx="17">
                  <c:v>8.0101273148148154E-4</c:v>
                </c:pt>
                <c:pt idx="18">
                  <c:v>8.1012442129629642E-4</c:v>
                </c:pt>
                <c:pt idx="19">
                  <c:v>8.1855613425925932E-4</c:v>
                </c:pt>
                <c:pt idx="20">
                  <c:v>6.951388888888888E-4</c:v>
                </c:pt>
                <c:pt idx="21">
                  <c:v>7.0194444444444449E-4</c:v>
                </c:pt>
                <c:pt idx="22">
                  <c:v>7.0833333333333328E-4</c:v>
                </c:pt>
                <c:pt idx="23">
                  <c:v>8.1805555555555548E-4</c:v>
                </c:pt>
                <c:pt idx="24">
                  <c:v>8.2736111111111118E-4</c:v>
                </c:pt>
                <c:pt idx="25">
                  <c:v>8.3597222222222222E-4</c:v>
                </c:pt>
                <c:pt idx="26">
                  <c:v>7.096209490740741E-4</c:v>
                </c:pt>
                <c:pt idx="27">
                  <c:v>7.1656828703703715E-4</c:v>
                </c:pt>
                <c:pt idx="28">
                  <c:v>7.2309027777777779E-4</c:v>
                </c:pt>
                <c:pt idx="29">
                  <c:v>8.3509837962962965E-4</c:v>
                </c:pt>
                <c:pt idx="30">
                  <c:v>8.4459780092592605E-4</c:v>
                </c:pt>
                <c:pt idx="31">
                  <c:v>8.5338831018518522E-4</c:v>
                </c:pt>
                <c:pt idx="32">
                  <c:v>7.1251736111111103E-4</c:v>
                </c:pt>
                <c:pt idx="33">
                  <c:v>7.1949305555555558E-4</c:v>
                </c:pt>
                <c:pt idx="34">
                  <c:v>7.2604166666666661E-4</c:v>
                </c:pt>
                <c:pt idx="35">
                  <c:v>8.0442129629629624E-4</c:v>
                </c:pt>
                <c:pt idx="36">
                  <c:v>8.1357175925925933E-4</c:v>
                </c:pt>
                <c:pt idx="37">
                  <c:v>8.2203935185185179E-4</c:v>
                </c:pt>
                <c:pt idx="38">
                  <c:v>7.3858506944444438E-4</c:v>
                </c:pt>
                <c:pt idx="39">
                  <c:v>7.4581597222222226E-4</c:v>
                </c:pt>
                <c:pt idx="40">
                  <c:v>7.5260416666666661E-4</c:v>
                </c:pt>
                <c:pt idx="41">
                  <c:v>8.6918402777777775E-4</c:v>
                </c:pt>
                <c:pt idx="42">
                  <c:v>8.7907118055555557E-4</c:v>
                </c:pt>
                <c:pt idx="43">
                  <c:v>8.8822048611111111E-4</c:v>
                </c:pt>
                <c:pt idx="44">
                  <c:v>7.5306712962962957E-4</c:v>
                </c:pt>
                <c:pt idx="45">
                  <c:v>7.6043981481481492E-4</c:v>
                </c:pt>
                <c:pt idx="46">
                  <c:v>7.6736111111111113E-4</c:v>
                </c:pt>
                <c:pt idx="47">
                  <c:v>8.8622685185185191E-4</c:v>
                </c:pt>
                <c:pt idx="48">
                  <c:v>8.9630787037037044E-4</c:v>
                </c:pt>
                <c:pt idx="49">
                  <c:v>9.0563657407407411E-4</c:v>
                </c:pt>
                <c:pt idx="50">
                  <c:v>6.2893518518518528E-4</c:v>
                </c:pt>
                <c:pt idx="51">
                  <c:v>6.2384259259259272E-4</c:v>
                </c:pt>
                <c:pt idx="52">
                  <c:v>6.079282407407408E-4</c:v>
                </c:pt>
                <c:pt idx="53">
                  <c:v>7.3880787037037046E-4</c:v>
                </c:pt>
                <c:pt idx="54">
                  <c:v>7.3193287037037042E-4</c:v>
                </c:pt>
                <c:pt idx="55">
                  <c:v>7.1067129629629638E-4</c:v>
                </c:pt>
                <c:pt idx="56">
                  <c:v>6.4322916666666673E-4</c:v>
                </c:pt>
                <c:pt idx="57">
                  <c:v>6.3802083333333332E-4</c:v>
                </c:pt>
                <c:pt idx="58">
                  <c:v>6.2174479166666671E-4</c:v>
                </c:pt>
                <c:pt idx="59">
                  <c:v>7.5559895833333338E-4</c:v>
                </c:pt>
                <c:pt idx="60">
                  <c:v>7.4856770833333329E-4</c:v>
                </c:pt>
                <c:pt idx="61">
                  <c:v>7.2682291666666663E-4</c:v>
                </c:pt>
                <c:pt idx="62">
                  <c:v>6.5752314814814807E-4</c:v>
                </c:pt>
                <c:pt idx="63">
                  <c:v>6.5219907407407403E-4</c:v>
                </c:pt>
                <c:pt idx="64">
                  <c:v>6.3556134259259251E-4</c:v>
                </c:pt>
                <c:pt idx="65">
                  <c:v>7.723900462962963E-4</c:v>
                </c:pt>
                <c:pt idx="66">
                  <c:v>7.6520254629629627E-4</c:v>
                </c:pt>
                <c:pt idx="67">
                  <c:v>7.42974537037037E-4</c:v>
                </c:pt>
                <c:pt idx="68">
                  <c:v>6.7181712962962963E-4</c:v>
                </c:pt>
                <c:pt idx="69">
                  <c:v>6.6637731481481485E-4</c:v>
                </c:pt>
                <c:pt idx="70">
                  <c:v>6.4937789351851853E-4</c:v>
                </c:pt>
                <c:pt idx="71">
                  <c:v>7.8918113425925933E-4</c:v>
                </c:pt>
                <c:pt idx="72">
                  <c:v>7.8183738425925925E-4</c:v>
                </c:pt>
                <c:pt idx="73">
                  <c:v>7.5912615740740747E-4</c:v>
                </c:pt>
                <c:pt idx="74">
                  <c:v>6.8611111111111108E-4</c:v>
                </c:pt>
                <c:pt idx="75">
                  <c:v>6.8055555555555556E-4</c:v>
                </c:pt>
                <c:pt idx="76">
                  <c:v>6.6319444444444444E-4</c:v>
                </c:pt>
                <c:pt idx="77">
                  <c:v>8.0597222222222225E-4</c:v>
                </c:pt>
                <c:pt idx="78">
                  <c:v>7.9847222222222223E-4</c:v>
                </c:pt>
                <c:pt idx="79">
                  <c:v>7.7527777777777773E-4</c:v>
                </c:pt>
                <c:pt idx="80">
                  <c:v>7.0040509259259264E-4</c:v>
                </c:pt>
                <c:pt idx="81">
                  <c:v>6.9473379629629638E-4</c:v>
                </c:pt>
                <c:pt idx="82">
                  <c:v>6.7701099537037046E-4</c:v>
                </c:pt>
                <c:pt idx="83">
                  <c:v>8.2276331018518527E-4</c:v>
                </c:pt>
                <c:pt idx="84">
                  <c:v>8.1510706018518521E-4</c:v>
                </c:pt>
                <c:pt idx="85">
                  <c:v>7.914293981481482E-4</c:v>
                </c:pt>
                <c:pt idx="86">
                  <c:v>7.1469907407407409E-4</c:v>
                </c:pt>
                <c:pt idx="87">
                  <c:v>7.0891203703703708E-4</c:v>
                </c:pt>
                <c:pt idx="88">
                  <c:v>6.9082754629629637E-4</c:v>
                </c:pt>
                <c:pt idx="89">
                  <c:v>8.3955439814814819E-4</c:v>
                </c:pt>
                <c:pt idx="90">
                  <c:v>8.3174189814814808E-4</c:v>
                </c:pt>
                <c:pt idx="91">
                  <c:v>8.0758101851851846E-4</c:v>
                </c:pt>
                <c:pt idx="92">
                  <c:v>7.2899305555555554E-4</c:v>
                </c:pt>
                <c:pt idx="93">
                  <c:v>7.2309027777777779E-4</c:v>
                </c:pt>
                <c:pt idx="94">
                  <c:v>7.0464409722222217E-4</c:v>
                </c:pt>
                <c:pt idx="95">
                  <c:v>8.5634548611111111E-4</c:v>
                </c:pt>
                <c:pt idx="96">
                  <c:v>8.4837673611111105E-4</c:v>
                </c:pt>
                <c:pt idx="97">
                  <c:v>8.2373263888888882E-4</c:v>
                </c:pt>
                <c:pt idx="98">
                  <c:v>6.5180555555555554E-4</c:v>
                </c:pt>
                <c:pt idx="99">
                  <c:v>6.4652777777777777E-4</c:v>
                </c:pt>
                <c:pt idx="100">
                  <c:v>6.3003472222222215E-4</c:v>
                </c:pt>
                <c:pt idx="101">
                  <c:v>7.9925578703703712E-4</c:v>
                </c:pt>
                <c:pt idx="102">
                  <c:v>7.9181828703703695E-4</c:v>
                </c:pt>
                <c:pt idx="103">
                  <c:v>7.688171296296296E-4</c:v>
                </c:pt>
                <c:pt idx="104">
                  <c:v>7.1251736111111103E-4</c:v>
                </c:pt>
                <c:pt idx="105">
                  <c:v>7.1949305555555558E-4</c:v>
                </c:pt>
                <c:pt idx="106">
                  <c:v>7.2604166666666661E-4</c:v>
                </c:pt>
                <c:pt idx="107">
                  <c:v>8.0442129629629624E-4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56-4469-84C5-8D24DBA7559C}"/>
            </c:ext>
          </c:extLst>
        </c:ser>
        <c:ser>
          <c:idx val="8"/>
          <c:order val="8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yVal>
            <c:numRef>
              <c:f>JRP!$U$2:$U$109</c:f>
              <c:numCache>
                <c:formatCode>m:ss.00</c:formatCode>
                <c:ptCount val="108"/>
                <c:pt idx="0">
                  <c:v>1.0240740740740742E-3</c:v>
                </c:pt>
                <c:pt idx="1">
                  <c:v>8.9861111111111109E-4</c:v>
                </c:pt>
                <c:pt idx="2">
                  <c:v>8.8528645833333319E-4</c:v>
                </c:pt>
                <c:pt idx="3">
                  <c:v>8.981770833333334E-4</c:v>
                </c:pt>
                <c:pt idx="4">
                  <c:v>9.1015625000000016E-4</c:v>
                </c:pt>
                <c:pt idx="5">
                  <c:v>1.0372395833333334E-3</c:v>
                </c:pt>
                <c:pt idx="6">
                  <c:v>1.0558593750000002E-3</c:v>
                </c:pt>
                <c:pt idx="7">
                  <c:v>1.073046875E-3</c:v>
                </c:pt>
                <c:pt idx="8">
                  <c:v>9.0495949074074057E-4</c:v>
                </c:pt>
                <c:pt idx="9">
                  <c:v>9.1813657407407404E-4</c:v>
                </c:pt>
                <c:pt idx="10">
                  <c:v>9.3038194444444451E-4</c:v>
                </c:pt>
                <c:pt idx="11">
                  <c:v>1.0602893518518518E-3</c:v>
                </c:pt>
                <c:pt idx="12">
                  <c:v>1.0793229166666666E-3</c:v>
                </c:pt>
                <c:pt idx="13">
                  <c:v>1.096892361111111E-3</c:v>
                </c:pt>
                <c:pt idx="14">
                  <c:v>9.2463252314814806E-4</c:v>
                </c:pt>
                <c:pt idx="15">
                  <c:v>9.3809606481481489E-4</c:v>
                </c:pt>
                <c:pt idx="16">
                  <c:v>9.5060763888888907E-4</c:v>
                </c:pt>
                <c:pt idx="17">
                  <c:v>1.0833391203703704E-3</c:v>
                </c:pt>
                <c:pt idx="18">
                  <c:v>1.1027864583333334E-3</c:v>
                </c:pt>
                <c:pt idx="19">
                  <c:v>1.1207378472222222E-3</c:v>
                </c:pt>
                <c:pt idx="20">
                  <c:v>9.4430555555555544E-4</c:v>
                </c:pt>
                <c:pt idx="21">
                  <c:v>9.5805555555555553E-4</c:v>
                </c:pt>
                <c:pt idx="22">
                  <c:v>9.7083333333333342E-4</c:v>
                </c:pt>
                <c:pt idx="23">
                  <c:v>1.1063888888888887E-3</c:v>
                </c:pt>
                <c:pt idx="24">
                  <c:v>1.1262500000000001E-3</c:v>
                </c:pt>
                <c:pt idx="25">
                  <c:v>1.1445833333333332E-3</c:v>
                </c:pt>
                <c:pt idx="26">
                  <c:v>9.6397858796296292E-4</c:v>
                </c:pt>
                <c:pt idx="27">
                  <c:v>9.7801504629629649E-4</c:v>
                </c:pt>
                <c:pt idx="28">
                  <c:v>9.9105902777777799E-4</c:v>
                </c:pt>
                <c:pt idx="29">
                  <c:v>1.1294386574074073E-3</c:v>
                </c:pt>
                <c:pt idx="30">
                  <c:v>1.1497135416666669E-3</c:v>
                </c:pt>
                <c:pt idx="31">
                  <c:v>1.1684288194444446E-3</c:v>
                </c:pt>
                <c:pt idx="32">
                  <c:v>9.6791319444444431E-4</c:v>
                </c:pt>
                <c:pt idx="33">
                  <c:v>9.8200694444444442E-4</c:v>
                </c:pt>
                <c:pt idx="34">
                  <c:v>9.9510416666666671E-4</c:v>
                </c:pt>
                <c:pt idx="35">
                  <c:v>1.0879490740740739E-3</c:v>
                </c:pt>
                <c:pt idx="36">
                  <c:v>1.1074791666666668E-3</c:v>
                </c:pt>
                <c:pt idx="37">
                  <c:v>1.1255069444444444E-3</c:v>
                </c:pt>
                <c:pt idx="38">
                  <c:v>1.0033246527777777E-3</c:v>
                </c:pt>
                <c:pt idx="39">
                  <c:v>1.0179340277777778E-3</c:v>
                </c:pt>
                <c:pt idx="40">
                  <c:v>1.0315104166666667E-3</c:v>
                </c:pt>
                <c:pt idx="41">
                  <c:v>1.1755381944444443E-3</c:v>
                </c:pt>
                <c:pt idx="42">
                  <c:v>1.196640625E-3</c:v>
                </c:pt>
                <c:pt idx="43">
                  <c:v>1.2161197916666666E-3</c:v>
                </c:pt>
                <c:pt idx="44">
                  <c:v>1.0229976851851852E-3</c:v>
                </c:pt>
                <c:pt idx="45">
                  <c:v>1.0378935185185187E-3</c:v>
                </c:pt>
                <c:pt idx="46">
                  <c:v>1.0517361111111114E-3</c:v>
                </c:pt>
                <c:pt idx="47">
                  <c:v>1.1985879629629629E-3</c:v>
                </c:pt>
                <c:pt idx="48">
                  <c:v>1.2201041666666669E-3</c:v>
                </c:pt>
                <c:pt idx="49">
                  <c:v>1.2399652777777778E-3</c:v>
                </c:pt>
                <c:pt idx="50">
                  <c:v>8.490625000000001E-4</c:v>
                </c:pt>
                <c:pt idx="51">
                  <c:v>8.3900462962962976E-4</c:v>
                </c:pt>
                <c:pt idx="52">
                  <c:v>8.0768518518518526E-4</c:v>
                </c:pt>
                <c:pt idx="53">
                  <c:v>9.9038194444444434E-4</c:v>
                </c:pt>
                <c:pt idx="54">
                  <c:v>9.7599537037037034E-4</c:v>
                </c:pt>
                <c:pt idx="55">
                  <c:v>9.3168981481481499E-4</c:v>
                </c:pt>
                <c:pt idx="56">
                  <c:v>8.6835937499999999E-4</c:v>
                </c:pt>
                <c:pt idx="57">
                  <c:v>8.5807291666666671E-4</c:v>
                </c:pt>
                <c:pt idx="58">
                  <c:v>8.2604166666666666E-4</c:v>
                </c:pt>
                <c:pt idx="59">
                  <c:v>1.0128906249999999E-3</c:v>
                </c:pt>
                <c:pt idx="60">
                  <c:v>9.9817708333333334E-4</c:v>
                </c:pt>
                <c:pt idx="61">
                  <c:v>9.5286458333333345E-4</c:v>
                </c:pt>
                <c:pt idx="62">
                  <c:v>8.8765624999999988E-4</c:v>
                </c:pt>
                <c:pt idx="63">
                  <c:v>8.7714120370370365E-4</c:v>
                </c:pt>
                <c:pt idx="64">
                  <c:v>8.4439814814814805E-4</c:v>
                </c:pt>
                <c:pt idx="65">
                  <c:v>1.0353993055555552E-3</c:v>
                </c:pt>
                <c:pt idx="66">
                  <c:v>1.0203587962962961E-3</c:v>
                </c:pt>
                <c:pt idx="67">
                  <c:v>9.7403935185185191E-4</c:v>
                </c:pt>
                <c:pt idx="68">
                  <c:v>9.0695312499999999E-4</c:v>
                </c:pt>
                <c:pt idx="69">
                  <c:v>8.9620949074074082E-4</c:v>
                </c:pt>
                <c:pt idx="70">
                  <c:v>8.6275462962962966E-4</c:v>
                </c:pt>
                <c:pt idx="71">
                  <c:v>1.057907986111111E-3</c:v>
                </c:pt>
                <c:pt idx="72">
                  <c:v>1.0425405092592593E-3</c:v>
                </c:pt>
                <c:pt idx="73">
                  <c:v>9.9521412037037048E-4</c:v>
                </c:pt>
                <c:pt idx="74">
                  <c:v>9.2624999999999999E-4</c:v>
                </c:pt>
                <c:pt idx="75">
                  <c:v>9.1527777777777777E-4</c:v>
                </c:pt>
                <c:pt idx="76">
                  <c:v>8.8111111111111105E-4</c:v>
                </c:pt>
                <c:pt idx="77">
                  <c:v>1.0804166666666664E-3</c:v>
                </c:pt>
                <c:pt idx="78">
                  <c:v>1.0647222222222221E-3</c:v>
                </c:pt>
                <c:pt idx="79">
                  <c:v>1.0163888888888889E-3</c:v>
                </c:pt>
                <c:pt idx="80">
                  <c:v>9.455468750000001E-4</c:v>
                </c:pt>
                <c:pt idx="81">
                  <c:v>9.3434606481481493E-4</c:v>
                </c:pt>
                <c:pt idx="82">
                  <c:v>8.9946759259259266E-4</c:v>
                </c:pt>
                <c:pt idx="83">
                  <c:v>1.1029253472222222E-3</c:v>
                </c:pt>
                <c:pt idx="84">
                  <c:v>1.0869039351851851E-3</c:v>
                </c:pt>
                <c:pt idx="85">
                  <c:v>1.0375636574074076E-3</c:v>
                </c:pt>
                <c:pt idx="86">
                  <c:v>9.6484374999999999E-4</c:v>
                </c:pt>
                <c:pt idx="87">
                  <c:v>9.5341435185185188E-4</c:v>
                </c:pt>
                <c:pt idx="88">
                  <c:v>9.1782407407407405E-4</c:v>
                </c:pt>
                <c:pt idx="89">
                  <c:v>1.1254340277777777E-3</c:v>
                </c:pt>
                <c:pt idx="90">
                  <c:v>1.1090856481481481E-3</c:v>
                </c:pt>
                <c:pt idx="91">
                  <c:v>1.0587384259259261E-3</c:v>
                </c:pt>
                <c:pt idx="92">
                  <c:v>9.8414062499999999E-4</c:v>
                </c:pt>
                <c:pt idx="93">
                  <c:v>9.7248263888888883E-4</c:v>
                </c:pt>
                <c:pt idx="94">
                  <c:v>9.3618055555555544E-4</c:v>
                </c:pt>
                <c:pt idx="95">
                  <c:v>1.1479427083333331E-3</c:v>
                </c:pt>
                <c:pt idx="96">
                  <c:v>1.1312673611111109E-3</c:v>
                </c:pt>
                <c:pt idx="97">
                  <c:v>1.0799131944444445E-3</c:v>
                </c:pt>
                <c:pt idx="98">
                  <c:v>8.7993749999999997E-4</c:v>
                </c:pt>
                <c:pt idx="99">
                  <c:v>8.6951388888888885E-4</c:v>
                </c:pt>
                <c:pt idx="100">
                  <c:v>8.3705555555555551E-4</c:v>
                </c:pt>
                <c:pt idx="101">
                  <c:v>1.0714131944444443E-3</c:v>
                </c:pt>
                <c:pt idx="102">
                  <c:v>1.055849537037037E-3</c:v>
                </c:pt>
                <c:pt idx="103">
                  <c:v>1.0079189814814816E-3</c:v>
                </c:pt>
                <c:pt idx="104">
                  <c:v>9.6791319444444431E-4</c:v>
                </c:pt>
                <c:pt idx="105">
                  <c:v>9.8200694444444442E-4</c:v>
                </c:pt>
                <c:pt idx="106">
                  <c:v>9.9510416666666671E-4</c:v>
                </c:pt>
                <c:pt idx="107">
                  <c:v>1.0879490740740739E-3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A56-4469-84C5-8D24DBA7559C}"/>
            </c:ext>
          </c:extLst>
        </c:ser>
        <c:ser>
          <c:idx val="9"/>
          <c:order val="9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yVal>
            <c:numRef>
              <c:f>JRP!$V$2:$V$109</c:f>
              <c:numCache>
                <c:formatCode>m:ss.00</c:formatCode>
                <c:ptCount val="108"/>
                <c:pt idx="0">
                  <c:v>8.2766203703703712E-4</c:v>
                </c:pt>
                <c:pt idx="1">
                  <c:v>7.2384259259259255E-4</c:v>
                </c:pt>
                <c:pt idx="2">
                  <c:v>7.4244791666666665E-4</c:v>
                </c:pt>
                <c:pt idx="3">
                  <c:v>7.5846354166666673E-4</c:v>
                </c:pt>
                <c:pt idx="4">
                  <c:v>7.731770833333334E-4</c:v>
                </c:pt>
                <c:pt idx="5">
                  <c:v>8.5182291666666664E-4</c:v>
                </c:pt>
                <c:pt idx="6">
                  <c:v>8.6432291666666656E-4</c:v>
                </c:pt>
                <c:pt idx="7">
                  <c:v>8.7578125000000004E-4</c:v>
                </c:pt>
                <c:pt idx="8">
                  <c:v>7.5894675925925923E-4</c:v>
                </c:pt>
                <c:pt idx="9">
                  <c:v>7.7531828703703703E-4</c:v>
                </c:pt>
                <c:pt idx="10">
                  <c:v>7.9035879629629627E-4</c:v>
                </c:pt>
                <c:pt idx="11">
                  <c:v>8.7075231481481476E-4</c:v>
                </c:pt>
                <c:pt idx="12">
                  <c:v>8.8353009259259244E-4</c:v>
                </c:pt>
                <c:pt idx="13">
                  <c:v>8.9524305555555559E-4</c:v>
                </c:pt>
                <c:pt idx="14">
                  <c:v>7.7544560185185192E-4</c:v>
                </c:pt>
                <c:pt idx="15">
                  <c:v>7.9217303240740745E-4</c:v>
                </c:pt>
                <c:pt idx="16">
                  <c:v>8.0754050925925937E-4</c:v>
                </c:pt>
                <c:pt idx="17">
                  <c:v>8.89681712962963E-4</c:v>
                </c:pt>
                <c:pt idx="18">
                  <c:v>9.0273726851851843E-4</c:v>
                </c:pt>
                <c:pt idx="19">
                  <c:v>9.1470486111111125E-4</c:v>
                </c:pt>
                <c:pt idx="20">
                  <c:v>7.919444444444444E-4</c:v>
                </c:pt>
                <c:pt idx="21">
                  <c:v>8.0902777777777776E-4</c:v>
                </c:pt>
                <c:pt idx="22">
                  <c:v>8.2472222222222224E-4</c:v>
                </c:pt>
                <c:pt idx="23">
                  <c:v>9.0861111111111101E-4</c:v>
                </c:pt>
                <c:pt idx="24">
                  <c:v>9.2194444444444431E-4</c:v>
                </c:pt>
                <c:pt idx="25">
                  <c:v>9.341666666666667E-4</c:v>
                </c:pt>
                <c:pt idx="26">
                  <c:v>8.0844328703703709E-4</c:v>
                </c:pt>
                <c:pt idx="27">
                  <c:v>8.2588252314814829E-4</c:v>
                </c:pt>
                <c:pt idx="28">
                  <c:v>8.4190393518518533E-4</c:v>
                </c:pt>
                <c:pt idx="29">
                  <c:v>9.2754050925925925E-4</c:v>
                </c:pt>
                <c:pt idx="30">
                  <c:v>9.411516203703703E-4</c:v>
                </c:pt>
                <c:pt idx="31">
                  <c:v>9.5362847222222236E-4</c:v>
                </c:pt>
                <c:pt idx="32">
                  <c:v>8.1174305555555557E-4</c:v>
                </c:pt>
                <c:pt idx="33">
                  <c:v>8.2925347222222222E-4</c:v>
                </c:pt>
                <c:pt idx="34">
                  <c:v>8.4534027777777786E-4</c:v>
                </c:pt>
                <c:pt idx="35">
                  <c:v>8.9346759259259251E-4</c:v>
                </c:pt>
                <c:pt idx="36">
                  <c:v>9.065787037037035E-4</c:v>
                </c:pt>
                <c:pt idx="37">
                  <c:v>9.1859722222222223E-4</c:v>
                </c:pt>
                <c:pt idx="38">
                  <c:v>8.4144097222222216E-4</c:v>
                </c:pt>
                <c:pt idx="39">
                  <c:v>8.5959201388888891E-4</c:v>
                </c:pt>
                <c:pt idx="40">
                  <c:v>8.7626736111111119E-4</c:v>
                </c:pt>
                <c:pt idx="41">
                  <c:v>9.653993055555555E-4</c:v>
                </c:pt>
                <c:pt idx="42">
                  <c:v>9.7956597222222195E-4</c:v>
                </c:pt>
                <c:pt idx="43">
                  <c:v>9.9255208333333335E-4</c:v>
                </c:pt>
                <c:pt idx="44">
                  <c:v>8.5793981481481485E-4</c:v>
                </c:pt>
                <c:pt idx="45">
                  <c:v>8.7644675925925932E-4</c:v>
                </c:pt>
                <c:pt idx="46">
                  <c:v>8.9344907407407418E-4</c:v>
                </c:pt>
                <c:pt idx="47">
                  <c:v>9.8432870370370362E-4</c:v>
                </c:pt>
                <c:pt idx="48">
                  <c:v>9.9877314814814815E-4</c:v>
                </c:pt>
                <c:pt idx="49">
                  <c:v>1.0120138888888889E-3</c:v>
                </c:pt>
                <c:pt idx="50">
                  <c:v>7.0545138888888882E-4</c:v>
                </c:pt>
                <c:pt idx="51">
                  <c:v>6.9322916666666675E-4</c:v>
                </c:pt>
                <c:pt idx="52">
                  <c:v>6.5554398148148145E-4</c:v>
                </c:pt>
                <c:pt idx="53">
                  <c:v>8.1685185185185192E-4</c:v>
                </c:pt>
                <c:pt idx="54">
                  <c:v>8.0704861111111114E-4</c:v>
                </c:pt>
                <c:pt idx="55">
                  <c:v>7.7687500000000011E-4</c:v>
                </c:pt>
                <c:pt idx="56">
                  <c:v>7.214843749999999E-4</c:v>
                </c:pt>
                <c:pt idx="57">
                  <c:v>7.0898437499999998E-4</c:v>
                </c:pt>
                <c:pt idx="58">
                  <c:v>6.7044270833333333E-4</c:v>
                </c:pt>
                <c:pt idx="59">
                  <c:v>8.354166666666666E-4</c:v>
                </c:pt>
                <c:pt idx="60">
                  <c:v>8.2539062499999995E-4</c:v>
                </c:pt>
                <c:pt idx="61">
                  <c:v>7.945312500000001E-4</c:v>
                </c:pt>
                <c:pt idx="62">
                  <c:v>7.3751736111111099E-4</c:v>
                </c:pt>
                <c:pt idx="63">
                  <c:v>7.247395833333332E-4</c:v>
                </c:pt>
                <c:pt idx="64">
                  <c:v>6.853414351851851E-4</c:v>
                </c:pt>
                <c:pt idx="65">
                  <c:v>8.5398148148148139E-4</c:v>
                </c:pt>
                <c:pt idx="66">
                  <c:v>8.4373263888888887E-4</c:v>
                </c:pt>
                <c:pt idx="67">
                  <c:v>8.1218749999999998E-4</c:v>
                </c:pt>
                <c:pt idx="68">
                  <c:v>7.5355034722222219E-4</c:v>
                </c:pt>
                <c:pt idx="69">
                  <c:v>7.4049479166666664E-4</c:v>
                </c:pt>
                <c:pt idx="70">
                  <c:v>7.0024016203703698E-4</c:v>
                </c:pt>
                <c:pt idx="71">
                  <c:v>8.7254629629629629E-4</c:v>
                </c:pt>
                <c:pt idx="72">
                  <c:v>8.620746527777778E-4</c:v>
                </c:pt>
                <c:pt idx="73">
                  <c:v>8.2984375000000007E-4</c:v>
                </c:pt>
                <c:pt idx="74">
                  <c:v>7.6958333333333317E-4</c:v>
                </c:pt>
                <c:pt idx="75">
                  <c:v>7.5624999999999998E-4</c:v>
                </c:pt>
                <c:pt idx="76">
                  <c:v>7.1513888888888886E-4</c:v>
                </c:pt>
                <c:pt idx="77">
                  <c:v>8.9111111111111097E-4</c:v>
                </c:pt>
                <c:pt idx="78">
                  <c:v>8.8041666666666661E-4</c:v>
                </c:pt>
                <c:pt idx="79">
                  <c:v>8.4750000000000005E-4</c:v>
                </c:pt>
                <c:pt idx="80">
                  <c:v>7.8561631944444436E-4</c:v>
                </c:pt>
                <c:pt idx="81">
                  <c:v>7.7200520833333342E-4</c:v>
                </c:pt>
                <c:pt idx="82">
                  <c:v>7.3003761574074073E-4</c:v>
                </c:pt>
                <c:pt idx="83">
                  <c:v>9.0967592592592597E-4</c:v>
                </c:pt>
                <c:pt idx="84">
                  <c:v>8.9875868055555564E-4</c:v>
                </c:pt>
                <c:pt idx="85">
                  <c:v>8.6515625000000015E-4</c:v>
                </c:pt>
                <c:pt idx="86">
                  <c:v>8.0164930555555545E-4</c:v>
                </c:pt>
                <c:pt idx="87">
                  <c:v>7.8776041666666664E-4</c:v>
                </c:pt>
                <c:pt idx="88">
                  <c:v>7.4493634259259261E-4</c:v>
                </c:pt>
                <c:pt idx="89">
                  <c:v>9.2824074074074065E-4</c:v>
                </c:pt>
                <c:pt idx="90">
                  <c:v>9.1710069444444445E-4</c:v>
                </c:pt>
                <c:pt idx="91">
                  <c:v>8.8281250000000013E-4</c:v>
                </c:pt>
                <c:pt idx="92">
                  <c:v>8.1768229166666654E-4</c:v>
                </c:pt>
                <c:pt idx="93">
                  <c:v>8.0351562499999987E-4</c:v>
                </c:pt>
                <c:pt idx="94">
                  <c:v>7.5983506944444438E-4</c:v>
                </c:pt>
                <c:pt idx="95">
                  <c:v>9.4680555555555544E-4</c:v>
                </c:pt>
                <c:pt idx="96">
                  <c:v>9.3544270833333327E-4</c:v>
                </c:pt>
                <c:pt idx="97">
                  <c:v>9.0046875000000001E-4</c:v>
                </c:pt>
                <c:pt idx="98">
                  <c:v>7.3110416666666647E-4</c:v>
                </c:pt>
                <c:pt idx="99">
                  <c:v>7.1843749999999989E-4</c:v>
                </c:pt>
                <c:pt idx="100">
                  <c:v>6.7938194444444437E-4</c:v>
                </c:pt>
                <c:pt idx="101">
                  <c:v>8.8368518518518505E-4</c:v>
                </c:pt>
                <c:pt idx="102">
                  <c:v>8.7307986111111104E-4</c:v>
                </c:pt>
                <c:pt idx="103">
                  <c:v>8.4043750000000004E-4</c:v>
                </c:pt>
                <c:pt idx="104">
                  <c:v>8.1174305555555557E-4</c:v>
                </c:pt>
                <c:pt idx="105">
                  <c:v>8.2925347222222222E-4</c:v>
                </c:pt>
                <c:pt idx="106">
                  <c:v>8.4534027777777786E-4</c:v>
                </c:pt>
                <c:pt idx="107">
                  <c:v>8.9346759259259251E-4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56-4469-84C5-8D24DBA7559C}"/>
            </c:ext>
          </c:extLst>
        </c:ser>
        <c:ser>
          <c:idx val="10"/>
          <c:order val="1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yVal>
            <c:numRef>
              <c:f>JRP!$W$2:$W$109</c:f>
              <c:numCache>
                <c:formatCode>m:ss.00</c:formatCode>
                <c:ptCount val="108"/>
                <c:pt idx="0">
                  <c:v>2.0114583333333334E-3</c:v>
                </c:pt>
                <c:pt idx="1">
                  <c:v>1.8050925925925927E-3</c:v>
                </c:pt>
                <c:pt idx="2">
                  <c:v>1.8355468749999999E-3</c:v>
                </c:pt>
                <c:pt idx="3">
                  <c:v>1.8572916666666664E-3</c:v>
                </c:pt>
                <c:pt idx="4">
                  <c:v>1.8774739583333334E-3</c:v>
                </c:pt>
                <c:pt idx="5">
                  <c:v>2.0078124999999996E-3</c:v>
                </c:pt>
                <c:pt idx="6">
                  <c:v>2.0226562500000001E-3</c:v>
                </c:pt>
                <c:pt idx="7">
                  <c:v>2.0364583333333333E-3</c:v>
                </c:pt>
                <c:pt idx="8">
                  <c:v>1.8763368055555554E-3</c:v>
                </c:pt>
                <c:pt idx="9">
                  <c:v>1.8985648148148143E-3</c:v>
                </c:pt>
                <c:pt idx="10">
                  <c:v>1.9191956018518516E-3</c:v>
                </c:pt>
                <c:pt idx="11">
                  <c:v>2.0524305555555552E-3</c:v>
                </c:pt>
                <c:pt idx="12">
                  <c:v>2.0676041666666664E-3</c:v>
                </c:pt>
                <c:pt idx="13">
                  <c:v>2.0817129629629627E-3</c:v>
                </c:pt>
                <c:pt idx="14">
                  <c:v>1.9171267361111112E-3</c:v>
                </c:pt>
                <c:pt idx="15">
                  <c:v>1.9398379629629629E-3</c:v>
                </c:pt>
                <c:pt idx="16">
                  <c:v>1.9609172453703702E-3</c:v>
                </c:pt>
                <c:pt idx="17">
                  <c:v>2.0970486111111112E-3</c:v>
                </c:pt>
                <c:pt idx="18">
                  <c:v>2.1125520833333335E-3</c:v>
                </c:pt>
                <c:pt idx="19">
                  <c:v>2.1269675925925926E-3</c:v>
                </c:pt>
                <c:pt idx="20">
                  <c:v>1.9579166666666664E-3</c:v>
                </c:pt>
                <c:pt idx="21">
                  <c:v>1.9811111111111106E-3</c:v>
                </c:pt>
                <c:pt idx="22">
                  <c:v>2.0026388888888889E-3</c:v>
                </c:pt>
                <c:pt idx="23">
                  <c:v>2.1416666666666663E-3</c:v>
                </c:pt>
                <c:pt idx="24">
                  <c:v>2.1574999999999997E-3</c:v>
                </c:pt>
                <c:pt idx="25">
                  <c:v>2.1722222222222221E-3</c:v>
                </c:pt>
                <c:pt idx="26">
                  <c:v>1.9987065972222225E-3</c:v>
                </c:pt>
                <c:pt idx="27">
                  <c:v>2.0223842592592589E-3</c:v>
                </c:pt>
                <c:pt idx="28">
                  <c:v>2.0443605324074075E-3</c:v>
                </c:pt>
                <c:pt idx="29">
                  <c:v>2.1862847222222223E-3</c:v>
                </c:pt>
                <c:pt idx="30">
                  <c:v>2.2024479166666668E-3</c:v>
                </c:pt>
                <c:pt idx="31">
                  <c:v>2.217476851851852E-3</c:v>
                </c:pt>
                <c:pt idx="32">
                  <c:v>2.0068645833333332E-3</c:v>
                </c:pt>
                <c:pt idx="33">
                  <c:v>2.0306388888888887E-3</c:v>
                </c:pt>
                <c:pt idx="34">
                  <c:v>2.052704861111111E-3</c:v>
                </c:pt>
                <c:pt idx="35">
                  <c:v>2.1059722222222218E-3</c:v>
                </c:pt>
                <c:pt idx="36">
                  <c:v>2.1215416666666665E-3</c:v>
                </c:pt>
                <c:pt idx="37">
                  <c:v>2.1360185185185184E-3</c:v>
                </c:pt>
                <c:pt idx="38">
                  <c:v>2.0802864583333333E-3</c:v>
                </c:pt>
                <c:pt idx="39">
                  <c:v>2.1049305555555552E-3</c:v>
                </c:pt>
                <c:pt idx="40">
                  <c:v>2.1278038194444443E-3</c:v>
                </c:pt>
                <c:pt idx="41">
                  <c:v>2.275520833333333E-3</c:v>
                </c:pt>
                <c:pt idx="42">
                  <c:v>2.2923437499999997E-3</c:v>
                </c:pt>
                <c:pt idx="43">
                  <c:v>2.3079861111111109E-3</c:v>
                </c:pt>
                <c:pt idx="44">
                  <c:v>2.1210763888888889E-3</c:v>
                </c:pt>
                <c:pt idx="45">
                  <c:v>2.1462037037037036E-3</c:v>
                </c:pt>
                <c:pt idx="46">
                  <c:v>2.1695254629629629E-3</c:v>
                </c:pt>
                <c:pt idx="47">
                  <c:v>2.3201388888888889E-3</c:v>
                </c:pt>
                <c:pt idx="48">
                  <c:v>2.3372916666666668E-3</c:v>
                </c:pt>
                <c:pt idx="49">
                  <c:v>2.3532407407407408E-3</c:v>
                </c:pt>
                <c:pt idx="50">
                  <c:v>1.7668750000000002E-3</c:v>
                </c:pt>
                <c:pt idx="51">
                  <c:v>1.7496875000000002E-3</c:v>
                </c:pt>
                <c:pt idx="52">
                  <c:v>1.6964699074074076E-3</c:v>
                </c:pt>
                <c:pt idx="53">
                  <c:v>1.9440972222222223E-3</c:v>
                </c:pt>
                <c:pt idx="54">
                  <c:v>1.9321296296296298E-3</c:v>
                </c:pt>
                <c:pt idx="55">
                  <c:v>1.8950810185185186E-3</c:v>
                </c:pt>
                <c:pt idx="56">
                  <c:v>1.80703125E-3</c:v>
                </c:pt>
                <c:pt idx="57">
                  <c:v>1.789453125E-3</c:v>
                </c:pt>
                <c:pt idx="58">
                  <c:v>1.7350260416666668E-3</c:v>
                </c:pt>
                <c:pt idx="59">
                  <c:v>1.98828125E-3</c:v>
                </c:pt>
                <c:pt idx="60">
                  <c:v>1.9760416666666667E-3</c:v>
                </c:pt>
                <c:pt idx="61">
                  <c:v>1.9381510416666666E-3</c:v>
                </c:pt>
                <c:pt idx="62">
                  <c:v>1.8471874999999999E-3</c:v>
                </c:pt>
                <c:pt idx="63">
                  <c:v>1.8292187499999999E-3</c:v>
                </c:pt>
                <c:pt idx="64">
                  <c:v>1.7735821759259258E-3</c:v>
                </c:pt>
                <c:pt idx="65">
                  <c:v>2.0324652777777776E-3</c:v>
                </c:pt>
                <c:pt idx="66">
                  <c:v>2.0199537037037035E-3</c:v>
                </c:pt>
                <c:pt idx="67">
                  <c:v>1.9812210648148146E-3</c:v>
                </c:pt>
                <c:pt idx="68">
                  <c:v>1.8873437500000001E-3</c:v>
                </c:pt>
                <c:pt idx="69">
                  <c:v>1.8689843750000002E-3</c:v>
                </c:pt>
                <c:pt idx="70">
                  <c:v>1.8121383101851853E-3</c:v>
                </c:pt>
                <c:pt idx="71">
                  <c:v>2.0766493055555555E-3</c:v>
                </c:pt>
                <c:pt idx="72">
                  <c:v>2.0638657407407407E-3</c:v>
                </c:pt>
                <c:pt idx="73">
                  <c:v>2.024291087962963E-3</c:v>
                </c:pt>
                <c:pt idx="74">
                  <c:v>1.9275E-3</c:v>
                </c:pt>
                <c:pt idx="75">
                  <c:v>1.9087499999999999E-3</c:v>
                </c:pt>
                <c:pt idx="76">
                  <c:v>1.8506944444444445E-3</c:v>
                </c:pt>
                <c:pt idx="77">
                  <c:v>2.1208333333333331E-3</c:v>
                </c:pt>
                <c:pt idx="78">
                  <c:v>2.1077777777777779E-3</c:v>
                </c:pt>
                <c:pt idx="79">
                  <c:v>2.067361111111111E-3</c:v>
                </c:pt>
                <c:pt idx="80">
                  <c:v>1.9676562500000002E-3</c:v>
                </c:pt>
                <c:pt idx="81">
                  <c:v>1.9485156250000002E-3</c:v>
                </c:pt>
                <c:pt idx="82">
                  <c:v>1.889250578703704E-3</c:v>
                </c:pt>
                <c:pt idx="83">
                  <c:v>2.165017361111111E-3</c:v>
                </c:pt>
                <c:pt idx="84">
                  <c:v>2.151689814814815E-3</c:v>
                </c:pt>
                <c:pt idx="85">
                  <c:v>2.1104311342592594E-3</c:v>
                </c:pt>
                <c:pt idx="86">
                  <c:v>2.0078125E-3</c:v>
                </c:pt>
                <c:pt idx="87">
                  <c:v>1.98828125E-3</c:v>
                </c:pt>
                <c:pt idx="88">
                  <c:v>1.9278067129629632E-3</c:v>
                </c:pt>
                <c:pt idx="89">
                  <c:v>2.209201388888889E-3</c:v>
                </c:pt>
                <c:pt idx="90">
                  <c:v>2.1956018518518518E-3</c:v>
                </c:pt>
                <c:pt idx="91">
                  <c:v>2.1535011574074074E-3</c:v>
                </c:pt>
                <c:pt idx="92">
                  <c:v>2.0479687499999999E-3</c:v>
                </c:pt>
                <c:pt idx="93">
                  <c:v>2.0280468749999999E-3</c:v>
                </c:pt>
                <c:pt idx="94">
                  <c:v>1.9663628472222222E-3</c:v>
                </c:pt>
                <c:pt idx="95">
                  <c:v>2.2533854166666666E-3</c:v>
                </c:pt>
                <c:pt idx="96">
                  <c:v>2.2395138888888885E-3</c:v>
                </c:pt>
                <c:pt idx="97">
                  <c:v>2.1965711805555553E-3</c:v>
                </c:pt>
                <c:pt idx="98">
                  <c:v>1.8311249999999999E-3</c:v>
                </c:pt>
                <c:pt idx="99">
                  <c:v>1.8133124999999998E-3</c:v>
                </c:pt>
                <c:pt idx="100">
                  <c:v>1.7581597222222222E-3</c:v>
                </c:pt>
                <c:pt idx="101">
                  <c:v>2.103159722222222E-3</c:v>
                </c:pt>
                <c:pt idx="102">
                  <c:v>2.090212962962963E-3</c:v>
                </c:pt>
                <c:pt idx="103">
                  <c:v>2.0501331018518516E-3</c:v>
                </c:pt>
                <c:pt idx="104">
                  <c:v>2.0068645833333332E-3</c:v>
                </c:pt>
                <c:pt idx="105">
                  <c:v>2.0306388888888887E-3</c:v>
                </c:pt>
                <c:pt idx="106">
                  <c:v>2.052704861111111E-3</c:v>
                </c:pt>
                <c:pt idx="107">
                  <c:v>2.1059722222222218E-3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A56-4469-84C5-8D24DBA7559C}"/>
            </c:ext>
          </c:extLst>
        </c:ser>
        <c:ser>
          <c:idx val="11"/>
          <c:order val="1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yVal>
            <c:numRef>
              <c:f>JRP!$X$2:$X$109</c:f>
              <c:numCache>
                <c:formatCode>m:ss.00</c:formatCode>
                <c:ptCount val="108"/>
                <c:pt idx="0">
                  <c:v>1.8332175925925925E-3</c:v>
                </c:pt>
                <c:pt idx="1">
                  <c:v>1.7003472222222222E-3</c:v>
                </c:pt>
                <c:pt idx="2">
                  <c:v>1.6794270833333331E-3</c:v>
                </c:pt>
                <c:pt idx="3">
                  <c:v>1.69921875E-3</c:v>
                </c:pt>
                <c:pt idx="4">
                  <c:v>1.7174479166666668E-3</c:v>
                </c:pt>
                <c:pt idx="5">
                  <c:v>1.8236979166666666E-3</c:v>
                </c:pt>
                <c:pt idx="6">
                  <c:v>1.8305989583333334E-3</c:v>
                </c:pt>
                <c:pt idx="7">
                  <c:v>1.8369791666666664E-3</c:v>
                </c:pt>
                <c:pt idx="8">
                  <c:v>1.7167476851851849E-3</c:v>
                </c:pt>
                <c:pt idx="9">
                  <c:v>1.7369791666666664E-3</c:v>
                </c:pt>
                <c:pt idx="10">
                  <c:v>1.7556134259259259E-3</c:v>
                </c:pt>
                <c:pt idx="11">
                  <c:v>1.8642245370370368E-3</c:v>
                </c:pt>
                <c:pt idx="12">
                  <c:v>1.871278935185185E-3</c:v>
                </c:pt>
                <c:pt idx="13">
                  <c:v>1.8778009259259256E-3</c:v>
                </c:pt>
                <c:pt idx="14">
                  <c:v>1.7540682870370368E-3</c:v>
                </c:pt>
                <c:pt idx="15">
                  <c:v>1.7747395833333335E-3</c:v>
                </c:pt>
                <c:pt idx="16">
                  <c:v>1.7937789351851854E-3</c:v>
                </c:pt>
                <c:pt idx="17">
                  <c:v>1.9047511574074075E-3</c:v>
                </c:pt>
                <c:pt idx="18">
                  <c:v>1.9119589120370371E-3</c:v>
                </c:pt>
                <c:pt idx="19">
                  <c:v>1.9186226851851851E-3</c:v>
                </c:pt>
                <c:pt idx="20">
                  <c:v>1.7913888888888886E-3</c:v>
                </c:pt>
                <c:pt idx="21">
                  <c:v>1.8124999999999999E-3</c:v>
                </c:pt>
                <c:pt idx="22">
                  <c:v>1.8319444444444444E-3</c:v>
                </c:pt>
                <c:pt idx="23">
                  <c:v>1.9452777777777775E-3</c:v>
                </c:pt>
                <c:pt idx="24">
                  <c:v>1.9526388888888887E-3</c:v>
                </c:pt>
                <c:pt idx="25">
                  <c:v>1.9594444444444442E-3</c:v>
                </c:pt>
                <c:pt idx="26">
                  <c:v>1.8287094907407408E-3</c:v>
                </c:pt>
                <c:pt idx="27">
                  <c:v>1.8502604166666667E-3</c:v>
                </c:pt>
                <c:pt idx="28">
                  <c:v>1.8701099537037039E-3</c:v>
                </c:pt>
                <c:pt idx="29">
                  <c:v>1.9858043981481484E-3</c:v>
                </c:pt>
                <c:pt idx="30">
                  <c:v>1.9933188657407408E-3</c:v>
                </c:pt>
                <c:pt idx="31">
                  <c:v>2.0002662037037038E-3</c:v>
                </c:pt>
                <c:pt idx="32">
                  <c:v>1.8361736111111109E-3</c:v>
                </c:pt>
                <c:pt idx="33">
                  <c:v>1.8578124999999999E-3</c:v>
                </c:pt>
                <c:pt idx="34">
                  <c:v>1.8777430555555557E-3</c:v>
                </c:pt>
                <c:pt idx="35">
                  <c:v>1.9128564814814813E-3</c:v>
                </c:pt>
                <c:pt idx="36">
                  <c:v>1.9200949074074073E-3</c:v>
                </c:pt>
                <c:pt idx="37">
                  <c:v>1.9267870370370367E-3</c:v>
                </c:pt>
                <c:pt idx="38">
                  <c:v>1.9033506944444441E-3</c:v>
                </c:pt>
                <c:pt idx="39">
                  <c:v>1.9257812499999998E-3</c:v>
                </c:pt>
                <c:pt idx="40">
                  <c:v>1.9464409722222222E-3</c:v>
                </c:pt>
                <c:pt idx="41">
                  <c:v>2.0668576388888885E-3</c:v>
                </c:pt>
                <c:pt idx="42">
                  <c:v>2.0746788194444445E-3</c:v>
                </c:pt>
                <c:pt idx="43">
                  <c:v>2.081909722222222E-3</c:v>
                </c:pt>
                <c:pt idx="44">
                  <c:v>1.9406712962962962E-3</c:v>
                </c:pt>
                <c:pt idx="45">
                  <c:v>1.9635416666666668E-3</c:v>
                </c:pt>
                <c:pt idx="46">
                  <c:v>1.9846064814814817E-3</c:v>
                </c:pt>
                <c:pt idx="47">
                  <c:v>2.1073842592592594E-3</c:v>
                </c:pt>
                <c:pt idx="48">
                  <c:v>2.1153587962962966E-3</c:v>
                </c:pt>
                <c:pt idx="49">
                  <c:v>2.1227314814814815E-3</c:v>
                </c:pt>
                <c:pt idx="50">
                  <c:v>1.6167708333333333E-3</c:v>
                </c:pt>
                <c:pt idx="51">
                  <c:v>1.6011111111111113E-3</c:v>
                </c:pt>
                <c:pt idx="52">
                  <c:v>1.5527314814814815E-3</c:v>
                </c:pt>
                <c:pt idx="53">
                  <c:v>1.7742592592592597E-3</c:v>
                </c:pt>
                <c:pt idx="54">
                  <c:v>1.7686574074074078E-3</c:v>
                </c:pt>
                <c:pt idx="55">
                  <c:v>1.751087962962963E-3</c:v>
                </c:pt>
                <c:pt idx="56">
                  <c:v>1.6535156249999998E-3</c:v>
                </c:pt>
                <c:pt idx="57">
                  <c:v>1.6375000000000001E-3</c:v>
                </c:pt>
                <c:pt idx="58">
                  <c:v>1.5880208333333332E-3</c:v>
                </c:pt>
                <c:pt idx="59">
                  <c:v>1.8145833333333336E-3</c:v>
                </c:pt>
                <c:pt idx="60">
                  <c:v>1.8088541666666669E-3</c:v>
                </c:pt>
                <c:pt idx="61">
                  <c:v>1.7908854166666665E-3</c:v>
                </c:pt>
                <c:pt idx="62">
                  <c:v>1.6902604166666663E-3</c:v>
                </c:pt>
                <c:pt idx="63">
                  <c:v>1.6738888888888888E-3</c:v>
                </c:pt>
                <c:pt idx="64">
                  <c:v>1.6233101851851849E-3</c:v>
                </c:pt>
                <c:pt idx="65">
                  <c:v>1.8549074074074075E-3</c:v>
                </c:pt>
                <c:pt idx="66">
                  <c:v>1.8490509259259261E-3</c:v>
                </c:pt>
                <c:pt idx="67">
                  <c:v>1.8306828703703701E-3</c:v>
                </c:pt>
                <c:pt idx="68">
                  <c:v>1.7270052083333332E-3</c:v>
                </c:pt>
                <c:pt idx="69">
                  <c:v>1.710277777777778E-3</c:v>
                </c:pt>
                <c:pt idx="70">
                  <c:v>1.658599537037037E-3</c:v>
                </c:pt>
                <c:pt idx="71">
                  <c:v>1.8952314814814819E-3</c:v>
                </c:pt>
                <c:pt idx="72">
                  <c:v>1.8892476851851856E-3</c:v>
                </c:pt>
                <c:pt idx="73">
                  <c:v>1.8704803240740741E-3</c:v>
                </c:pt>
                <c:pt idx="74">
                  <c:v>1.7637499999999997E-3</c:v>
                </c:pt>
                <c:pt idx="75">
                  <c:v>1.7466666666666668E-3</c:v>
                </c:pt>
                <c:pt idx="76">
                  <c:v>1.6938888888888887E-3</c:v>
                </c:pt>
                <c:pt idx="77">
                  <c:v>1.9355555555555558E-3</c:v>
                </c:pt>
                <c:pt idx="78">
                  <c:v>1.9294444444444446E-3</c:v>
                </c:pt>
                <c:pt idx="79">
                  <c:v>1.9102777777777777E-3</c:v>
                </c:pt>
                <c:pt idx="80">
                  <c:v>1.8004947916666666E-3</c:v>
                </c:pt>
                <c:pt idx="81">
                  <c:v>1.7830555555555557E-3</c:v>
                </c:pt>
                <c:pt idx="82">
                  <c:v>1.7291782407407408E-3</c:v>
                </c:pt>
                <c:pt idx="83">
                  <c:v>1.9758796296296299E-3</c:v>
                </c:pt>
                <c:pt idx="84">
                  <c:v>1.9696412037037044E-3</c:v>
                </c:pt>
                <c:pt idx="85">
                  <c:v>1.9500752314814815E-3</c:v>
                </c:pt>
                <c:pt idx="86">
                  <c:v>1.8372395833333331E-3</c:v>
                </c:pt>
                <c:pt idx="87">
                  <c:v>1.8194444444444445E-3</c:v>
                </c:pt>
                <c:pt idx="88">
                  <c:v>1.7644675925925924E-3</c:v>
                </c:pt>
                <c:pt idx="89">
                  <c:v>2.0162037037037041E-3</c:v>
                </c:pt>
                <c:pt idx="90">
                  <c:v>2.0098379629629633E-3</c:v>
                </c:pt>
                <c:pt idx="91">
                  <c:v>1.9898726851851852E-3</c:v>
                </c:pt>
                <c:pt idx="92">
                  <c:v>1.8739843749999998E-3</c:v>
                </c:pt>
                <c:pt idx="93">
                  <c:v>1.8558333333333332E-3</c:v>
                </c:pt>
                <c:pt idx="94">
                  <c:v>1.7997569444444441E-3</c:v>
                </c:pt>
                <c:pt idx="95">
                  <c:v>2.0565277777777778E-3</c:v>
                </c:pt>
                <c:pt idx="96">
                  <c:v>2.0500347222222222E-3</c:v>
                </c:pt>
                <c:pt idx="97">
                  <c:v>2.0296701388888886E-3</c:v>
                </c:pt>
                <c:pt idx="98">
                  <c:v>1.6755624999999998E-3</c:v>
                </c:pt>
                <c:pt idx="99">
                  <c:v>1.6593333333333332E-3</c:v>
                </c:pt>
                <c:pt idx="100">
                  <c:v>1.6091944444444441E-3</c:v>
                </c:pt>
                <c:pt idx="101">
                  <c:v>1.9194259259259262E-3</c:v>
                </c:pt>
                <c:pt idx="102">
                  <c:v>1.9133657407407409E-3</c:v>
                </c:pt>
                <c:pt idx="103">
                  <c:v>1.8943587962962961E-3</c:v>
                </c:pt>
                <c:pt idx="104">
                  <c:v>1.8361736111111109E-3</c:v>
                </c:pt>
                <c:pt idx="105">
                  <c:v>1.8578124999999999E-3</c:v>
                </c:pt>
                <c:pt idx="106">
                  <c:v>1.8777430555555557E-3</c:v>
                </c:pt>
                <c:pt idx="107">
                  <c:v>1.9128564814814813E-3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A56-4469-84C5-8D24DBA75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1692623"/>
        <c:axId val="1891693103"/>
      </c:scatterChart>
      <c:valAx>
        <c:axId val="1891692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:ss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91693103"/>
        <c:crosses val="autoZero"/>
        <c:crossBetween val="midCat"/>
      </c:valAx>
      <c:valAx>
        <c:axId val="189169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:ss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91692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1246837</xdr:colOff>
      <xdr:row>111</xdr:row>
      <xdr:rowOff>104978</xdr:rowOff>
    </xdr:from>
    <xdr:to>
      <xdr:col>26</xdr:col>
      <xdr:colOff>169627</xdr:colOff>
      <xdr:row>149</xdr:row>
      <xdr:rowOff>161377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6854EA7-6173-CEF4-E0AB-5AE78275A7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11" totalsRowShown="0" headerRowDxfId="43" dataDxfId="42">
  <autoFilter ref="A1:X111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220</v>
      </c>
      <c r="F2" s="59" t="s">
        <v>221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220</v>
      </c>
      <c r="F3" s="59" t="s">
        <v>221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217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218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11"/>
  <sheetViews>
    <sheetView tabSelected="1" topLeftCell="A91" zoomScale="101" workbookViewId="0">
      <selection activeCell="A111" sqref="A111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255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256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253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4.1197916666666667E-4</v>
      </c>
      <c r="N4" s="62">
        <v>6.5169270833333333E-4</v>
      </c>
      <c r="O4" s="62">
        <v>8.8528645833333319E-4</v>
      </c>
      <c r="P4" s="62">
        <v>7.4244791666666665E-4</v>
      </c>
      <c r="Q4" s="62">
        <v>1.8355468749999999E-3</v>
      </c>
      <c r="R4" s="62">
        <v>1.6794270833333331E-3</v>
      </c>
      <c r="S4" s="62">
        <v>4.1197916666666667E-4</v>
      </c>
      <c r="T4" s="62">
        <v>6.5169270833333333E-4</v>
      </c>
      <c r="U4" s="62">
        <v>8.8528645833333319E-4</v>
      </c>
      <c r="V4" s="62">
        <v>7.4244791666666665E-4</v>
      </c>
      <c r="W4" s="62">
        <v>1.8355468749999999E-3</v>
      </c>
      <c r="X4" s="62">
        <v>1.6794270833333331E-3</v>
      </c>
    </row>
    <row r="5" spans="1:24" x14ac:dyDescent="0.45">
      <c r="A5" s="59" t="s">
        <v>253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4.1653645833333332E-4</v>
      </c>
      <c r="N5" s="62">
        <v>6.5807291666666672E-4</v>
      </c>
      <c r="O5" s="62">
        <v>8.981770833333334E-4</v>
      </c>
      <c r="P5" s="62">
        <v>7.5846354166666673E-4</v>
      </c>
      <c r="Q5" s="62">
        <v>1.8572916666666664E-3</v>
      </c>
      <c r="R5" s="62">
        <v>1.69921875E-3</v>
      </c>
      <c r="S5" s="62">
        <v>4.1653645833333332E-4</v>
      </c>
      <c r="T5" s="62">
        <v>6.5807291666666672E-4</v>
      </c>
      <c r="U5" s="62">
        <v>8.981770833333334E-4</v>
      </c>
      <c r="V5" s="62">
        <v>7.5846354166666673E-4</v>
      </c>
      <c r="W5" s="62">
        <v>1.8572916666666664E-3</v>
      </c>
      <c r="X5" s="62">
        <v>1.69921875E-3</v>
      </c>
    </row>
    <row r="6" spans="1:24" x14ac:dyDescent="0.45">
      <c r="A6" s="59" t="s">
        <v>253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4.2057291666666664E-4</v>
      </c>
      <c r="N6" s="62">
        <v>6.6406250000000005E-4</v>
      </c>
      <c r="O6" s="62">
        <v>9.1015625000000016E-4</v>
      </c>
      <c r="P6" s="62">
        <v>7.731770833333334E-4</v>
      </c>
      <c r="Q6" s="62">
        <v>1.8774739583333334E-3</v>
      </c>
      <c r="R6" s="62">
        <v>1.7174479166666668E-3</v>
      </c>
      <c r="S6" s="62">
        <v>4.2057291666666664E-4</v>
      </c>
      <c r="T6" s="62">
        <v>6.6406250000000005E-4</v>
      </c>
      <c r="U6" s="62">
        <v>9.1015625000000016E-4</v>
      </c>
      <c r="V6" s="62">
        <v>7.731770833333334E-4</v>
      </c>
      <c r="W6" s="62">
        <v>1.8774739583333334E-3</v>
      </c>
      <c r="X6" s="62">
        <v>1.7174479166666668E-3</v>
      </c>
    </row>
    <row r="7" spans="1:24" x14ac:dyDescent="0.45">
      <c r="A7" s="59" t="s">
        <v>254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5.096354166666667E-4</v>
      </c>
      <c r="N7" s="62">
        <v>7.6692708333333333E-4</v>
      </c>
      <c r="O7" s="62">
        <v>1.0372395833333334E-3</v>
      </c>
      <c r="P7" s="62">
        <v>8.5182291666666664E-4</v>
      </c>
      <c r="Q7" s="62">
        <v>2.0078124999999996E-3</v>
      </c>
      <c r="R7" s="62">
        <v>1.8236979166666666E-3</v>
      </c>
      <c r="S7" s="62">
        <v>5.096354166666667E-4</v>
      </c>
      <c r="T7" s="62">
        <v>7.6692708333333333E-4</v>
      </c>
      <c r="U7" s="62">
        <v>1.0372395833333334E-3</v>
      </c>
      <c r="V7" s="62">
        <v>8.5182291666666664E-4</v>
      </c>
      <c r="W7" s="62">
        <v>2.0078124999999996E-3</v>
      </c>
      <c r="X7" s="62">
        <v>1.8236979166666666E-3</v>
      </c>
    </row>
    <row r="8" spans="1:24" x14ac:dyDescent="0.45">
      <c r="A8" s="59" t="s">
        <v>254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v>5.1992187499999998E-4</v>
      </c>
      <c r="N8" s="62">
        <v>7.7565104166666668E-4</v>
      </c>
      <c r="O8" s="62">
        <v>1.0558593750000002E-3</v>
      </c>
      <c r="P8" s="62">
        <v>8.6432291666666656E-4</v>
      </c>
      <c r="Q8" s="62">
        <v>2.0226562500000001E-3</v>
      </c>
      <c r="R8" s="62">
        <v>1.8305989583333334E-3</v>
      </c>
      <c r="S8" s="62">
        <v>5.1992187499999998E-4</v>
      </c>
      <c r="T8" s="62">
        <v>7.7565104166666668E-4</v>
      </c>
      <c r="U8" s="62">
        <v>1.0558593750000002E-3</v>
      </c>
      <c r="V8" s="62">
        <v>8.6432291666666656E-4</v>
      </c>
      <c r="W8" s="62">
        <v>2.0226562500000001E-3</v>
      </c>
      <c r="X8" s="62">
        <v>1.8305989583333334E-3</v>
      </c>
    </row>
    <row r="9" spans="1:24" x14ac:dyDescent="0.45">
      <c r="A9" s="59" t="s">
        <v>254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v>5.2968749999999999E-4</v>
      </c>
      <c r="N9" s="62">
        <v>7.8372395833333332E-4</v>
      </c>
      <c r="O9" s="62">
        <v>1.073046875E-3</v>
      </c>
      <c r="P9" s="62">
        <v>8.7578125000000004E-4</v>
      </c>
      <c r="Q9" s="62">
        <v>2.0364583333333333E-3</v>
      </c>
      <c r="R9" s="62">
        <v>1.8369791666666664E-3</v>
      </c>
      <c r="S9" s="62">
        <v>5.2968749999999999E-4</v>
      </c>
      <c r="T9" s="62">
        <v>7.8372395833333332E-4</v>
      </c>
      <c r="U9" s="62">
        <v>1.073046875E-3</v>
      </c>
      <c r="V9" s="62">
        <v>8.7578125000000004E-4</v>
      </c>
      <c r="W9" s="62">
        <v>2.0364583333333333E-3</v>
      </c>
      <c r="X9" s="62">
        <v>1.8369791666666664E-3</v>
      </c>
    </row>
    <row r="10" spans="1:24" x14ac:dyDescent="0.45">
      <c r="A10" s="59" t="s">
        <v>251</v>
      </c>
      <c r="B10" s="59" t="s">
        <v>182</v>
      </c>
      <c r="C10" s="59">
        <v>18</v>
      </c>
      <c r="D10" s="59">
        <v>18</v>
      </c>
      <c r="E10" s="61">
        <v>45658</v>
      </c>
      <c r="F10" s="61">
        <v>46023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4.2113425925925923E-4</v>
      </c>
      <c r="N10" s="62">
        <v>6.6617476851851842E-4</v>
      </c>
      <c r="O10" s="62">
        <v>9.0495949074074057E-4</v>
      </c>
      <c r="P10" s="62">
        <v>7.5894675925925923E-4</v>
      </c>
      <c r="Q10" s="62">
        <v>1.8763368055555554E-3</v>
      </c>
      <c r="R10" s="62">
        <v>1.7167476851851849E-3</v>
      </c>
      <c r="S10" s="62">
        <v>4.2113425925925923E-4</v>
      </c>
      <c r="T10" s="62">
        <v>6.6617476851851842E-4</v>
      </c>
      <c r="U10" s="62">
        <v>9.0495949074074057E-4</v>
      </c>
      <c r="V10" s="62">
        <v>7.5894675925925923E-4</v>
      </c>
      <c r="W10" s="62">
        <v>1.8763368055555554E-3</v>
      </c>
      <c r="X10" s="62">
        <v>1.7167476851851849E-3</v>
      </c>
    </row>
    <row r="11" spans="1:24" x14ac:dyDescent="0.45">
      <c r="A11" s="59" t="s">
        <v>251</v>
      </c>
      <c r="B11" s="59" t="s">
        <v>182</v>
      </c>
      <c r="C11" s="59">
        <v>17</v>
      </c>
      <c r="D11" s="59">
        <v>17</v>
      </c>
      <c r="E11" s="61">
        <v>45658</v>
      </c>
      <c r="F11" s="61">
        <v>46023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4.2579282407407404E-4</v>
      </c>
      <c r="N11" s="62">
        <v>6.7269675925925928E-4</v>
      </c>
      <c r="O11" s="62">
        <v>9.1813657407407404E-4</v>
      </c>
      <c r="P11" s="62">
        <v>7.7531828703703703E-4</v>
      </c>
      <c r="Q11" s="62">
        <v>1.8985648148148143E-3</v>
      </c>
      <c r="R11" s="62">
        <v>1.7369791666666664E-3</v>
      </c>
      <c r="S11" s="62">
        <v>4.2579282407407404E-4</v>
      </c>
      <c r="T11" s="62">
        <v>6.7269675925925928E-4</v>
      </c>
      <c r="U11" s="62">
        <v>9.1813657407407404E-4</v>
      </c>
      <c r="V11" s="62">
        <v>7.7531828703703703E-4</v>
      </c>
      <c r="W11" s="62">
        <v>1.8985648148148143E-3</v>
      </c>
      <c r="X11" s="62">
        <v>1.7369791666666664E-3</v>
      </c>
    </row>
    <row r="12" spans="1:24" x14ac:dyDescent="0.45">
      <c r="A12" s="59" t="s">
        <v>251</v>
      </c>
      <c r="B12" s="59" t="s">
        <v>182</v>
      </c>
      <c r="C12" s="59">
        <v>14</v>
      </c>
      <c r="D12" s="59">
        <v>16</v>
      </c>
      <c r="E12" s="61">
        <v>45658</v>
      </c>
      <c r="F12" s="61">
        <v>46023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4.2991898148148143E-4</v>
      </c>
      <c r="N12" s="62">
        <v>6.7881944444444435E-4</v>
      </c>
      <c r="O12" s="62">
        <v>9.3038194444444451E-4</v>
      </c>
      <c r="P12" s="62">
        <v>7.9035879629629627E-4</v>
      </c>
      <c r="Q12" s="62">
        <v>1.9191956018518516E-3</v>
      </c>
      <c r="R12" s="62">
        <v>1.7556134259259259E-3</v>
      </c>
      <c r="S12" s="62">
        <v>4.2991898148148143E-4</v>
      </c>
      <c r="T12" s="62">
        <v>6.7881944444444435E-4</v>
      </c>
      <c r="U12" s="62">
        <v>9.3038194444444451E-4</v>
      </c>
      <c r="V12" s="62">
        <v>7.9035879629629627E-4</v>
      </c>
      <c r="W12" s="62">
        <v>1.9191956018518516E-3</v>
      </c>
      <c r="X12" s="62">
        <v>1.7556134259259259E-3</v>
      </c>
    </row>
    <row r="13" spans="1:24" x14ac:dyDescent="0.45">
      <c r="A13" s="59" t="s">
        <v>252</v>
      </c>
      <c r="B13" s="59" t="s">
        <v>164</v>
      </c>
      <c r="C13" s="59">
        <v>18</v>
      </c>
      <c r="D13" s="59">
        <v>18</v>
      </c>
      <c r="E13" s="61">
        <v>45658</v>
      </c>
      <c r="F13" s="61">
        <v>46023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5.2096064814814811E-4</v>
      </c>
      <c r="N13" s="62">
        <v>7.8396990740740738E-4</v>
      </c>
      <c r="O13" s="62">
        <v>1.0602893518518518E-3</v>
      </c>
      <c r="P13" s="62">
        <v>8.7075231481481476E-4</v>
      </c>
      <c r="Q13" s="62">
        <v>2.0524305555555552E-3</v>
      </c>
      <c r="R13" s="62">
        <v>1.8642245370370368E-3</v>
      </c>
      <c r="S13" s="62">
        <v>5.2096064814814811E-4</v>
      </c>
      <c r="T13" s="62">
        <v>7.8396990740740738E-4</v>
      </c>
      <c r="U13" s="62">
        <v>1.0602893518518518E-3</v>
      </c>
      <c r="V13" s="62">
        <v>8.7075231481481476E-4</v>
      </c>
      <c r="W13" s="62">
        <v>2.0524305555555552E-3</v>
      </c>
      <c r="X13" s="62">
        <v>1.8642245370370368E-3</v>
      </c>
    </row>
    <row r="14" spans="1:24" x14ac:dyDescent="0.45">
      <c r="A14" s="59" t="s">
        <v>252</v>
      </c>
      <c r="B14" s="59" t="s">
        <v>164</v>
      </c>
      <c r="C14" s="59">
        <v>17</v>
      </c>
      <c r="D14" s="59">
        <v>17</v>
      </c>
      <c r="E14" s="61">
        <v>45658</v>
      </c>
      <c r="F14" s="61">
        <v>46023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5.3147569444444444E-4</v>
      </c>
      <c r="N14" s="62">
        <v>7.9288773148148144E-4</v>
      </c>
      <c r="O14" s="62">
        <v>1.0793229166666666E-3</v>
      </c>
      <c r="P14" s="62">
        <v>8.8353009259259244E-4</v>
      </c>
      <c r="Q14" s="62">
        <v>2.0676041666666664E-3</v>
      </c>
      <c r="R14" s="62">
        <v>1.871278935185185E-3</v>
      </c>
      <c r="S14" s="62">
        <v>5.3147569444444444E-4</v>
      </c>
      <c r="T14" s="62">
        <v>7.9288773148148144E-4</v>
      </c>
      <c r="U14" s="62">
        <v>1.0793229166666666E-3</v>
      </c>
      <c r="V14" s="62">
        <v>8.8353009259259244E-4</v>
      </c>
      <c r="W14" s="62">
        <v>2.0676041666666664E-3</v>
      </c>
      <c r="X14" s="62">
        <v>1.871278935185185E-3</v>
      </c>
    </row>
    <row r="15" spans="1:24" x14ac:dyDescent="0.45">
      <c r="A15" s="59" t="s">
        <v>252</v>
      </c>
      <c r="B15" s="59" t="s">
        <v>164</v>
      </c>
      <c r="C15" s="59">
        <v>14</v>
      </c>
      <c r="D15" s="59">
        <v>16</v>
      </c>
      <c r="E15" s="61">
        <v>45658</v>
      </c>
      <c r="F15" s="61">
        <v>46023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5.4145833333333324E-4</v>
      </c>
      <c r="N15" s="62">
        <v>8.0114004629629621E-4</v>
      </c>
      <c r="O15" s="62">
        <v>1.096892361111111E-3</v>
      </c>
      <c r="P15" s="62">
        <v>8.9524305555555559E-4</v>
      </c>
      <c r="Q15" s="62">
        <v>2.0817129629629627E-3</v>
      </c>
      <c r="R15" s="62">
        <v>1.8778009259259256E-3</v>
      </c>
      <c r="S15" s="62">
        <v>5.4145833333333324E-4</v>
      </c>
      <c r="T15" s="62">
        <v>8.0114004629629621E-4</v>
      </c>
      <c r="U15" s="62">
        <v>1.096892361111111E-3</v>
      </c>
      <c r="V15" s="62">
        <v>8.9524305555555559E-4</v>
      </c>
      <c r="W15" s="62">
        <v>2.0817129629629627E-3</v>
      </c>
      <c r="X15" s="62">
        <v>1.8778009259259256E-3</v>
      </c>
    </row>
    <row r="16" spans="1:24" x14ac:dyDescent="0.45">
      <c r="A16" s="59" t="s">
        <v>250</v>
      </c>
      <c r="B16" s="59" t="s">
        <v>182</v>
      </c>
      <c r="C16" s="59">
        <v>18</v>
      </c>
      <c r="D16" s="59">
        <v>18</v>
      </c>
      <c r="E16" s="61">
        <v>45658</v>
      </c>
      <c r="F16" s="61">
        <v>46023</v>
      </c>
      <c r="G16" s="61">
        <v>45658</v>
      </c>
      <c r="H16" s="59" t="s">
        <v>178</v>
      </c>
      <c r="I16" s="59" t="s">
        <v>180</v>
      </c>
      <c r="J16" s="59"/>
      <c r="K16" s="59"/>
      <c r="L16" s="59">
        <v>10</v>
      </c>
      <c r="M16" s="62">
        <v>4.3028935185185189E-4</v>
      </c>
      <c r="N16" s="62">
        <v>6.8065682870370372E-4</v>
      </c>
      <c r="O16" s="62">
        <v>9.2463252314814806E-4</v>
      </c>
      <c r="P16" s="62">
        <v>7.7544560185185192E-4</v>
      </c>
      <c r="Q16" s="62">
        <v>1.9171267361111112E-3</v>
      </c>
      <c r="R16" s="62">
        <v>1.7540682870370368E-3</v>
      </c>
      <c r="S16" s="62">
        <v>4.3028935185185189E-4</v>
      </c>
      <c r="T16" s="62">
        <v>6.8065682870370372E-4</v>
      </c>
      <c r="U16" s="62">
        <v>9.2463252314814806E-4</v>
      </c>
      <c r="V16" s="62">
        <v>7.7544560185185192E-4</v>
      </c>
      <c r="W16" s="62">
        <v>1.9171267361111112E-3</v>
      </c>
      <c r="X16" s="62">
        <v>1.7540682870370368E-3</v>
      </c>
    </row>
    <row r="17" spans="1:24" x14ac:dyDescent="0.45">
      <c r="A17" s="59" t="s">
        <v>250</v>
      </c>
      <c r="B17" s="59" t="s">
        <v>182</v>
      </c>
      <c r="C17" s="59">
        <v>17</v>
      </c>
      <c r="D17" s="59">
        <v>17</v>
      </c>
      <c r="E17" s="61">
        <v>45658</v>
      </c>
      <c r="F17" s="61">
        <v>46023</v>
      </c>
      <c r="G17" s="61">
        <v>45658</v>
      </c>
      <c r="H17" s="59" t="s">
        <v>178</v>
      </c>
      <c r="I17" s="59" t="s">
        <v>180</v>
      </c>
      <c r="J17" s="59"/>
      <c r="K17" s="59"/>
      <c r="L17" s="59">
        <v>10</v>
      </c>
      <c r="M17" s="62">
        <v>4.3504918981481481E-4</v>
      </c>
      <c r="N17" s="62">
        <v>6.8732060185185194E-4</v>
      </c>
      <c r="O17" s="62">
        <v>9.3809606481481489E-4</v>
      </c>
      <c r="P17" s="62">
        <v>7.9217303240740745E-4</v>
      </c>
      <c r="Q17" s="62">
        <v>1.9398379629629629E-3</v>
      </c>
      <c r="R17" s="62">
        <v>1.7747395833333335E-3</v>
      </c>
      <c r="S17" s="62">
        <v>4.3504918981481481E-4</v>
      </c>
      <c r="T17" s="62">
        <v>6.8732060185185194E-4</v>
      </c>
      <c r="U17" s="62">
        <v>9.3809606481481489E-4</v>
      </c>
      <c r="V17" s="62">
        <v>7.9217303240740745E-4</v>
      </c>
      <c r="W17" s="62">
        <v>1.9398379629629629E-3</v>
      </c>
      <c r="X17" s="62">
        <v>1.7747395833333335E-3</v>
      </c>
    </row>
    <row r="18" spans="1:24" x14ac:dyDescent="0.45">
      <c r="A18" s="59" t="s">
        <v>250</v>
      </c>
      <c r="B18" s="59" t="s">
        <v>182</v>
      </c>
      <c r="C18" s="59">
        <v>14</v>
      </c>
      <c r="D18" s="59">
        <v>16</v>
      </c>
      <c r="E18" s="61">
        <v>45658</v>
      </c>
      <c r="F18" s="61">
        <v>46023</v>
      </c>
      <c r="G18" s="61">
        <v>45658</v>
      </c>
      <c r="H18" s="59" t="s">
        <v>178</v>
      </c>
      <c r="I18" s="59" t="s">
        <v>180</v>
      </c>
      <c r="J18" s="59"/>
      <c r="K18" s="59"/>
      <c r="L18" s="59">
        <v>10</v>
      </c>
      <c r="M18" s="62">
        <v>4.3926504629629627E-4</v>
      </c>
      <c r="N18" s="62">
        <v>6.9357638888888897E-4</v>
      </c>
      <c r="O18" s="62">
        <v>9.5060763888888907E-4</v>
      </c>
      <c r="P18" s="62">
        <v>8.0754050925925937E-4</v>
      </c>
      <c r="Q18" s="62">
        <v>1.9609172453703702E-3</v>
      </c>
      <c r="R18" s="62">
        <v>1.7937789351851854E-3</v>
      </c>
      <c r="S18" s="62">
        <v>4.3926504629629627E-4</v>
      </c>
      <c r="T18" s="62">
        <v>6.9357638888888897E-4</v>
      </c>
      <c r="U18" s="62">
        <v>9.5060763888888907E-4</v>
      </c>
      <c r="V18" s="62">
        <v>8.0754050925925937E-4</v>
      </c>
      <c r="W18" s="62">
        <v>1.9609172453703702E-3</v>
      </c>
      <c r="X18" s="62">
        <v>1.7937789351851854E-3</v>
      </c>
    </row>
    <row r="19" spans="1:24" x14ac:dyDescent="0.45">
      <c r="A19" s="59" t="s">
        <v>249</v>
      </c>
      <c r="B19" s="59" t="s">
        <v>164</v>
      </c>
      <c r="C19" s="59">
        <v>18</v>
      </c>
      <c r="D19" s="59">
        <v>18</v>
      </c>
      <c r="E19" s="61">
        <v>45658</v>
      </c>
      <c r="F19" s="61">
        <v>46023</v>
      </c>
      <c r="G19" s="61">
        <v>45658</v>
      </c>
      <c r="H19" s="59" t="s">
        <v>178</v>
      </c>
      <c r="I19" s="59" t="s">
        <v>180</v>
      </c>
      <c r="J19" s="59"/>
      <c r="K19" s="59"/>
      <c r="L19" s="59">
        <v>10</v>
      </c>
      <c r="M19" s="62">
        <v>5.3228587962962962E-4</v>
      </c>
      <c r="N19" s="62">
        <v>8.0101273148148154E-4</v>
      </c>
      <c r="O19" s="62">
        <v>1.0833391203703704E-3</v>
      </c>
      <c r="P19" s="62">
        <v>8.89681712962963E-4</v>
      </c>
      <c r="Q19" s="62">
        <v>2.0970486111111112E-3</v>
      </c>
      <c r="R19" s="62">
        <v>1.9047511574074075E-3</v>
      </c>
      <c r="S19" s="62">
        <v>5.3228587962962962E-4</v>
      </c>
      <c r="T19" s="62">
        <v>8.0101273148148154E-4</v>
      </c>
      <c r="U19" s="62">
        <v>1.0833391203703704E-3</v>
      </c>
      <c r="V19" s="62">
        <v>8.89681712962963E-4</v>
      </c>
      <c r="W19" s="62">
        <v>2.0970486111111112E-3</v>
      </c>
      <c r="X19" s="62">
        <v>1.9047511574074075E-3</v>
      </c>
    </row>
    <row r="20" spans="1:24" x14ac:dyDescent="0.45">
      <c r="A20" s="59" t="s">
        <v>249</v>
      </c>
      <c r="B20" s="59" t="s">
        <v>164</v>
      </c>
      <c r="C20" s="59">
        <v>17</v>
      </c>
      <c r="D20" s="59">
        <v>17</v>
      </c>
      <c r="E20" s="61">
        <v>45658</v>
      </c>
      <c r="F20" s="61">
        <v>46023</v>
      </c>
      <c r="G20" s="61">
        <v>45658</v>
      </c>
      <c r="H20" s="59" t="s">
        <v>178</v>
      </c>
      <c r="I20" s="59" t="s">
        <v>180</v>
      </c>
      <c r="J20" s="59"/>
      <c r="K20" s="59"/>
      <c r="L20" s="59">
        <v>10</v>
      </c>
      <c r="M20" s="62">
        <v>5.430295138888889E-4</v>
      </c>
      <c r="N20" s="62">
        <v>8.1012442129629642E-4</v>
      </c>
      <c r="O20" s="62">
        <v>1.1027864583333334E-3</v>
      </c>
      <c r="P20" s="62">
        <v>9.0273726851851843E-4</v>
      </c>
      <c r="Q20" s="62">
        <v>2.1125520833333335E-3</v>
      </c>
      <c r="R20" s="62">
        <v>1.9119589120370371E-3</v>
      </c>
      <c r="S20" s="62">
        <v>5.430295138888889E-4</v>
      </c>
      <c r="T20" s="62">
        <v>8.1012442129629642E-4</v>
      </c>
      <c r="U20" s="62">
        <v>1.1027864583333334E-3</v>
      </c>
      <c r="V20" s="62">
        <v>9.0273726851851843E-4</v>
      </c>
      <c r="W20" s="62">
        <v>2.1125520833333335E-3</v>
      </c>
      <c r="X20" s="62">
        <v>1.9119589120370371E-3</v>
      </c>
    </row>
    <row r="21" spans="1:24" x14ac:dyDescent="0.45">
      <c r="A21" s="59" t="s">
        <v>249</v>
      </c>
      <c r="B21" s="59" t="s">
        <v>164</v>
      </c>
      <c r="C21" s="59">
        <v>14</v>
      </c>
      <c r="D21" s="59">
        <v>16</v>
      </c>
      <c r="E21" s="61">
        <v>45658</v>
      </c>
      <c r="F21" s="61">
        <v>46023</v>
      </c>
      <c r="G21" s="61">
        <v>45658</v>
      </c>
      <c r="H21" s="59" t="s">
        <v>178</v>
      </c>
      <c r="I21" s="59" t="s">
        <v>180</v>
      </c>
      <c r="J21" s="59"/>
      <c r="K21" s="59"/>
      <c r="L21" s="59">
        <v>10</v>
      </c>
      <c r="M21" s="62">
        <v>5.532291666666666E-4</v>
      </c>
      <c r="N21" s="62">
        <v>8.1855613425925932E-4</v>
      </c>
      <c r="O21" s="62">
        <v>1.1207378472222222E-3</v>
      </c>
      <c r="P21" s="62">
        <v>9.1470486111111125E-4</v>
      </c>
      <c r="Q21" s="62">
        <v>2.1269675925925926E-3</v>
      </c>
      <c r="R21" s="62">
        <v>1.9186226851851851E-3</v>
      </c>
      <c r="S21" s="62">
        <v>5.532291666666666E-4</v>
      </c>
      <c r="T21" s="62">
        <v>8.1855613425925932E-4</v>
      </c>
      <c r="U21" s="62">
        <v>1.1207378472222222E-3</v>
      </c>
      <c r="V21" s="62">
        <v>9.1470486111111125E-4</v>
      </c>
      <c r="W21" s="62">
        <v>2.1269675925925926E-3</v>
      </c>
      <c r="X21" s="62">
        <v>1.9186226851851851E-3</v>
      </c>
    </row>
    <row r="22" spans="1:24" x14ac:dyDescent="0.45">
      <c r="A22" s="59" t="s">
        <v>248</v>
      </c>
      <c r="B22" s="59" t="s">
        <v>182</v>
      </c>
      <c r="C22" s="59">
        <v>18</v>
      </c>
      <c r="D22" s="59">
        <v>18</v>
      </c>
      <c r="E22" s="61">
        <v>45658</v>
      </c>
      <c r="F22" s="61">
        <v>46023</v>
      </c>
      <c r="G22" s="61">
        <v>45658</v>
      </c>
      <c r="H22" s="59" t="s">
        <v>178</v>
      </c>
      <c r="I22" s="59" t="s">
        <v>180</v>
      </c>
      <c r="J22" s="59"/>
      <c r="K22" s="59"/>
      <c r="L22" s="59">
        <v>10</v>
      </c>
      <c r="M22" s="62">
        <v>4.3944444444444445E-4</v>
      </c>
      <c r="N22" s="62">
        <v>6.951388888888888E-4</v>
      </c>
      <c r="O22" s="62">
        <v>9.4430555555555544E-4</v>
      </c>
      <c r="P22" s="62">
        <v>7.919444444444444E-4</v>
      </c>
      <c r="Q22" s="62">
        <v>1.9579166666666664E-3</v>
      </c>
      <c r="R22" s="62">
        <v>1.7913888888888886E-3</v>
      </c>
      <c r="S22" s="62">
        <v>4.3944444444444445E-4</v>
      </c>
      <c r="T22" s="62">
        <v>6.951388888888888E-4</v>
      </c>
      <c r="U22" s="62">
        <v>9.4430555555555544E-4</v>
      </c>
      <c r="V22" s="62">
        <v>7.919444444444444E-4</v>
      </c>
      <c r="W22" s="62">
        <v>1.9579166666666664E-3</v>
      </c>
      <c r="X22" s="62">
        <v>1.7913888888888886E-3</v>
      </c>
    </row>
    <row r="23" spans="1:24" x14ac:dyDescent="0.45">
      <c r="A23" s="59" t="s">
        <v>248</v>
      </c>
      <c r="B23" s="59" t="s">
        <v>182</v>
      </c>
      <c r="C23" s="59">
        <v>17</v>
      </c>
      <c r="D23" s="59">
        <v>17</v>
      </c>
      <c r="E23" s="61">
        <v>45658</v>
      </c>
      <c r="F23" s="61">
        <v>46023</v>
      </c>
      <c r="G23" s="61">
        <v>45658</v>
      </c>
      <c r="H23" s="59" t="s">
        <v>178</v>
      </c>
      <c r="I23" s="59" t="s">
        <v>180</v>
      </c>
      <c r="J23" s="59"/>
      <c r="K23" s="59"/>
      <c r="L23" s="59">
        <v>10</v>
      </c>
      <c r="M23" s="62">
        <v>4.4430555555555553E-4</v>
      </c>
      <c r="N23" s="62">
        <v>7.0194444444444449E-4</v>
      </c>
      <c r="O23" s="62">
        <v>9.5805555555555553E-4</v>
      </c>
      <c r="P23" s="62">
        <v>8.0902777777777776E-4</v>
      </c>
      <c r="Q23" s="62">
        <v>1.9811111111111106E-3</v>
      </c>
      <c r="R23" s="62">
        <v>1.8124999999999999E-3</v>
      </c>
      <c r="S23" s="62">
        <v>4.4430555555555553E-4</v>
      </c>
      <c r="T23" s="62">
        <v>7.0194444444444449E-4</v>
      </c>
      <c r="U23" s="62">
        <v>9.5805555555555553E-4</v>
      </c>
      <c r="V23" s="62">
        <v>8.0902777777777776E-4</v>
      </c>
      <c r="W23" s="62">
        <v>1.9811111111111106E-3</v>
      </c>
      <c r="X23" s="62">
        <v>1.8124999999999999E-3</v>
      </c>
    </row>
    <row r="24" spans="1:24" x14ac:dyDescent="0.45">
      <c r="A24" s="59" t="s">
        <v>248</v>
      </c>
      <c r="B24" s="59" t="s">
        <v>182</v>
      </c>
      <c r="C24" s="59">
        <v>14</v>
      </c>
      <c r="D24" s="59">
        <v>16</v>
      </c>
      <c r="E24" s="61">
        <v>45658</v>
      </c>
      <c r="F24" s="61">
        <v>46023</v>
      </c>
      <c r="G24" s="61">
        <v>45658</v>
      </c>
      <c r="H24" s="59" t="s">
        <v>178</v>
      </c>
      <c r="I24" s="59" t="s">
        <v>180</v>
      </c>
      <c r="J24" s="59"/>
      <c r="K24" s="59"/>
      <c r="L24" s="59">
        <v>10</v>
      </c>
      <c r="M24" s="62">
        <v>4.4861111111111105E-4</v>
      </c>
      <c r="N24" s="62">
        <v>7.0833333333333328E-4</v>
      </c>
      <c r="O24" s="62">
        <v>9.7083333333333342E-4</v>
      </c>
      <c r="P24" s="62">
        <v>8.2472222222222224E-4</v>
      </c>
      <c r="Q24" s="62">
        <v>2.0026388888888889E-3</v>
      </c>
      <c r="R24" s="62">
        <v>1.8319444444444444E-3</v>
      </c>
      <c r="S24" s="62">
        <v>4.4861111111111105E-4</v>
      </c>
      <c r="T24" s="62">
        <v>7.0833333333333328E-4</v>
      </c>
      <c r="U24" s="62">
        <v>9.7083333333333342E-4</v>
      </c>
      <c r="V24" s="62">
        <v>8.2472222222222224E-4</v>
      </c>
      <c r="W24" s="62">
        <v>2.0026388888888889E-3</v>
      </c>
      <c r="X24" s="62">
        <v>1.8319444444444444E-3</v>
      </c>
    </row>
    <row r="25" spans="1:24" x14ac:dyDescent="0.45">
      <c r="A25" s="59" t="s">
        <v>247</v>
      </c>
      <c r="B25" s="59" t="s">
        <v>164</v>
      </c>
      <c r="C25" s="59">
        <v>18</v>
      </c>
      <c r="D25" s="59">
        <v>18</v>
      </c>
      <c r="E25" s="61">
        <v>45658</v>
      </c>
      <c r="F25" s="61">
        <v>46023</v>
      </c>
      <c r="G25" s="61">
        <v>45658</v>
      </c>
      <c r="H25" s="59" t="s">
        <v>178</v>
      </c>
      <c r="I25" s="59" t="s">
        <v>180</v>
      </c>
      <c r="J25" s="59"/>
      <c r="K25" s="59"/>
      <c r="L25" s="59">
        <v>10</v>
      </c>
      <c r="M25" s="62">
        <v>5.4361111111111114E-4</v>
      </c>
      <c r="N25" s="62">
        <v>8.1805555555555548E-4</v>
      </c>
      <c r="O25" s="62">
        <v>1.1063888888888887E-3</v>
      </c>
      <c r="P25" s="62">
        <v>9.0861111111111101E-4</v>
      </c>
      <c r="Q25" s="62">
        <v>2.1416666666666663E-3</v>
      </c>
      <c r="R25" s="62">
        <v>1.9452777777777775E-3</v>
      </c>
      <c r="S25" s="62">
        <v>5.4361111111111114E-4</v>
      </c>
      <c r="T25" s="62">
        <v>8.1805555555555548E-4</v>
      </c>
      <c r="U25" s="62">
        <v>1.1063888888888887E-3</v>
      </c>
      <c r="V25" s="62">
        <v>9.0861111111111101E-4</v>
      </c>
      <c r="W25" s="62">
        <v>2.1416666666666663E-3</v>
      </c>
      <c r="X25" s="62">
        <v>1.9452777777777775E-3</v>
      </c>
    </row>
    <row r="26" spans="1:24" x14ac:dyDescent="0.45">
      <c r="A26" s="59" t="s">
        <v>247</v>
      </c>
      <c r="B26" s="59" t="s">
        <v>164</v>
      </c>
      <c r="C26" s="59">
        <v>17</v>
      </c>
      <c r="D26" s="59">
        <v>17</v>
      </c>
      <c r="E26" s="61">
        <v>45658</v>
      </c>
      <c r="F26" s="61">
        <v>46023</v>
      </c>
      <c r="G26" s="61">
        <v>45658</v>
      </c>
      <c r="H26" s="59" t="s">
        <v>178</v>
      </c>
      <c r="I26" s="59" t="s">
        <v>180</v>
      </c>
      <c r="J26" s="59"/>
      <c r="K26" s="59"/>
      <c r="L26" s="59">
        <v>10</v>
      </c>
      <c r="M26" s="62">
        <v>5.5458333333333336E-4</v>
      </c>
      <c r="N26" s="62">
        <v>8.2736111111111118E-4</v>
      </c>
      <c r="O26" s="62">
        <v>1.1262500000000001E-3</v>
      </c>
      <c r="P26" s="62">
        <v>9.2194444444444431E-4</v>
      </c>
      <c r="Q26" s="62">
        <v>2.1574999999999997E-3</v>
      </c>
      <c r="R26" s="62">
        <v>1.9526388888888887E-3</v>
      </c>
      <c r="S26" s="62">
        <v>5.5458333333333336E-4</v>
      </c>
      <c r="T26" s="62">
        <v>8.2736111111111118E-4</v>
      </c>
      <c r="U26" s="62">
        <v>1.1262500000000001E-3</v>
      </c>
      <c r="V26" s="62">
        <v>9.2194444444444431E-4</v>
      </c>
      <c r="W26" s="62">
        <v>2.1574999999999997E-3</v>
      </c>
      <c r="X26" s="62">
        <v>1.9526388888888887E-3</v>
      </c>
    </row>
    <row r="27" spans="1:24" x14ac:dyDescent="0.45">
      <c r="A27" s="59" t="s">
        <v>247</v>
      </c>
      <c r="B27" s="59" t="s">
        <v>164</v>
      </c>
      <c r="C27" s="59">
        <v>14</v>
      </c>
      <c r="D27" s="59">
        <v>16</v>
      </c>
      <c r="E27" s="61">
        <v>45658</v>
      </c>
      <c r="F27" s="61">
        <v>46023</v>
      </c>
      <c r="G27" s="61">
        <v>45658</v>
      </c>
      <c r="H27" s="59" t="s">
        <v>178</v>
      </c>
      <c r="I27" s="59" t="s">
        <v>180</v>
      </c>
      <c r="J27" s="59"/>
      <c r="K27" s="59"/>
      <c r="L27" s="59">
        <v>10</v>
      </c>
      <c r="M27" s="62">
        <v>5.6499999999999996E-4</v>
      </c>
      <c r="N27" s="62">
        <v>8.3597222222222222E-4</v>
      </c>
      <c r="O27" s="62">
        <v>1.1445833333333332E-3</v>
      </c>
      <c r="P27" s="62">
        <v>9.341666666666667E-4</v>
      </c>
      <c r="Q27" s="62">
        <v>2.1722222222222221E-3</v>
      </c>
      <c r="R27" s="62">
        <v>1.9594444444444442E-3</v>
      </c>
      <c r="S27" s="62">
        <v>5.6499999999999996E-4</v>
      </c>
      <c r="T27" s="62">
        <v>8.3597222222222222E-4</v>
      </c>
      <c r="U27" s="62">
        <v>1.1445833333333332E-3</v>
      </c>
      <c r="V27" s="62">
        <v>9.341666666666667E-4</v>
      </c>
      <c r="W27" s="62">
        <v>2.1722222222222221E-3</v>
      </c>
      <c r="X27" s="62">
        <v>1.9594444444444442E-3</v>
      </c>
    </row>
    <row r="28" spans="1:24" x14ac:dyDescent="0.45">
      <c r="A28" s="59" t="s">
        <v>246</v>
      </c>
      <c r="B28" s="59" t="s">
        <v>182</v>
      </c>
      <c r="C28" s="59">
        <v>18</v>
      </c>
      <c r="D28" s="59">
        <v>18</v>
      </c>
      <c r="E28" s="61">
        <v>45658</v>
      </c>
      <c r="F28" s="61">
        <v>46023</v>
      </c>
      <c r="G28" s="61">
        <v>45658</v>
      </c>
      <c r="H28" s="59" t="s">
        <v>178</v>
      </c>
      <c r="I28" s="59" t="s">
        <v>180</v>
      </c>
      <c r="J28" s="59"/>
      <c r="K28" s="59"/>
      <c r="L28" s="59">
        <v>10</v>
      </c>
      <c r="M28" s="62">
        <v>4.4859953703703707E-4</v>
      </c>
      <c r="N28" s="62">
        <v>7.096209490740741E-4</v>
      </c>
      <c r="O28" s="62">
        <v>9.6397858796296292E-4</v>
      </c>
      <c r="P28" s="62">
        <v>8.0844328703703709E-4</v>
      </c>
      <c r="Q28" s="62">
        <v>1.9987065972222225E-3</v>
      </c>
      <c r="R28" s="62">
        <v>1.8287094907407408E-3</v>
      </c>
      <c r="S28" s="62">
        <v>4.4859953703703707E-4</v>
      </c>
      <c r="T28" s="62">
        <v>7.096209490740741E-4</v>
      </c>
      <c r="U28" s="62">
        <v>9.6397858796296292E-4</v>
      </c>
      <c r="V28" s="62">
        <v>8.0844328703703709E-4</v>
      </c>
      <c r="W28" s="62">
        <v>1.9987065972222225E-3</v>
      </c>
      <c r="X28" s="62">
        <v>1.8287094907407408E-3</v>
      </c>
    </row>
    <row r="29" spans="1:24" x14ac:dyDescent="0.45">
      <c r="A29" s="59" t="s">
        <v>246</v>
      </c>
      <c r="B29" s="59" t="s">
        <v>182</v>
      </c>
      <c r="C29" s="59">
        <v>17</v>
      </c>
      <c r="D29" s="59">
        <v>17</v>
      </c>
      <c r="E29" s="61">
        <v>45658</v>
      </c>
      <c r="F29" s="61">
        <v>46023</v>
      </c>
      <c r="G29" s="61">
        <v>45658</v>
      </c>
      <c r="H29" s="59" t="s">
        <v>178</v>
      </c>
      <c r="I29" s="59" t="s">
        <v>180</v>
      </c>
      <c r="J29" s="59"/>
      <c r="K29" s="59"/>
      <c r="L29" s="59">
        <v>10</v>
      </c>
      <c r="M29" s="62">
        <v>4.5356192129629631E-4</v>
      </c>
      <c r="N29" s="62">
        <v>7.1656828703703715E-4</v>
      </c>
      <c r="O29" s="62">
        <v>9.7801504629629649E-4</v>
      </c>
      <c r="P29" s="62">
        <v>8.2588252314814829E-4</v>
      </c>
      <c r="Q29" s="62">
        <v>2.0223842592592589E-3</v>
      </c>
      <c r="R29" s="62">
        <v>1.8502604166666667E-3</v>
      </c>
      <c r="S29" s="62">
        <v>4.5356192129629631E-4</v>
      </c>
      <c r="T29" s="62">
        <v>7.1656828703703715E-4</v>
      </c>
      <c r="U29" s="62">
        <v>9.7801504629629649E-4</v>
      </c>
      <c r="V29" s="62">
        <v>8.2588252314814829E-4</v>
      </c>
      <c r="W29" s="62">
        <v>2.0223842592592589E-3</v>
      </c>
      <c r="X29" s="62">
        <v>1.8502604166666667E-3</v>
      </c>
    </row>
    <row r="30" spans="1:24" x14ac:dyDescent="0.45">
      <c r="A30" s="59" t="s">
        <v>246</v>
      </c>
      <c r="B30" s="59" t="s">
        <v>182</v>
      </c>
      <c r="C30" s="59">
        <v>14</v>
      </c>
      <c r="D30" s="59">
        <v>16</v>
      </c>
      <c r="E30" s="61">
        <v>45658</v>
      </c>
      <c r="F30" s="61">
        <v>46023</v>
      </c>
      <c r="G30" s="61">
        <v>45658</v>
      </c>
      <c r="H30" s="59" t="s">
        <v>178</v>
      </c>
      <c r="I30" s="59" t="s">
        <v>180</v>
      </c>
      <c r="J30" s="59"/>
      <c r="K30" s="59"/>
      <c r="L30" s="59">
        <v>10</v>
      </c>
      <c r="M30" s="62">
        <v>4.5795717592592589E-4</v>
      </c>
      <c r="N30" s="62">
        <v>7.2309027777777779E-4</v>
      </c>
      <c r="O30" s="62">
        <v>9.9105902777777799E-4</v>
      </c>
      <c r="P30" s="62">
        <v>8.4190393518518533E-4</v>
      </c>
      <c r="Q30" s="62">
        <v>2.0443605324074075E-3</v>
      </c>
      <c r="R30" s="62">
        <v>1.8701099537037039E-3</v>
      </c>
      <c r="S30" s="62">
        <v>4.5795717592592589E-4</v>
      </c>
      <c r="T30" s="62">
        <v>7.2309027777777779E-4</v>
      </c>
      <c r="U30" s="62">
        <v>9.9105902777777799E-4</v>
      </c>
      <c r="V30" s="62">
        <v>8.4190393518518533E-4</v>
      </c>
      <c r="W30" s="62">
        <v>2.0443605324074075E-3</v>
      </c>
      <c r="X30" s="62">
        <v>1.8701099537037039E-3</v>
      </c>
    </row>
    <row r="31" spans="1:24" x14ac:dyDescent="0.45">
      <c r="A31" s="59" t="s">
        <v>245</v>
      </c>
      <c r="B31" s="59" t="s">
        <v>164</v>
      </c>
      <c r="C31" s="59">
        <v>18</v>
      </c>
      <c r="D31" s="59">
        <v>18</v>
      </c>
      <c r="E31" s="61">
        <v>45658</v>
      </c>
      <c r="F31" s="61">
        <v>46023</v>
      </c>
      <c r="G31" s="61">
        <v>45658</v>
      </c>
      <c r="H31" s="59" t="s">
        <v>178</v>
      </c>
      <c r="I31" s="59" t="s">
        <v>180</v>
      </c>
      <c r="J31" s="59"/>
      <c r="K31" s="59"/>
      <c r="L31" s="59">
        <v>10</v>
      </c>
      <c r="M31" s="62">
        <v>5.5493634259259266E-4</v>
      </c>
      <c r="N31" s="62">
        <v>8.3509837962962965E-4</v>
      </c>
      <c r="O31" s="62">
        <v>1.1294386574074073E-3</v>
      </c>
      <c r="P31" s="62">
        <v>9.2754050925925925E-4</v>
      </c>
      <c r="Q31" s="62">
        <v>2.1862847222222223E-3</v>
      </c>
      <c r="R31" s="62">
        <v>1.9858043981481484E-3</v>
      </c>
      <c r="S31" s="62">
        <v>5.5493634259259266E-4</v>
      </c>
      <c r="T31" s="62">
        <v>8.3509837962962965E-4</v>
      </c>
      <c r="U31" s="62">
        <v>1.1294386574074073E-3</v>
      </c>
      <c r="V31" s="62">
        <v>9.2754050925925925E-4</v>
      </c>
      <c r="W31" s="62">
        <v>2.1862847222222223E-3</v>
      </c>
      <c r="X31" s="62">
        <v>1.9858043981481484E-3</v>
      </c>
    </row>
    <row r="32" spans="1:24" x14ac:dyDescent="0.45">
      <c r="A32" s="59" t="s">
        <v>245</v>
      </c>
      <c r="B32" s="59" t="s">
        <v>164</v>
      </c>
      <c r="C32" s="59">
        <v>17</v>
      </c>
      <c r="D32" s="59">
        <v>17</v>
      </c>
      <c r="E32" s="61">
        <v>45658</v>
      </c>
      <c r="F32" s="61">
        <v>46023</v>
      </c>
      <c r="G32" s="61">
        <v>45658</v>
      </c>
      <c r="H32" s="59" t="s">
        <v>178</v>
      </c>
      <c r="I32" s="59" t="s">
        <v>180</v>
      </c>
      <c r="J32" s="59"/>
      <c r="K32" s="59"/>
      <c r="L32" s="59">
        <v>10</v>
      </c>
      <c r="M32" s="62">
        <v>5.6613715277777782E-4</v>
      </c>
      <c r="N32" s="62">
        <v>8.4459780092592605E-4</v>
      </c>
      <c r="O32" s="62">
        <v>1.1497135416666669E-3</v>
      </c>
      <c r="P32" s="62">
        <v>9.411516203703703E-4</v>
      </c>
      <c r="Q32" s="62">
        <v>2.2024479166666668E-3</v>
      </c>
      <c r="R32" s="62">
        <v>1.9933188657407408E-3</v>
      </c>
      <c r="S32" s="62">
        <v>5.6613715277777782E-4</v>
      </c>
      <c r="T32" s="62">
        <v>8.4459780092592605E-4</v>
      </c>
      <c r="U32" s="62">
        <v>1.1497135416666669E-3</v>
      </c>
      <c r="V32" s="62">
        <v>9.411516203703703E-4</v>
      </c>
      <c r="W32" s="62">
        <v>2.2024479166666668E-3</v>
      </c>
      <c r="X32" s="62">
        <v>1.9933188657407408E-3</v>
      </c>
    </row>
    <row r="33" spans="1:24" x14ac:dyDescent="0.45">
      <c r="A33" s="59" t="s">
        <v>245</v>
      </c>
      <c r="B33" s="59" t="s">
        <v>164</v>
      </c>
      <c r="C33" s="59">
        <v>14</v>
      </c>
      <c r="D33" s="59">
        <v>16</v>
      </c>
      <c r="E33" s="61">
        <v>45658</v>
      </c>
      <c r="F33" s="61">
        <v>46023</v>
      </c>
      <c r="G33" s="61">
        <v>45658</v>
      </c>
      <c r="H33" s="59" t="s">
        <v>178</v>
      </c>
      <c r="I33" s="59" t="s">
        <v>180</v>
      </c>
      <c r="J33" s="59"/>
      <c r="K33" s="59"/>
      <c r="L33" s="59">
        <v>10</v>
      </c>
      <c r="M33" s="62">
        <v>5.7677083333333332E-4</v>
      </c>
      <c r="N33" s="62">
        <v>8.5338831018518522E-4</v>
      </c>
      <c r="O33" s="62">
        <v>1.1684288194444446E-3</v>
      </c>
      <c r="P33" s="62">
        <v>9.5362847222222236E-4</v>
      </c>
      <c r="Q33" s="62">
        <v>2.217476851851852E-3</v>
      </c>
      <c r="R33" s="62">
        <v>2.0002662037037038E-3</v>
      </c>
      <c r="S33" s="62">
        <v>5.7677083333333332E-4</v>
      </c>
      <c r="T33" s="62">
        <v>8.5338831018518522E-4</v>
      </c>
      <c r="U33" s="62">
        <v>1.1684288194444446E-3</v>
      </c>
      <c r="V33" s="62">
        <v>9.5362847222222236E-4</v>
      </c>
      <c r="W33" s="62">
        <v>2.217476851851852E-3</v>
      </c>
      <c r="X33" s="62">
        <v>2.0002662037037038E-3</v>
      </c>
    </row>
    <row r="34" spans="1:24" x14ac:dyDescent="0.45">
      <c r="A34" s="59" t="s">
        <v>239</v>
      </c>
      <c r="B34" s="59" t="s">
        <v>182</v>
      </c>
      <c r="C34" s="59">
        <v>18</v>
      </c>
      <c r="D34" s="59">
        <v>18</v>
      </c>
      <c r="E34" s="61">
        <v>45658</v>
      </c>
      <c r="F34" s="61">
        <v>46023</v>
      </c>
      <c r="G34" s="61">
        <v>45658</v>
      </c>
      <c r="H34" s="59" t="s">
        <v>178</v>
      </c>
      <c r="I34" s="59" t="s">
        <v>180</v>
      </c>
      <c r="J34" s="59"/>
      <c r="K34" s="59"/>
      <c r="L34" s="59">
        <v>10</v>
      </c>
      <c r="M34" s="62">
        <f>NK!E14</f>
        <v>4.5043055555555553E-4</v>
      </c>
      <c r="N34" s="62">
        <f>NK!E16</f>
        <v>7.1251736111111103E-4</v>
      </c>
      <c r="O34" s="62">
        <f>NK!E15</f>
        <v>9.6791319444444431E-4</v>
      </c>
      <c r="P34" s="62">
        <f>NK!E17</f>
        <v>8.1174305555555557E-4</v>
      </c>
      <c r="Q34" s="62">
        <f>NK!E19</f>
        <v>2.0068645833333332E-3</v>
      </c>
      <c r="R34" s="62">
        <f>NK!E18</f>
        <v>1.8361736111111109E-3</v>
      </c>
      <c r="S34" s="62">
        <f>M34</f>
        <v>4.5043055555555553E-4</v>
      </c>
      <c r="T34" s="62">
        <f t="shared" ref="T34:T39" si="0">N34</f>
        <v>7.1251736111111103E-4</v>
      </c>
      <c r="U34" s="62">
        <f t="shared" ref="U34:U39" si="1">O34</f>
        <v>9.6791319444444431E-4</v>
      </c>
      <c r="V34" s="62">
        <f t="shared" ref="V34:V39" si="2">P34</f>
        <v>8.1174305555555557E-4</v>
      </c>
      <c r="W34" s="62">
        <f t="shared" ref="W34:W39" si="3">Q34</f>
        <v>2.0068645833333332E-3</v>
      </c>
      <c r="X34" s="62">
        <f t="shared" ref="X34:X39" si="4">R34</f>
        <v>1.8361736111111109E-3</v>
      </c>
    </row>
    <row r="35" spans="1:24" x14ac:dyDescent="0.45">
      <c r="A35" s="59" t="s">
        <v>239</v>
      </c>
      <c r="B35" s="59" t="s">
        <v>182</v>
      </c>
      <c r="C35" s="59">
        <v>17</v>
      </c>
      <c r="D35" s="59">
        <v>17</v>
      </c>
      <c r="E35" s="61">
        <v>45658</v>
      </c>
      <c r="F35" s="61">
        <v>46023</v>
      </c>
      <c r="G35" s="61">
        <v>45658</v>
      </c>
      <c r="H35" s="59" t="s">
        <v>178</v>
      </c>
      <c r="I35" s="59" t="s">
        <v>180</v>
      </c>
      <c r="J35" s="59"/>
      <c r="K35" s="59"/>
      <c r="L35" s="59">
        <v>10</v>
      </c>
      <c r="M35" s="62">
        <f>NK!D14</f>
        <v>4.5541319444444443E-4</v>
      </c>
      <c r="N35" s="62">
        <f>NK!D16</f>
        <v>7.1949305555555558E-4</v>
      </c>
      <c r="O35" s="62">
        <f>NK!D15</f>
        <v>9.8200694444444442E-4</v>
      </c>
      <c r="P35" s="62">
        <f>NK!D17</f>
        <v>8.2925347222222222E-4</v>
      </c>
      <c r="Q35" s="62">
        <f>NK!D19</f>
        <v>2.0306388888888887E-3</v>
      </c>
      <c r="R35" s="62">
        <f>NK!D18</f>
        <v>1.8578124999999999E-3</v>
      </c>
      <c r="S35" s="62">
        <f t="shared" ref="S35:S39" si="5">M35</f>
        <v>4.5541319444444443E-4</v>
      </c>
      <c r="T35" s="62">
        <f t="shared" si="0"/>
        <v>7.1949305555555558E-4</v>
      </c>
      <c r="U35" s="62">
        <f t="shared" si="1"/>
        <v>9.8200694444444442E-4</v>
      </c>
      <c r="V35" s="62">
        <f t="shared" si="2"/>
        <v>8.2925347222222222E-4</v>
      </c>
      <c r="W35" s="62">
        <f t="shared" si="3"/>
        <v>2.0306388888888887E-3</v>
      </c>
      <c r="X35" s="62">
        <f t="shared" si="4"/>
        <v>1.8578124999999999E-3</v>
      </c>
    </row>
    <row r="36" spans="1:24" x14ac:dyDescent="0.45">
      <c r="A36" s="59" t="s">
        <v>239</v>
      </c>
      <c r="B36" s="59" t="s">
        <v>182</v>
      </c>
      <c r="C36" s="59">
        <v>14</v>
      </c>
      <c r="D36" s="59">
        <v>16</v>
      </c>
      <c r="E36" s="61">
        <v>45658</v>
      </c>
      <c r="F36" s="61">
        <v>46023</v>
      </c>
      <c r="G36" s="61">
        <v>45658</v>
      </c>
      <c r="H36" s="59" t="s">
        <v>178</v>
      </c>
      <c r="I36" s="59" t="s">
        <v>180</v>
      </c>
      <c r="J36" s="59"/>
      <c r="K36" s="59"/>
      <c r="L36" s="59">
        <v>10</v>
      </c>
      <c r="M36" s="62">
        <f>NK!C14</f>
        <v>4.5982638888888885E-4</v>
      </c>
      <c r="N36" s="62">
        <f>NK!C16</f>
        <v>7.2604166666666661E-4</v>
      </c>
      <c r="O36" s="62">
        <f>NK!C15</f>
        <v>9.9510416666666671E-4</v>
      </c>
      <c r="P36" s="62">
        <f>NK!C17</f>
        <v>8.4534027777777786E-4</v>
      </c>
      <c r="Q36" s="62">
        <f>NK!C19</f>
        <v>2.052704861111111E-3</v>
      </c>
      <c r="R36" s="62">
        <f>NK!C18</f>
        <v>1.8777430555555557E-3</v>
      </c>
      <c r="S36" s="62">
        <f t="shared" si="5"/>
        <v>4.5982638888888885E-4</v>
      </c>
      <c r="T36" s="62">
        <f t="shared" si="0"/>
        <v>7.2604166666666661E-4</v>
      </c>
      <c r="U36" s="62">
        <f t="shared" si="1"/>
        <v>9.9510416666666671E-4</v>
      </c>
      <c r="V36" s="62">
        <f t="shared" si="2"/>
        <v>8.4534027777777786E-4</v>
      </c>
      <c r="W36" s="62">
        <f t="shared" si="3"/>
        <v>2.052704861111111E-3</v>
      </c>
      <c r="X36" s="62">
        <f t="shared" si="4"/>
        <v>1.8777430555555557E-3</v>
      </c>
    </row>
    <row r="37" spans="1:24" x14ac:dyDescent="0.45">
      <c r="A37" s="59" t="s">
        <v>240</v>
      </c>
      <c r="B37" s="59" t="s">
        <v>164</v>
      </c>
      <c r="C37" s="59">
        <v>18</v>
      </c>
      <c r="D37" s="59">
        <v>18</v>
      </c>
      <c r="E37" s="61">
        <v>45658</v>
      </c>
      <c r="F37" s="61">
        <v>46023</v>
      </c>
      <c r="G37" s="61">
        <v>45658</v>
      </c>
      <c r="H37" s="59" t="s">
        <v>178</v>
      </c>
      <c r="I37" s="59" t="s">
        <v>180</v>
      </c>
      <c r="J37" s="59"/>
      <c r="K37" s="59"/>
      <c r="L37" s="59">
        <v>10</v>
      </c>
      <c r="M37" s="62">
        <f>NK!K14</f>
        <v>5.3455092592592595E-4</v>
      </c>
      <c r="N37" s="62">
        <f>NK!K16</f>
        <v>8.0442129629629624E-4</v>
      </c>
      <c r="O37" s="62">
        <f>NK!K15</f>
        <v>1.0879490740740739E-3</v>
      </c>
      <c r="P37" s="62">
        <f>NK!K17</f>
        <v>8.9346759259259251E-4</v>
      </c>
      <c r="Q37" s="62">
        <f>NK!K19</f>
        <v>2.1059722222222218E-3</v>
      </c>
      <c r="R37" s="62">
        <f>NK!K18</f>
        <v>1.9128564814814813E-3</v>
      </c>
      <c r="S37" s="62">
        <f t="shared" si="5"/>
        <v>5.3455092592592595E-4</v>
      </c>
      <c r="T37" s="62">
        <f t="shared" si="0"/>
        <v>8.0442129629629624E-4</v>
      </c>
      <c r="U37" s="62">
        <f t="shared" si="1"/>
        <v>1.0879490740740739E-3</v>
      </c>
      <c r="V37" s="62">
        <f t="shared" si="2"/>
        <v>8.9346759259259251E-4</v>
      </c>
      <c r="W37" s="62">
        <f t="shared" si="3"/>
        <v>2.1059722222222218E-3</v>
      </c>
      <c r="X37" s="62">
        <f t="shared" si="4"/>
        <v>1.9128564814814813E-3</v>
      </c>
    </row>
    <row r="38" spans="1:24" x14ac:dyDescent="0.45">
      <c r="A38" s="59" t="s">
        <v>240</v>
      </c>
      <c r="B38" s="59" t="s">
        <v>164</v>
      </c>
      <c r="C38" s="59">
        <v>17</v>
      </c>
      <c r="D38" s="59">
        <v>17</v>
      </c>
      <c r="E38" s="61">
        <v>45658</v>
      </c>
      <c r="F38" s="61">
        <v>46023</v>
      </c>
      <c r="G38" s="61">
        <v>45658</v>
      </c>
      <c r="H38" s="59" t="s">
        <v>178</v>
      </c>
      <c r="I38" s="59" t="s">
        <v>180</v>
      </c>
      <c r="J38" s="59"/>
      <c r="K38" s="59"/>
      <c r="L38" s="59">
        <v>10</v>
      </c>
      <c r="M38" s="62">
        <f>NK!J14</f>
        <v>5.4534027777777773E-4</v>
      </c>
      <c r="N38" s="62">
        <f>NK!J16</f>
        <v>8.1357175925925933E-4</v>
      </c>
      <c r="O38" s="62">
        <f>NK!J15</f>
        <v>1.1074791666666668E-3</v>
      </c>
      <c r="P38" s="62">
        <f>NK!J17</f>
        <v>9.065787037037035E-4</v>
      </c>
      <c r="Q38" s="62">
        <f>NK!J19</f>
        <v>2.1215416666666665E-3</v>
      </c>
      <c r="R38" s="62">
        <f>NK!J18</f>
        <v>1.9200949074074073E-3</v>
      </c>
      <c r="S38" s="62">
        <f t="shared" si="5"/>
        <v>5.4534027777777773E-4</v>
      </c>
      <c r="T38" s="62">
        <f t="shared" si="0"/>
        <v>8.1357175925925933E-4</v>
      </c>
      <c r="U38" s="62">
        <f t="shared" si="1"/>
        <v>1.1074791666666668E-3</v>
      </c>
      <c r="V38" s="62">
        <f t="shared" si="2"/>
        <v>9.065787037037035E-4</v>
      </c>
      <c r="W38" s="62">
        <f t="shared" si="3"/>
        <v>2.1215416666666665E-3</v>
      </c>
      <c r="X38" s="62">
        <f t="shared" si="4"/>
        <v>1.9200949074074073E-3</v>
      </c>
    </row>
    <row r="39" spans="1:24" x14ac:dyDescent="0.45">
      <c r="A39" s="59" t="s">
        <v>240</v>
      </c>
      <c r="B39" s="59" t="s">
        <v>164</v>
      </c>
      <c r="C39" s="59">
        <v>14</v>
      </c>
      <c r="D39" s="59">
        <v>16</v>
      </c>
      <c r="E39" s="61">
        <v>45658</v>
      </c>
      <c r="F39" s="61">
        <v>46023</v>
      </c>
      <c r="G39" s="61">
        <v>45658</v>
      </c>
      <c r="H39" s="59" t="s">
        <v>178</v>
      </c>
      <c r="I39" s="59" t="s">
        <v>180</v>
      </c>
      <c r="J39" s="59"/>
      <c r="K39" s="59"/>
      <c r="L39" s="59">
        <v>10</v>
      </c>
      <c r="M39" s="62">
        <f>NK!I14</f>
        <v>5.5558333333333328E-4</v>
      </c>
      <c r="N39" s="62">
        <f>NK!I16</f>
        <v>8.2203935185185179E-4</v>
      </c>
      <c r="O39" s="62">
        <f>NK!I15</f>
        <v>1.1255069444444444E-3</v>
      </c>
      <c r="P39" s="62">
        <f>NK!I17</f>
        <v>9.1859722222222223E-4</v>
      </c>
      <c r="Q39" s="62">
        <f>NK!I19</f>
        <v>2.1360185185185184E-3</v>
      </c>
      <c r="R39" s="62">
        <f>NK!I18</f>
        <v>1.9267870370370367E-3</v>
      </c>
      <c r="S39" s="62">
        <f t="shared" si="5"/>
        <v>5.5558333333333328E-4</v>
      </c>
      <c r="T39" s="62">
        <f t="shared" si="0"/>
        <v>8.2203935185185179E-4</v>
      </c>
      <c r="U39" s="62">
        <f t="shared" si="1"/>
        <v>1.1255069444444444E-3</v>
      </c>
      <c r="V39" s="62">
        <f t="shared" si="2"/>
        <v>9.1859722222222223E-4</v>
      </c>
      <c r="W39" s="62">
        <f t="shared" si="3"/>
        <v>2.1360185185185184E-3</v>
      </c>
      <c r="X39" s="62">
        <f t="shared" si="4"/>
        <v>1.9267870370370367E-3</v>
      </c>
    </row>
    <row r="40" spans="1:24" x14ac:dyDescent="0.45">
      <c r="A40" s="59" t="s">
        <v>241</v>
      </c>
      <c r="B40" s="59" t="s">
        <v>182</v>
      </c>
      <c r="C40" s="59">
        <v>18</v>
      </c>
      <c r="D40" s="59">
        <v>18</v>
      </c>
      <c r="E40" s="61">
        <v>45658</v>
      </c>
      <c r="F40" s="61">
        <v>46023</v>
      </c>
      <c r="G40" s="61">
        <v>45658</v>
      </c>
      <c r="H40" s="59" t="s">
        <v>178</v>
      </c>
      <c r="I40" s="59" t="s">
        <v>180</v>
      </c>
      <c r="J40" s="59"/>
      <c r="K40" s="59"/>
      <c r="L40" s="59">
        <v>10</v>
      </c>
      <c r="M40" s="62">
        <v>4.6690972222222218E-4</v>
      </c>
      <c r="N40" s="62">
        <v>7.3858506944444438E-4</v>
      </c>
      <c r="O40" s="62">
        <v>1.0033246527777777E-3</v>
      </c>
      <c r="P40" s="62">
        <v>8.4144097222222216E-4</v>
      </c>
      <c r="Q40" s="62">
        <v>2.0802864583333333E-3</v>
      </c>
      <c r="R40" s="62">
        <v>1.9033506944444441E-3</v>
      </c>
      <c r="S40" s="62">
        <v>4.6690972222222218E-4</v>
      </c>
      <c r="T40" s="62">
        <v>7.3858506944444438E-4</v>
      </c>
      <c r="U40" s="62">
        <v>1.0033246527777777E-3</v>
      </c>
      <c r="V40" s="62">
        <v>8.4144097222222216E-4</v>
      </c>
      <c r="W40" s="62">
        <v>2.0802864583333333E-3</v>
      </c>
      <c r="X40" s="62">
        <v>1.9033506944444441E-3</v>
      </c>
    </row>
    <row r="41" spans="1:24" x14ac:dyDescent="0.45">
      <c r="A41" s="59" t="s">
        <v>241</v>
      </c>
      <c r="B41" s="59" t="s">
        <v>182</v>
      </c>
      <c r="C41" s="59">
        <v>17</v>
      </c>
      <c r="D41" s="59">
        <v>17</v>
      </c>
      <c r="E41" s="61">
        <v>45658</v>
      </c>
      <c r="F41" s="61">
        <v>46023</v>
      </c>
      <c r="G41" s="61">
        <v>45658</v>
      </c>
      <c r="H41" s="59" t="s">
        <v>178</v>
      </c>
      <c r="I41" s="59" t="s">
        <v>180</v>
      </c>
      <c r="J41" s="59"/>
      <c r="K41" s="59"/>
      <c r="L41" s="59">
        <v>10</v>
      </c>
      <c r="M41" s="62">
        <v>4.7207465277777775E-4</v>
      </c>
      <c r="N41" s="62">
        <v>7.4581597222222226E-4</v>
      </c>
      <c r="O41" s="62">
        <v>1.0179340277777778E-3</v>
      </c>
      <c r="P41" s="62">
        <v>8.5959201388888891E-4</v>
      </c>
      <c r="Q41" s="62">
        <v>2.1049305555555552E-3</v>
      </c>
      <c r="R41" s="62">
        <v>1.9257812499999998E-3</v>
      </c>
      <c r="S41" s="62">
        <v>4.7207465277777775E-4</v>
      </c>
      <c r="T41" s="62">
        <v>7.4581597222222226E-4</v>
      </c>
      <c r="U41" s="62">
        <v>1.0179340277777778E-3</v>
      </c>
      <c r="V41" s="62">
        <v>8.5959201388888891E-4</v>
      </c>
      <c r="W41" s="62">
        <v>2.1049305555555552E-3</v>
      </c>
      <c r="X41" s="62">
        <v>1.9257812499999998E-3</v>
      </c>
    </row>
    <row r="42" spans="1:24" x14ac:dyDescent="0.45">
      <c r="A42" s="59" t="s">
        <v>241</v>
      </c>
      <c r="B42" s="59" t="s">
        <v>182</v>
      </c>
      <c r="C42" s="59">
        <v>14</v>
      </c>
      <c r="D42" s="59">
        <v>16</v>
      </c>
      <c r="E42" s="61">
        <v>45658</v>
      </c>
      <c r="F42" s="61">
        <v>46023</v>
      </c>
      <c r="G42" s="61">
        <v>45658</v>
      </c>
      <c r="H42" s="59" t="s">
        <v>178</v>
      </c>
      <c r="I42" s="59" t="s">
        <v>180</v>
      </c>
      <c r="J42" s="59"/>
      <c r="K42" s="59"/>
      <c r="L42" s="59">
        <v>10</v>
      </c>
      <c r="M42" s="62">
        <v>4.7664930555555546E-4</v>
      </c>
      <c r="N42" s="62">
        <v>7.5260416666666661E-4</v>
      </c>
      <c r="O42" s="62">
        <v>1.0315104166666667E-3</v>
      </c>
      <c r="P42" s="62">
        <v>8.7626736111111119E-4</v>
      </c>
      <c r="Q42" s="62">
        <v>2.1278038194444443E-3</v>
      </c>
      <c r="R42" s="62">
        <v>1.9464409722222222E-3</v>
      </c>
      <c r="S42" s="62">
        <v>4.7664930555555546E-4</v>
      </c>
      <c r="T42" s="62">
        <v>7.5260416666666661E-4</v>
      </c>
      <c r="U42" s="62">
        <v>1.0315104166666667E-3</v>
      </c>
      <c r="V42" s="62">
        <v>8.7626736111111119E-4</v>
      </c>
      <c r="W42" s="62">
        <v>2.1278038194444443E-3</v>
      </c>
      <c r="X42" s="62">
        <v>1.9464409722222222E-3</v>
      </c>
    </row>
    <row r="43" spans="1:24" x14ac:dyDescent="0.45">
      <c r="A43" s="59" t="s">
        <v>242</v>
      </c>
      <c r="B43" s="59" t="s">
        <v>164</v>
      </c>
      <c r="C43" s="59">
        <v>18</v>
      </c>
      <c r="D43" s="59">
        <v>18</v>
      </c>
      <c r="E43" s="61">
        <v>45658</v>
      </c>
      <c r="F43" s="61">
        <v>46023</v>
      </c>
      <c r="G43" s="61">
        <v>45658</v>
      </c>
      <c r="H43" s="59" t="s">
        <v>178</v>
      </c>
      <c r="I43" s="59" t="s">
        <v>180</v>
      </c>
      <c r="J43" s="59"/>
      <c r="K43" s="59"/>
      <c r="L43" s="59">
        <v>10</v>
      </c>
      <c r="M43" s="62">
        <v>5.7758680555555558E-4</v>
      </c>
      <c r="N43" s="62">
        <v>8.6918402777777775E-4</v>
      </c>
      <c r="O43" s="62">
        <v>1.1755381944444443E-3</v>
      </c>
      <c r="P43" s="62">
        <v>9.653993055555555E-4</v>
      </c>
      <c r="Q43" s="62">
        <v>2.275520833333333E-3</v>
      </c>
      <c r="R43" s="62">
        <v>2.0668576388888885E-3</v>
      </c>
      <c r="S43" s="62">
        <v>5.7758680555555558E-4</v>
      </c>
      <c r="T43" s="62">
        <v>8.6918402777777775E-4</v>
      </c>
      <c r="U43" s="62">
        <v>1.1755381944444443E-3</v>
      </c>
      <c r="V43" s="62">
        <v>9.653993055555555E-4</v>
      </c>
      <c r="W43" s="62">
        <v>2.275520833333333E-3</v>
      </c>
      <c r="X43" s="62">
        <v>2.0668576388888885E-3</v>
      </c>
    </row>
    <row r="44" spans="1:24" x14ac:dyDescent="0.45">
      <c r="A44" s="59" t="s">
        <v>242</v>
      </c>
      <c r="B44" s="59" t="s">
        <v>164</v>
      </c>
      <c r="C44" s="59">
        <v>17</v>
      </c>
      <c r="D44" s="59">
        <v>17</v>
      </c>
      <c r="E44" s="61">
        <v>45658</v>
      </c>
      <c r="F44" s="61">
        <v>46023</v>
      </c>
      <c r="G44" s="61">
        <v>45658</v>
      </c>
      <c r="H44" s="59" t="s">
        <v>178</v>
      </c>
      <c r="I44" s="59" t="s">
        <v>180</v>
      </c>
      <c r="J44" s="59"/>
      <c r="K44" s="59"/>
      <c r="L44" s="59">
        <v>10</v>
      </c>
      <c r="M44" s="62">
        <v>5.8924479166666663E-4</v>
      </c>
      <c r="N44" s="62">
        <v>8.7907118055555557E-4</v>
      </c>
      <c r="O44" s="62">
        <v>1.196640625E-3</v>
      </c>
      <c r="P44" s="62">
        <v>9.7956597222222195E-4</v>
      </c>
      <c r="Q44" s="62">
        <v>2.2923437499999997E-3</v>
      </c>
      <c r="R44" s="62">
        <v>2.0746788194444445E-3</v>
      </c>
      <c r="S44" s="62">
        <v>5.8924479166666663E-4</v>
      </c>
      <c r="T44" s="62">
        <v>8.7907118055555557E-4</v>
      </c>
      <c r="U44" s="62">
        <v>1.196640625E-3</v>
      </c>
      <c r="V44" s="62">
        <v>9.7956597222222195E-4</v>
      </c>
      <c r="W44" s="62">
        <v>2.2923437499999997E-3</v>
      </c>
      <c r="X44" s="62">
        <v>2.0746788194444445E-3</v>
      </c>
    </row>
    <row r="45" spans="1:24" x14ac:dyDescent="0.45">
      <c r="A45" s="59" t="s">
        <v>242</v>
      </c>
      <c r="B45" s="59" t="s">
        <v>164</v>
      </c>
      <c r="C45" s="59">
        <v>14</v>
      </c>
      <c r="D45" s="59">
        <v>16</v>
      </c>
      <c r="E45" s="61">
        <v>45658</v>
      </c>
      <c r="F45" s="61">
        <v>46023</v>
      </c>
      <c r="G45" s="61">
        <v>45658</v>
      </c>
      <c r="H45" s="59" t="s">
        <v>178</v>
      </c>
      <c r="I45" s="59" t="s">
        <v>180</v>
      </c>
      <c r="J45" s="59"/>
      <c r="K45" s="59"/>
      <c r="L45" s="59">
        <v>10</v>
      </c>
      <c r="M45" s="62">
        <v>6.0031249999999993E-4</v>
      </c>
      <c r="N45" s="62">
        <v>8.8822048611111111E-4</v>
      </c>
      <c r="O45" s="62">
        <v>1.2161197916666666E-3</v>
      </c>
      <c r="P45" s="62">
        <v>9.9255208333333335E-4</v>
      </c>
      <c r="Q45" s="62">
        <v>2.3079861111111109E-3</v>
      </c>
      <c r="R45" s="62">
        <v>2.081909722222222E-3</v>
      </c>
      <c r="S45" s="62">
        <v>6.0031249999999993E-4</v>
      </c>
      <c r="T45" s="62">
        <v>8.8822048611111111E-4</v>
      </c>
      <c r="U45" s="62">
        <v>1.2161197916666666E-3</v>
      </c>
      <c r="V45" s="62">
        <v>9.9255208333333335E-4</v>
      </c>
      <c r="W45" s="62">
        <v>2.3079861111111109E-3</v>
      </c>
      <c r="X45" s="62">
        <v>2.081909722222222E-3</v>
      </c>
    </row>
    <row r="46" spans="1:24" x14ac:dyDescent="0.45">
      <c r="A46" s="59" t="s">
        <v>243</v>
      </c>
      <c r="B46" s="59" t="s">
        <v>182</v>
      </c>
      <c r="C46" s="59">
        <v>18</v>
      </c>
      <c r="D46" s="59">
        <v>18</v>
      </c>
      <c r="E46" s="61">
        <v>45658</v>
      </c>
      <c r="F46" s="61">
        <v>46023</v>
      </c>
      <c r="G46" s="61">
        <v>45658</v>
      </c>
      <c r="H46" s="59" t="s">
        <v>178</v>
      </c>
      <c r="I46" s="59" t="s">
        <v>180</v>
      </c>
      <c r="J46" s="59"/>
      <c r="K46" s="59"/>
      <c r="L46" s="59">
        <v>10</v>
      </c>
      <c r="M46" s="62">
        <v>4.7606481481481485E-4</v>
      </c>
      <c r="N46" s="62">
        <v>7.5306712962962957E-4</v>
      </c>
      <c r="O46" s="62">
        <v>1.0229976851851852E-3</v>
      </c>
      <c r="P46" s="62">
        <v>8.5793981481481485E-4</v>
      </c>
      <c r="Q46" s="62">
        <v>2.1210763888888889E-3</v>
      </c>
      <c r="R46" s="62">
        <v>1.9406712962962962E-3</v>
      </c>
      <c r="S46" s="62">
        <v>4.7606481481481485E-4</v>
      </c>
      <c r="T46" s="62">
        <v>7.5306712962962957E-4</v>
      </c>
      <c r="U46" s="62">
        <v>1.0229976851851852E-3</v>
      </c>
      <c r="V46" s="62">
        <v>8.5793981481481485E-4</v>
      </c>
      <c r="W46" s="62">
        <v>2.1210763888888889E-3</v>
      </c>
      <c r="X46" s="62">
        <v>1.9406712962962962E-3</v>
      </c>
    </row>
    <row r="47" spans="1:24" x14ac:dyDescent="0.45">
      <c r="A47" s="59" t="s">
        <v>243</v>
      </c>
      <c r="B47" s="59" t="s">
        <v>182</v>
      </c>
      <c r="C47" s="59">
        <v>17</v>
      </c>
      <c r="D47" s="59">
        <v>17</v>
      </c>
      <c r="E47" s="61">
        <v>45658</v>
      </c>
      <c r="F47" s="61">
        <v>46023</v>
      </c>
      <c r="G47" s="61">
        <v>45658</v>
      </c>
      <c r="H47" s="59" t="s">
        <v>178</v>
      </c>
      <c r="I47" s="59" t="s">
        <v>180</v>
      </c>
      <c r="J47" s="59"/>
      <c r="K47" s="59"/>
      <c r="L47" s="59">
        <v>10</v>
      </c>
      <c r="M47" s="62">
        <v>4.8133101851851852E-4</v>
      </c>
      <c r="N47" s="62">
        <v>7.6043981481481492E-4</v>
      </c>
      <c r="O47" s="62">
        <v>1.0378935185185187E-3</v>
      </c>
      <c r="P47" s="62">
        <v>8.7644675925925932E-4</v>
      </c>
      <c r="Q47" s="62">
        <v>2.1462037037037036E-3</v>
      </c>
      <c r="R47" s="62">
        <v>1.9635416666666668E-3</v>
      </c>
      <c r="S47" s="62">
        <v>4.8133101851851852E-4</v>
      </c>
      <c r="T47" s="62">
        <v>7.6043981481481492E-4</v>
      </c>
      <c r="U47" s="62">
        <v>1.0378935185185187E-3</v>
      </c>
      <c r="V47" s="62">
        <v>8.7644675925925932E-4</v>
      </c>
      <c r="W47" s="62">
        <v>2.1462037037037036E-3</v>
      </c>
      <c r="X47" s="62">
        <v>1.9635416666666668E-3</v>
      </c>
    </row>
    <row r="48" spans="1:24" x14ac:dyDescent="0.45">
      <c r="A48" s="59" t="s">
        <v>243</v>
      </c>
      <c r="B48" s="59" t="s">
        <v>182</v>
      </c>
      <c r="C48" s="59">
        <v>14</v>
      </c>
      <c r="D48" s="59">
        <v>16</v>
      </c>
      <c r="E48" s="61">
        <v>45658</v>
      </c>
      <c r="F48" s="61">
        <v>46023</v>
      </c>
      <c r="G48" s="61">
        <v>45658</v>
      </c>
      <c r="H48" s="59" t="s">
        <v>178</v>
      </c>
      <c r="I48" s="59" t="s">
        <v>180</v>
      </c>
      <c r="J48" s="59"/>
      <c r="K48" s="59"/>
      <c r="L48" s="59">
        <v>10</v>
      </c>
      <c r="M48" s="62">
        <v>4.8599537037037036E-4</v>
      </c>
      <c r="N48" s="62">
        <v>7.6736111111111113E-4</v>
      </c>
      <c r="O48" s="62">
        <v>1.0517361111111114E-3</v>
      </c>
      <c r="P48" s="62">
        <v>8.9344907407407418E-4</v>
      </c>
      <c r="Q48" s="62">
        <v>2.1695254629629629E-3</v>
      </c>
      <c r="R48" s="62">
        <v>1.9846064814814817E-3</v>
      </c>
      <c r="S48" s="62">
        <v>4.8599537037037036E-4</v>
      </c>
      <c r="T48" s="62">
        <v>7.6736111111111113E-4</v>
      </c>
      <c r="U48" s="62">
        <v>1.0517361111111114E-3</v>
      </c>
      <c r="V48" s="62">
        <v>8.9344907407407418E-4</v>
      </c>
      <c r="W48" s="62">
        <v>2.1695254629629629E-3</v>
      </c>
      <c r="X48" s="62">
        <v>1.9846064814814817E-3</v>
      </c>
    </row>
    <row r="49" spans="1:24" x14ac:dyDescent="0.45">
      <c r="A49" s="59" t="s">
        <v>244</v>
      </c>
      <c r="B49" s="59" t="s">
        <v>164</v>
      </c>
      <c r="C49" s="59">
        <v>18</v>
      </c>
      <c r="D49" s="59">
        <v>18</v>
      </c>
      <c r="E49" s="61">
        <v>45658</v>
      </c>
      <c r="F49" s="61">
        <v>46023</v>
      </c>
      <c r="G49" s="61">
        <v>45658</v>
      </c>
      <c r="H49" s="59" t="s">
        <v>178</v>
      </c>
      <c r="I49" s="59" t="s">
        <v>180</v>
      </c>
      <c r="J49" s="59"/>
      <c r="K49" s="59"/>
      <c r="L49" s="59">
        <v>10</v>
      </c>
      <c r="M49" s="62">
        <v>5.8891203703703709E-4</v>
      </c>
      <c r="N49" s="62">
        <v>8.8622685185185191E-4</v>
      </c>
      <c r="O49" s="62">
        <v>1.1985879629629629E-3</v>
      </c>
      <c r="P49" s="62">
        <v>9.8432870370370362E-4</v>
      </c>
      <c r="Q49" s="62">
        <v>2.3201388888888889E-3</v>
      </c>
      <c r="R49" s="62">
        <v>2.1073842592592594E-3</v>
      </c>
      <c r="S49" s="62">
        <v>5.8891203703703709E-4</v>
      </c>
      <c r="T49" s="62">
        <v>8.8622685185185191E-4</v>
      </c>
      <c r="U49" s="62">
        <v>1.1985879629629629E-3</v>
      </c>
      <c r="V49" s="62">
        <v>9.8432870370370362E-4</v>
      </c>
      <c r="W49" s="62">
        <v>2.3201388888888889E-3</v>
      </c>
      <c r="X49" s="62">
        <v>2.1073842592592594E-3</v>
      </c>
    </row>
    <row r="50" spans="1:24" x14ac:dyDescent="0.45">
      <c r="A50" s="59" t="s">
        <v>244</v>
      </c>
      <c r="B50" s="59" t="s">
        <v>164</v>
      </c>
      <c r="C50" s="59">
        <v>17</v>
      </c>
      <c r="D50" s="59">
        <v>17</v>
      </c>
      <c r="E50" s="61">
        <v>45658</v>
      </c>
      <c r="F50" s="61">
        <v>46023</v>
      </c>
      <c r="G50" s="61">
        <v>45658</v>
      </c>
      <c r="H50" s="59" t="s">
        <v>178</v>
      </c>
      <c r="I50" s="59" t="s">
        <v>180</v>
      </c>
      <c r="J50" s="59"/>
      <c r="K50" s="59"/>
      <c r="L50" s="59">
        <v>10</v>
      </c>
      <c r="M50" s="62">
        <v>6.0079861111111119E-4</v>
      </c>
      <c r="N50" s="62">
        <v>8.9630787037037044E-4</v>
      </c>
      <c r="O50" s="62">
        <v>1.2201041666666669E-3</v>
      </c>
      <c r="P50" s="62">
        <v>9.9877314814814815E-4</v>
      </c>
      <c r="Q50" s="62">
        <v>2.3372916666666668E-3</v>
      </c>
      <c r="R50" s="62">
        <v>2.1153587962962966E-3</v>
      </c>
      <c r="S50" s="62">
        <v>6.0079861111111119E-4</v>
      </c>
      <c r="T50" s="62">
        <v>8.9630787037037044E-4</v>
      </c>
      <c r="U50" s="62">
        <v>1.2201041666666669E-3</v>
      </c>
      <c r="V50" s="62">
        <v>9.9877314814814815E-4</v>
      </c>
      <c r="W50" s="62">
        <v>2.3372916666666668E-3</v>
      </c>
      <c r="X50" s="62">
        <v>2.1153587962962966E-3</v>
      </c>
    </row>
    <row r="51" spans="1:24" x14ac:dyDescent="0.45">
      <c r="A51" s="59" t="s">
        <v>244</v>
      </c>
      <c r="B51" s="59" t="s">
        <v>164</v>
      </c>
      <c r="C51" s="59">
        <v>14</v>
      </c>
      <c r="D51" s="59">
        <v>16</v>
      </c>
      <c r="E51" s="61">
        <v>45658</v>
      </c>
      <c r="F51" s="61">
        <v>46023</v>
      </c>
      <c r="G51" s="61">
        <v>45658</v>
      </c>
      <c r="H51" s="59" t="s">
        <v>178</v>
      </c>
      <c r="I51" s="59" t="s">
        <v>180</v>
      </c>
      <c r="J51" s="59"/>
      <c r="K51" s="59"/>
      <c r="L51" s="59">
        <v>10</v>
      </c>
      <c r="M51" s="62">
        <v>6.1208333333333329E-4</v>
      </c>
      <c r="N51" s="62">
        <v>9.0563657407407411E-4</v>
      </c>
      <c r="O51" s="62">
        <v>1.2399652777777778E-3</v>
      </c>
      <c r="P51" s="62">
        <v>1.0120138888888889E-3</v>
      </c>
      <c r="Q51" s="62">
        <v>2.3532407407407408E-3</v>
      </c>
      <c r="R51" s="62">
        <v>2.1227314814814815E-3</v>
      </c>
      <c r="S51" s="62">
        <v>6.1208333333333329E-4</v>
      </c>
      <c r="T51" s="62">
        <v>9.0563657407407411E-4</v>
      </c>
      <c r="U51" s="62">
        <v>1.2399652777777778E-3</v>
      </c>
      <c r="V51" s="62">
        <v>1.0120138888888889E-3</v>
      </c>
      <c r="W51" s="62">
        <v>2.3532407407407408E-3</v>
      </c>
      <c r="X51" s="62">
        <v>2.1227314814814815E-3</v>
      </c>
    </row>
    <row r="52" spans="1:24" x14ac:dyDescent="0.45">
      <c r="A52" s="59" t="s">
        <v>232</v>
      </c>
      <c r="B52" s="59" t="s">
        <v>182</v>
      </c>
      <c r="C52" s="59">
        <v>19</v>
      </c>
      <c r="D52" s="59">
        <v>19</v>
      </c>
      <c r="E52" s="61">
        <v>45658</v>
      </c>
      <c r="F52" s="61">
        <v>46174</v>
      </c>
      <c r="G52" s="61">
        <v>45658</v>
      </c>
      <c r="H52" s="59" t="s">
        <v>178</v>
      </c>
      <c r="I52" s="59" t="s">
        <v>180</v>
      </c>
      <c r="J52" s="59"/>
      <c r="K52" s="59"/>
      <c r="L52" s="59">
        <v>10</v>
      </c>
      <c r="M52" s="62">
        <v>3.9722222222222226E-4</v>
      </c>
      <c r="N52" s="62">
        <v>6.2893518518518528E-4</v>
      </c>
      <c r="O52" s="62">
        <v>8.490625000000001E-4</v>
      </c>
      <c r="P52" s="62">
        <v>7.0545138888888882E-4</v>
      </c>
      <c r="Q52" s="62">
        <v>1.7668750000000002E-3</v>
      </c>
      <c r="R52" s="62">
        <v>1.6167708333333333E-3</v>
      </c>
      <c r="S52" s="62">
        <f t="shared" ref="S52:S99" si="6">M52</f>
        <v>3.9722222222222226E-4</v>
      </c>
      <c r="T52" s="62">
        <f t="shared" ref="T52:T111" si="7">N52</f>
        <v>6.2893518518518528E-4</v>
      </c>
      <c r="U52" s="62">
        <f t="shared" ref="U52:U111" si="8">O52</f>
        <v>8.490625000000001E-4</v>
      </c>
      <c r="V52" s="62">
        <f t="shared" ref="V52:V111" si="9">P52</f>
        <v>7.0545138888888882E-4</v>
      </c>
      <c r="W52" s="62">
        <f t="shared" ref="W52:W111" si="10">Q52</f>
        <v>1.7668750000000002E-3</v>
      </c>
      <c r="X52" s="62">
        <f t="shared" ref="X52:X111" si="11">R52</f>
        <v>1.6167708333333333E-3</v>
      </c>
    </row>
    <row r="53" spans="1:24" x14ac:dyDescent="0.45">
      <c r="A53" s="59" t="s">
        <v>232</v>
      </c>
      <c r="B53" s="59" t="s">
        <v>182</v>
      </c>
      <c r="C53" s="59">
        <v>20</v>
      </c>
      <c r="D53" s="59">
        <v>22</v>
      </c>
      <c r="E53" s="61">
        <v>45658</v>
      </c>
      <c r="F53" s="61">
        <v>46174</v>
      </c>
      <c r="G53" s="61">
        <v>45658</v>
      </c>
      <c r="H53" s="59" t="s">
        <v>178</v>
      </c>
      <c r="I53" s="59" t="s">
        <v>180</v>
      </c>
      <c r="J53" s="59"/>
      <c r="K53" s="59"/>
      <c r="L53" s="59">
        <v>10</v>
      </c>
      <c r="M53" s="62">
        <v>3.9365740740740745E-4</v>
      </c>
      <c r="N53" s="62">
        <v>6.2384259259259272E-4</v>
      </c>
      <c r="O53" s="62">
        <v>8.3900462962962976E-4</v>
      </c>
      <c r="P53" s="62">
        <v>6.9322916666666675E-4</v>
      </c>
      <c r="Q53" s="62">
        <v>1.7496875000000002E-3</v>
      </c>
      <c r="R53" s="62">
        <v>1.6011111111111113E-3</v>
      </c>
      <c r="S53" s="62">
        <f t="shared" si="6"/>
        <v>3.9365740740740745E-4</v>
      </c>
      <c r="T53" s="62">
        <f t="shared" si="7"/>
        <v>6.2384259259259272E-4</v>
      </c>
      <c r="U53" s="62">
        <f t="shared" si="8"/>
        <v>8.3900462962962976E-4</v>
      </c>
      <c r="V53" s="62">
        <f t="shared" si="9"/>
        <v>6.9322916666666675E-4</v>
      </c>
      <c r="W53" s="62">
        <f t="shared" si="10"/>
        <v>1.7496875000000002E-3</v>
      </c>
      <c r="X53" s="62">
        <f t="shared" si="11"/>
        <v>1.6011111111111113E-3</v>
      </c>
    </row>
    <row r="54" spans="1:24" x14ac:dyDescent="0.45">
      <c r="A54" s="59" t="s">
        <v>232</v>
      </c>
      <c r="B54" s="59" t="s">
        <v>182</v>
      </c>
      <c r="C54" s="59">
        <v>23</v>
      </c>
      <c r="D54" s="59">
        <v>40</v>
      </c>
      <c r="E54" s="61">
        <v>45658</v>
      </c>
      <c r="F54" s="61">
        <v>46174</v>
      </c>
      <c r="G54" s="61">
        <v>45658</v>
      </c>
      <c r="H54" s="59" t="s">
        <v>178</v>
      </c>
      <c r="I54" s="59" t="s">
        <v>180</v>
      </c>
      <c r="J54" s="59"/>
      <c r="K54" s="59"/>
      <c r="L54" s="59">
        <v>10</v>
      </c>
      <c r="M54" s="62">
        <v>3.8283564814814821E-4</v>
      </c>
      <c r="N54" s="62">
        <v>6.079282407407408E-4</v>
      </c>
      <c r="O54" s="62">
        <v>8.0768518518518526E-4</v>
      </c>
      <c r="P54" s="62">
        <v>6.5554398148148145E-4</v>
      </c>
      <c r="Q54" s="62">
        <v>1.6964699074074076E-3</v>
      </c>
      <c r="R54" s="62">
        <v>1.5527314814814815E-3</v>
      </c>
      <c r="S54" s="62">
        <f t="shared" si="6"/>
        <v>3.8283564814814821E-4</v>
      </c>
      <c r="T54" s="62">
        <f t="shared" si="7"/>
        <v>6.079282407407408E-4</v>
      </c>
      <c r="U54" s="62">
        <f t="shared" si="8"/>
        <v>8.0768518518518526E-4</v>
      </c>
      <c r="V54" s="62">
        <f t="shared" si="9"/>
        <v>6.5554398148148145E-4</v>
      </c>
      <c r="W54" s="62">
        <f t="shared" si="10"/>
        <v>1.6964699074074076E-3</v>
      </c>
      <c r="X54" s="62">
        <f t="shared" si="11"/>
        <v>1.5527314814814815E-3</v>
      </c>
    </row>
    <row r="55" spans="1:24" x14ac:dyDescent="0.45">
      <c r="A55" s="59" t="s">
        <v>231</v>
      </c>
      <c r="B55" s="59" t="s">
        <v>164</v>
      </c>
      <c r="C55" s="59">
        <v>19</v>
      </c>
      <c r="D55" s="59">
        <v>19</v>
      </c>
      <c r="E55" s="61">
        <v>45658</v>
      </c>
      <c r="F55" s="61">
        <v>46174</v>
      </c>
      <c r="G55" s="61">
        <v>45658</v>
      </c>
      <c r="H55" s="59" t="s">
        <v>178</v>
      </c>
      <c r="I55" s="59" t="s">
        <v>180</v>
      </c>
      <c r="J55" s="59"/>
      <c r="K55" s="59"/>
      <c r="L55" s="59">
        <v>10</v>
      </c>
      <c r="M55" s="62">
        <v>4.8506944444444455E-4</v>
      </c>
      <c r="N55" s="62">
        <v>7.3880787037037046E-4</v>
      </c>
      <c r="O55" s="62">
        <v>9.9038194444444434E-4</v>
      </c>
      <c r="P55" s="62">
        <v>8.1685185185185192E-4</v>
      </c>
      <c r="Q55" s="62">
        <v>1.9440972222222223E-3</v>
      </c>
      <c r="R55" s="62">
        <v>1.7742592592592597E-3</v>
      </c>
      <c r="S55" s="62">
        <f t="shared" si="6"/>
        <v>4.8506944444444455E-4</v>
      </c>
      <c r="T55" s="62">
        <f t="shared" si="7"/>
        <v>7.3880787037037046E-4</v>
      </c>
      <c r="U55" s="62">
        <f t="shared" si="8"/>
        <v>9.9038194444444434E-4</v>
      </c>
      <c r="V55" s="62">
        <f t="shared" si="9"/>
        <v>8.1685185185185192E-4</v>
      </c>
      <c r="W55" s="62">
        <f t="shared" si="10"/>
        <v>1.9440972222222223E-3</v>
      </c>
      <c r="X55" s="62">
        <f t="shared" si="11"/>
        <v>1.7742592592592597E-3</v>
      </c>
    </row>
    <row r="56" spans="1:24" x14ac:dyDescent="0.45">
      <c r="A56" s="59" t="s">
        <v>231</v>
      </c>
      <c r="B56" s="59" t="s">
        <v>164</v>
      </c>
      <c r="C56" s="59">
        <v>20</v>
      </c>
      <c r="D56" s="59">
        <v>22</v>
      </c>
      <c r="E56" s="61">
        <v>45658</v>
      </c>
      <c r="F56" s="61">
        <v>46174</v>
      </c>
      <c r="G56" s="61">
        <v>45658</v>
      </c>
      <c r="H56" s="59" t="s">
        <v>178</v>
      </c>
      <c r="I56" s="59" t="s">
        <v>180</v>
      </c>
      <c r="J56" s="59"/>
      <c r="K56" s="59"/>
      <c r="L56" s="59">
        <v>10</v>
      </c>
      <c r="M56" s="62">
        <v>4.7717592592592592E-4</v>
      </c>
      <c r="N56" s="62">
        <v>7.3193287037037042E-4</v>
      </c>
      <c r="O56" s="62">
        <v>9.7599537037037034E-4</v>
      </c>
      <c r="P56" s="62">
        <v>8.0704861111111114E-4</v>
      </c>
      <c r="Q56" s="62">
        <v>1.9321296296296298E-3</v>
      </c>
      <c r="R56" s="62">
        <v>1.7686574074074078E-3</v>
      </c>
      <c r="S56" s="62">
        <f t="shared" si="6"/>
        <v>4.7717592592592592E-4</v>
      </c>
      <c r="T56" s="62">
        <f t="shared" si="7"/>
        <v>7.3193287037037042E-4</v>
      </c>
      <c r="U56" s="62">
        <f t="shared" si="8"/>
        <v>9.7599537037037034E-4</v>
      </c>
      <c r="V56" s="62">
        <f t="shared" si="9"/>
        <v>8.0704861111111114E-4</v>
      </c>
      <c r="W56" s="62">
        <f t="shared" si="10"/>
        <v>1.9321296296296298E-3</v>
      </c>
      <c r="X56" s="62">
        <f t="shared" si="11"/>
        <v>1.7686574074074078E-3</v>
      </c>
    </row>
    <row r="57" spans="1:24" x14ac:dyDescent="0.45">
      <c r="A57" s="59" t="s">
        <v>231</v>
      </c>
      <c r="B57" s="59" t="s">
        <v>164</v>
      </c>
      <c r="C57" s="59">
        <v>23</v>
      </c>
      <c r="D57" s="59">
        <v>40</v>
      </c>
      <c r="E57" s="61">
        <v>45658</v>
      </c>
      <c r="F57" s="61">
        <v>46174</v>
      </c>
      <c r="G57" s="61">
        <v>45658</v>
      </c>
      <c r="H57" s="59" t="s">
        <v>178</v>
      </c>
      <c r="I57" s="59" t="s">
        <v>180</v>
      </c>
      <c r="J57" s="59"/>
      <c r="K57" s="59"/>
      <c r="L57" s="59">
        <v>10</v>
      </c>
      <c r="M57" s="62">
        <v>4.5273148148148153E-4</v>
      </c>
      <c r="N57" s="62">
        <v>7.1067129629629638E-4</v>
      </c>
      <c r="O57" s="62">
        <v>9.3168981481481499E-4</v>
      </c>
      <c r="P57" s="62">
        <v>7.7687500000000011E-4</v>
      </c>
      <c r="Q57" s="62">
        <v>1.8950810185185186E-3</v>
      </c>
      <c r="R57" s="62">
        <v>1.751087962962963E-3</v>
      </c>
      <c r="S57" s="62">
        <f t="shared" si="6"/>
        <v>4.5273148148148153E-4</v>
      </c>
      <c r="T57" s="62">
        <f t="shared" si="7"/>
        <v>7.1067129629629638E-4</v>
      </c>
      <c r="U57" s="62">
        <f t="shared" si="8"/>
        <v>9.3168981481481499E-4</v>
      </c>
      <c r="V57" s="62">
        <f t="shared" si="9"/>
        <v>7.7687500000000011E-4</v>
      </c>
      <c r="W57" s="62">
        <f t="shared" si="10"/>
        <v>1.8950810185185186E-3</v>
      </c>
      <c r="X57" s="62">
        <f t="shared" si="11"/>
        <v>1.751087962962963E-3</v>
      </c>
    </row>
    <row r="58" spans="1:24" x14ac:dyDescent="0.45">
      <c r="A58" s="59" t="s">
        <v>257</v>
      </c>
      <c r="B58" s="59" t="s">
        <v>182</v>
      </c>
      <c r="C58" s="59">
        <v>19</v>
      </c>
      <c r="D58" s="59">
        <v>19</v>
      </c>
      <c r="E58" s="61">
        <v>45658</v>
      </c>
      <c r="F58" s="61">
        <v>46174</v>
      </c>
      <c r="G58" s="61">
        <v>45658</v>
      </c>
      <c r="H58" s="59" t="s">
        <v>178</v>
      </c>
      <c r="I58" s="59" t="s">
        <v>180</v>
      </c>
      <c r="J58" s="59"/>
      <c r="K58" s="59"/>
      <c r="L58" s="59">
        <v>10</v>
      </c>
      <c r="M58" s="62">
        <v>4.0624999999999998E-4</v>
      </c>
      <c r="N58" s="62">
        <v>6.4322916666666673E-4</v>
      </c>
      <c r="O58" s="62">
        <v>8.6835937499999999E-4</v>
      </c>
      <c r="P58" s="62">
        <v>7.214843749999999E-4</v>
      </c>
      <c r="Q58" s="62">
        <v>1.80703125E-3</v>
      </c>
      <c r="R58" s="62">
        <v>1.6535156249999998E-3</v>
      </c>
      <c r="S58" s="62">
        <f t="shared" si="6"/>
        <v>4.0624999999999998E-4</v>
      </c>
      <c r="T58" s="62">
        <f t="shared" si="7"/>
        <v>6.4322916666666673E-4</v>
      </c>
      <c r="U58" s="62">
        <f t="shared" si="8"/>
        <v>8.6835937499999999E-4</v>
      </c>
      <c r="V58" s="62">
        <f t="shared" si="9"/>
        <v>7.214843749999999E-4</v>
      </c>
      <c r="W58" s="62">
        <f t="shared" si="10"/>
        <v>1.80703125E-3</v>
      </c>
      <c r="X58" s="62">
        <f t="shared" si="11"/>
        <v>1.6535156249999998E-3</v>
      </c>
    </row>
    <row r="59" spans="1:24" x14ac:dyDescent="0.45">
      <c r="A59" s="59" t="s">
        <v>257</v>
      </c>
      <c r="B59" s="59" t="s">
        <v>182</v>
      </c>
      <c r="C59" s="59">
        <v>20</v>
      </c>
      <c r="D59" s="59">
        <v>22</v>
      </c>
      <c r="E59" s="61">
        <v>45658</v>
      </c>
      <c r="F59" s="61">
        <v>46174</v>
      </c>
      <c r="G59" s="61">
        <v>45658</v>
      </c>
      <c r="H59" s="59" t="s">
        <v>178</v>
      </c>
      <c r="I59" s="59" t="s">
        <v>180</v>
      </c>
      <c r="J59" s="59"/>
      <c r="K59" s="59"/>
      <c r="L59" s="59">
        <v>10</v>
      </c>
      <c r="M59" s="62">
        <v>4.0260416666666667E-4</v>
      </c>
      <c r="N59" s="62">
        <v>6.3802083333333332E-4</v>
      </c>
      <c r="O59" s="62">
        <v>8.5807291666666671E-4</v>
      </c>
      <c r="P59" s="62">
        <v>7.0898437499999998E-4</v>
      </c>
      <c r="Q59" s="62">
        <v>1.789453125E-3</v>
      </c>
      <c r="R59" s="62">
        <v>1.6375000000000001E-3</v>
      </c>
      <c r="S59" s="62">
        <f t="shared" si="6"/>
        <v>4.0260416666666667E-4</v>
      </c>
      <c r="T59" s="62">
        <f t="shared" si="7"/>
        <v>6.3802083333333332E-4</v>
      </c>
      <c r="U59" s="62">
        <f t="shared" si="8"/>
        <v>8.5807291666666671E-4</v>
      </c>
      <c r="V59" s="62">
        <f t="shared" si="9"/>
        <v>7.0898437499999998E-4</v>
      </c>
      <c r="W59" s="62">
        <f t="shared" si="10"/>
        <v>1.789453125E-3</v>
      </c>
      <c r="X59" s="62">
        <f t="shared" si="11"/>
        <v>1.6375000000000001E-3</v>
      </c>
    </row>
    <row r="60" spans="1:24" x14ac:dyDescent="0.45">
      <c r="A60" s="59" t="s">
        <v>257</v>
      </c>
      <c r="B60" s="59" t="s">
        <v>182</v>
      </c>
      <c r="C60" s="59">
        <v>23</v>
      </c>
      <c r="D60" s="59">
        <v>40</v>
      </c>
      <c r="E60" s="61">
        <v>45658</v>
      </c>
      <c r="F60" s="61">
        <v>46174</v>
      </c>
      <c r="G60" s="61">
        <v>45658</v>
      </c>
      <c r="H60" s="59" t="s">
        <v>178</v>
      </c>
      <c r="I60" s="59" t="s">
        <v>180</v>
      </c>
      <c r="J60" s="59"/>
      <c r="K60" s="59"/>
      <c r="L60" s="59">
        <v>10</v>
      </c>
      <c r="M60" s="62">
        <v>3.9153645833333336E-4</v>
      </c>
      <c r="N60" s="62">
        <v>6.2174479166666671E-4</v>
      </c>
      <c r="O60" s="62">
        <v>8.2604166666666666E-4</v>
      </c>
      <c r="P60" s="62">
        <v>6.7044270833333333E-4</v>
      </c>
      <c r="Q60" s="62">
        <v>1.7350260416666668E-3</v>
      </c>
      <c r="R60" s="62">
        <v>1.5880208333333332E-3</v>
      </c>
      <c r="S60" s="62">
        <f t="shared" si="6"/>
        <v>3.9153645833333336E-4</v>
      </c>
      <c r="T60" s="62">
        <f t="shared" si="7"/>
        <v>6.2174479166666671E-4</v>
      </c>
      <c r="U60" s="62">
        <f t="shared" si="8"/>
        <v>8.2604166666666666E-4</v>
      </c>
      <c r="V60" s="62">
        <f t="shared" si="9"/>
        <v>6.7044270833333333E-4</v>
      </c>
      <c r="W60" s="62">
        <f t="shared" si="10"/>
        <v>1.7350260416666668E-3</v>
      </c>
      <c r="X60" s="62">
        <f t="shared" si="11"/>
        <v>1.5880208333333332E-3</v>
      </c>
    </row>
    <row r="61" spans="1:24" x14ac:dyDescent="0.45">
      <c r="A61" s="59" t="s">
        <v>258</v>
      </c>
      <c r="B61" s="59" t="s">
        <v>164</v>
      </c>
      <c r="C61" s="59">
        <v>19</v>
      </c>
      <c r="D61" s="59">
        <v>19</v>
      </c>
      <c r="E61" s="61">
        <v>45658</v>
      </c>
      <c r="F61" s="61">
        <v>46174</v>
      </c>
      <c r="G61" s="61">
        <v>45658</v>
      </c>
      <c r="H61" s="59" t="s">
        <v>178</v>
      </c>
      <c r="I61" s="59" t="s">
        <v>180</v>
      </c>
      <c r="J61" s="59"/>
      <c r="K61" s="59"/>
      <c r="L61" s="59">
        <v>10</v>
      </c>
      <c r="M61" s="62">
        <v>4.9609375000000001E-4</v>
      </c>
      <c r="N61" s="62">
        <v>7.5559895833333338E-4</v>
      </c>
      <c r="O61" s="62">
        <v>1.0128906249999999E-3</v>
      </c>
      <c r="P61" s="62">
        <v>8.354166666666666E-4</v>
      </c>
      <c r="Q61" s="62">
        <v>1.98828125E-3</v>
      </c>
      <c r="R61" s="62">
        <v>1.8145833333333336E-3</v>
      </c>
      <c r="S61" s="62">
        <f t="shared" si="6"/>
        <v>4.9609375000000001E-4</v>
      </c>
      <c r="T61" s="62">
        <f t="shared" si="7"/>
        <v>7.5559895833333338E-4</v>
      </c>
      <c r="U61" s="62">
        <f t="shared" si="8"/>
        <v>1.0128906249999999E-3</v>
      </c>
      <c r="V61" s="62">
        <f t="shared" si="9"/>
        <v>8.354166666666666E-4</v>
      </c>
      <c r="W61" s="62">
        <f t="shared" si="10"/>
        <v>1.98828125E-3</v>
      </c>
      <c r="X61" s="62">
        <f t="shared" si="11"/>
        <v>1.8145833333333336E-3</v>
      </c>
    </row>
    <row r="62" spans="1:24" x14ac:dyDescent="0.45">
      <c r="A62" s="59" t="s">
        <v>258</v>
      </c>
      <c r="B62" s="59" t="s">
        <v>164</v>
      </c>
      <c r="C62" s="59">
        <v>20</v>
      </c>
      <c r="D62" s="59">
        <v>22</v>
      </c>
      <c r="E62" s="61">
        <v>45658</v>
      </c>
      <c r="F62" s="61">
        <v>46174</v>
      </c>
      <c r="G62" s="61">
        <v>45658</v>
      </c>
      <c r="H62" s="59" t="s">
        <v>178</v>
      </c>
      <c r="I62" s="59" t="s">
        <v>180</v>
      </c>
      <c r="J62" s="59"/>
      <c r="K62" s="59"/>
      <c r="L62" s="59">
        <v>10</v>
      </c>
      <c r="M62" s="62">
        <v>4.8802083333333331E-4</v>
      </c>
      <c r="N62" s="62">
        <v>7.4856770833333329E-4</v>
      </c>
      <c r="O62" s="62">
        <v>9.9817708333333334E-4</v>
      </c>
      <c r="P62" s="62">
        <v>8.2539062499999995E-4</v>
      </c>
      <c r="Q62" s="62">
        <v>1.9760416666666667E-3</v>
      </c>
      <c r="R62" s="62">
        <v>1.8088541666666669E-3</v>
      </c>
      <c r="S62" s="62">
        <f t="shared" si="6"/>
        <v>4.8802083333333331E-4</v>
      </c>
      <c r="T62" s="62">
        <f t="shared" si="7"/>
        <v>7.4856770833333329E-4</v>
      </c>
      <c r="U62" s="62">
        <f t="shared" si="8"/>
        <v>9.9817708333333334E-4</v>
      </c>
      <c r="V62" s="62">
        <f t="shared" si="9"/>
        <v>8.2539062499999995E-4</v>
      </c>
      <c r="W62" s="62">
        <f t="shared" si="10"/>
        <v>1.9760416666666667E-3</v>
      </c>
      <c r="X62" s="62">
        <f t="shared" si="11"/>
        <v>1.8088541666666669E-3</v>
      </c>
    </row>
    <row r="63" spans="1:24" x14ac:dyDescent="0.45">
      <c r="A63" s="59" t="s">
        <v>258</v>
      </c>
      <c r="B63" s="59" t="s">
        <v>164</v>
      </c>
      <c r="C63" s="59">
        <v>23</v>
      </c>
      <c r="D63" s="59">
        <v>40</v>
      </c>
      <c r="E63" s="61">
        <v>45658</v>
      </c>
      <c r="F63" s="61">
        <v>46174</v>
      </c>
      <c r="G63" s="61">
        <v>45658</v>
      </c>
      <c r="H63" s="59" t="s">
        <v>178</v>
      </c>
      <c r="I63" s="59" t="s">
        <v>180</v>
      </c>
      <c r="J63" s="59"/>
      <c r="K63" s="59"/>
      <c r="L63" s="59">
        <v>10</v>
      </c>
      <c r="M63" s="62">
        <v>4.6302083333333335E-4</v>
      </c>
      <c r="N63" s="62">
        <v>7.2682291666666663E-4</v>
      </c>
      <c r="O63" s="62">
        <v>9.5286458333333345E-4</v>
      </c>
      <c r="P63" s="62">
        <v>7.945312500000001E-4</v>
      </c>
      <c r="Q63" s="62">
        <v>1.9381510416666666E-3</v>
      </c>
      <c r="R63" s="62">
        <v>1.7908854166666665E-3</v>
      </c>
      <c r="S63" s="62">
        <f t="shared" si="6"/>
        <v>4.6302083333333335E-4</v>
      </c>
      <c r="T63" s="62">
        <f t="shared" si="7"/>
        <v>7.2682291666666663E-4</v>
      </c>
      <c r="U63" s="62">
        <f t="shared" si="8"/>
        <v>9.5286458333333345E-4</v>
      </c>
      <c r="V63" s="62">
        <f t="shared" si="9"/>
        <v>7.945312500000001E-4</v>
      </c>
      <c r="W63" s="62">
        <f t="shared" si="10"/>
        <v>1.9381510416666666E-3</v>
      </c>
      <c r="X63" s="62">
        <f t="shared" si="11"/>
        <v>1.7908854166666665E-3</v>
      </c>
    </row>
    <row r="64" spans="1:24" x14ac:dyDescent="0.45">
      <c r="A64" s="59" t="s">
        <v>259</v>
      </c>
      <c r="B64" s="59" t="s">
        <v>182</v>
      </c>
      <c r="C64" s="59">
        <v>19</v>
      </c>
      <c r="D64" s="59">
        <v>19</v>
      </c>
      <c r="E64" s="61">
        <v>45658</v>
      </c>
      <c r="F64" s="61">
        <v>46174</v>
      </c>
      <c r="G64" s="61">
        <v>45658</v>
      </c>
      <c r="H64" s="59" t="s">
        <v>178</v>
      </c>
      <c r="I64" s="59" t="s">
        <v>180</v>
      </c>
      <c r="J64" s="59"/>
      <c r="K64" s="59"/>
      <c r="L64" s="59">
        <v>10</v>
      </c>
      <c r="M64" s="62">
        <v>4.152777777777777E-4</v>
      </c>
      <c r="N64" s="62">
        <v>6.5752314814814807E-4</v>
      </c>
      <c r="O64" s="62">
        <v>8.8765624999999988E-4</v>
      </c>
      <c r="P64" s="62">
        <v>7.3751736111111099E-4</v>
      </c>
      <c r="Q64" s="62">
        <v>1.8471874999999999E-3</v>
      </c>
      <c r="R64" s="62">
        <v>1.6902604166666663E-3</v>
      </c>
      <c r="S64" s="62">
        <f t="shared" si="6"/>
        <v>4.152777777777777E-4</v>
      </c>
      <c r="T64" s="62">
        <f t="shared" si="7"/>
        <v>6.5752314814814807E-4</v>
      </c>
      <c r="U64" s="62">
        <f t="shared" si="8"/>
        <v>8.8765624999999988E-4</v>
      </c>
      <c r="V64" s="62">
        <f t="shared" si="9"/>
        <v>7.3751736111111099E-4</v>
      </c>
      <c r="W64" s="62">
        <f t="shared" si="10"/>
        <v>1.8471874999999999E-3</v>
      </c>
      <c r="X64" s="62">
        <f t="shared" si="11"/>
        <v>1.6902604166666663E-3</v>
      </c>
    </row>
    <row r="65" spans="1:24" x14ac:dyDescent="0.45">
      <c r="A65" s="59" t="s">
        <v>259</v>
      </c>
      <c r="B65" s="59" t="s">
        <v>182</v>
      </c>
      <c r="C65" s="59">
        <v>20</v>
      </c>
      <c r="D65" s="59">
        <v>22</v>
      </c>
      <c r="E65" s="61">
        <v>45658</v>
      </c>
      <c r="F65" s="61">
        <v>46174</v>
      </c>
      <c r="G65" s="61">
        <v>45658</v>
      </c>
      <c r="H65" s="59" t="s">
        <v>178</v>
      </c>
      <c r="I65" s="59" t="s">
        <v>180</v>
      </c>
      <c r="J65" s="59"/>
      <c r="K65" s="59"/>
      <c r="L65" s="59">
        <v>10</v>
      </c>
      <c r="M65" s="62">
        <v>4.1155092592592589E-4</v>
      </c>
      <c r="N65" s="62">
        <v>6.5219907407407403E-4</v>
      </c>
      <c r="O65" s="62">
        <v>8.7714120370370365E-4</v>
      </c>
      <c r="P65" s="62">
        <v>7.247395833333332E-4</v>
      </c>
      <c r="Q65" s="62">
        <v>1.8292187499999999E-3</v>
      </c>
      <c r="R65" s="62">
        <v>1.6738888888888888E-3</v>
      </c>
      <c r="S65" s="62">
        <f t="shared" si="6"/>
        <v>4.1155092592592589E-4</v>
      </c>
      <c r="T65" s="62">
        <f t="shared" si="7"/>
        <v>6.5219907407407403E-4</v>
      </c>
      <c r="U65" s="62">
        <f t="shared" si="8"/>
        <v>8.7714120370370365E-4</v>
      </c>
      <c r="V65" s="62">
        <f t="shared" si="9"/>
        <v>7.247395833333332E-4</v>
      </c>
      <c r="W65" s="62">
        <f t="shared" si="10"/>
        <v>1.8292187499999999E-3</v>
      </c>
      <c r="X65" s="62">
        <f t="shared" si="11"/>
        <v>1.6738888888888888E-3</v>
      </c>
    </row>
    <row r="66" spans="1:24" x14ac:dyDescent="0.45">
      <c r="A66" s="59" t="s">
        <v>259</v>
      </c>
      <c r="B66" s="59" t="s">
        <v>182</v>
      </c>
      <c r="C66" s="59">
        <v>23</v>
      </c>
      <c r="D66" s="59">
        <v>40</v>
      </c>
      <c r="E66" s="61">
        <v>45658</v>
      </c>
      <c r="F66" s="61">
        <v>46174</v>
      </c>
      <c r="G66" s="61">
        <v>45658</v>
      </c>
      <c r="H66" s="59" t="s">
        <v>178</v>
      </c>
      <c r="I66" s="59" t="s">
        <v>180</v>
      </c>
      <c r="J66" s="59"/>
      <c r="K66" s="59"/>
      <c r="L66" s="59">
        <v>10</v>
      </c>
      <c r="M66" s="62">
        <v>4.0023726851851852E-4</v>
      </c>
      <c r="N66" s="62">
        <v>6.3556134259259251E-4</v>
      </c>
      <c r="O66" s="62">
        <v>8.4439814814814805E-4</v>
      </c>
      <c r="P66" s="62">
        <v>6.853414351851851E-4</v>
      </c>
      <c r="Q66" s="62">
        <v>1.7735821759259258E-3</v>
      </c>
      <c r="R66" s="62">
        <v>1.6233101851851849E-3</v>
      </c>
      <c r="S66" s="62">
        <f t="shared" si="6"/>
        <v>4.0023726851851852E-4</v>
      </c>
      <c r="T66" s="62">
        <f t="shared" si="7"/>
        <v>6.3556134259259251E-4</v>
      </c>
      <c r="U66" s="62">
        <f t="shared" si="8"/>
        <v>8.4439814814814805E-4</v>
      </c>
      <c r="V66" s="62">
        <f t="shared" si="9"/>
        <v>6.853414351851851E-4</v>
      </c>
      <c r="W66" s="62">
        <f t="shared" si="10"/>
        <v>1.7735821759259258E-3</v>
      </c>
      <c r="X66" s="62">
        <f t="shared" si="11"/>
        <v>1.6233101851851849E-3</v>
      </c>
    </row>
    <row r="67" spans="1:24" x14ac:dyDescent="0.45">
      <c r="A67" s="59" t="s">
        <v>260</v>
      </c>
      <c r="B67" s="59" t="s">
        <v>164</v>
      </c>
      <c r="C67" s="59">
        <v>19</v>
      </c>
      <c r="D67" s="59">
        <v>19</v>
      </c>
      <c r="E67" s="61">
        <v>45658</v>
      </c>
      <c r="F67" s="61">
        <v>46174</v>
      </c>
      <c r="G67" s="61">
        <v>45658</v>
      </c>
      <c r="H67" s="59" t="s">
        <v>178</v>
      </c>
      <c r="I67" s="59" t="s">
        <v>180</v>
      </c>
      <c r="J67" s="59"/>
      <c r="K67" s="59"/>
      <c r="L67" s="59">
        <v>10</v>
      </c>
      <c r="M67" s="62">
        <v>5.0711805555555558E-4</v>
      </c>
      <c r="N67" s="62">
        <v>7.723900462962963E-4</v>
      </c>
      <c r="O67" s="62">
        <v>1.0353993055555552E-3</v>
      </c>
      <c r="P67" s="62">
        <v>8.5398148148148139E-4</v>
      </c>
      <c r="Q67" s="62">
        <v>2.0324652777777776E-3</v>
      </c>
      <c r="R67" s="62">
        <v>1.8549074074074075E-3</v>
      </c>
      <c r="S67" s="62">
        <f t="shared" si="6"/>
        <v>5.0711805555555558E-4</v>
      </c>
      <c r="T67" s="62">
        <f t="shared" si="7"/>
        <v>7.723900462962963E-4</v>
      </c>
      <c r="U67" s="62">
        <f t="shared" si="8"/>
        <v>1.0353993055555552E-3</v>
      </c>
      <c r="V67" s="62">
        <f t="shared" si="9"/>
        <v>8.5398148148148139E-4</v>
      </c>
      <c r="W67" s="62">
        <f t="shared" si="10"/>
        <v>2.0324652777777776E-3</v>
      </c>
      <c r="X67" s="62">
        <f t="shared" si="11"/>
        <v>1.8549074074074075E-3</v>
      </c>
    </row>
    <row r="68" spans="1:24" x14ac:dyDescent="0.45">
      <c r="A68" s="59" t="s">
        <v>260</v>
      </c>
      <c r="B68" s="59" t="s">
        <v>164</v>
      </c>
      <c r="C68" s="59">
        <v>20</v>
      </c>
      <c r="D68" s="59">
        <v>22</v>
      </c>
      <c r="E68" s="61">
        <v>45658</v>
      </c>
      <c r="F68" s="61">
        <v>46174</v>
      </c>
      <c r="G68" s="61">
        <v>45658</v>
      </c>
      <c r="H68" s="59" t="s">
        <v>178</v>
      </c>
      <c r="I68" s="59" t="s">
        <v>180</v>
      </c>
      <c r="J68" s="59"/>
      <c r="K68" s="59"/>
      <c r="L68" s="59">
        <v>10</v>
      </c>
      <c r="M68" s="62">
        <v>4.9886574074074069E-4</v>
      </c>
      <c r="N68" s="62">
        <v>7.6520254629629627E-4</v>
      </c>
      <c r="O68" s="62">
        <v>1.0203587962962961E-3</v>
      </c>
      <c r="P68" s="62">
        <v>8.4373263888888887E-4</v>
      </c>
      <c r="Q68" s="62">
        <v>2.0199537037037035E-3</v>
      </c>
      <c r="R68" s="62">
        <v>1.8490509259259261E-3</v>
      </c>
      <c r="S68" s="62">
        <f t="shared" si="6"/>
        <v>4.9886574074074069E-4</v>
      </c>
      <c r="T68" s="62">
        <f t="shared" si="7"/>
        <v>7.6520254629629627E-4</v>
      </c>
      <c r="U68" s="62">
        <f t="shared" si="8"/>
        <v>1.0203587962962961E-3</v>
      </c>
      <c r="V68" s="62">
        <f t="shared" si="9"/>
        <v>8.4373263888888887E-4</v>
      </c>
      <c r="W68" s="62">
        <f t="shared" si="10"/>
        <v>2.0199537037037035E-3</v>
      </c>
      <c r="X68" s="62">
        <f t="shared" si="11"/>
        <v>1.8490509259259261E-3</v>
      </c>
    </row>
    <row r="69" spans="1:24" x14ac:dyDescent="0.45">
      <c r="A69" s="59" t="s">
        <v>260</v>
      </c>
      <c r="B69" s="59" t="s">
        <v>164</v>
      </c>
      <c r="C69" s="59">
        <v>23</v>
      </c>
      <c r="D69" s="59">
        <v>40</v>
      </c>
      <c r="E69" s="61">
        <v>45658</v>
      </c>
      <c r="F69" s="61">
        <v>46174</v>
      </c>
      <c r="G69" s="61">
        <v>45658</v>
      </c>
      <c r="H69" s="59" t="s">
        <v>178</v>
      </c>
      <c r="I69" s="59" t="s">
        <v>180</v>
      </c>
      <c r="J69" s="59"/>
      <c r="K69" s="59"/>
      <c r="L69" s="59">
        <v>10</v>
      </c>
      <c r="M69" s="62">
        <v>4.7331018518518517E-4</v>
      </c>
      <c r="N69" s="62">
        <v>7.42974537037037E-4</v>
      </c>
      <c r="O69" s="62">
        <v>9.7403935185185191E-4</v>
      </c>
      <c r="P69" s="62">
        <v>8.1218749999999998E-4</v>
      </c>
      <c r="Q69" s="62">
        <v>1.9812210648148146E-3</v>
      </c>
      <c r="R69" s="62">
        <v>1.8306828703703701E-3</v>
      </c>
      <c r="S69" s="62">
        <f t="shared" si="6"/>
        <v>4.7331018518518517E-4</v>
      </c>
      <c r="T69" s="62">
        <f t="shared" si="7"/>
        <v>7.42974537037037E-4</v>
      </c>
      <c r="U69" s="62">
        <f t="shared" si="8"/>
        <v>9.7403935185185191E-4</v>
      </c>
      <c r="V69" s="62">
        <f t="shared" si="9"/>
        <v>8.1218749999999998E-4</v>
      </c>
      <c r="W69" s="62">
        <f t="shared" si="10"/>
        <v>1.9812210648148146E-3</v>
      </c>
      <c r="X69" s="62">
        <f t="shared" si="11"/>
        <v>1.8306828703703701E-3</v>
      </c>
    </row>
    <row r="70" spans="1:24" x14ac:dyDescent="0.45">
      <c r="A70" s="59" t="s">
        <v>261</v>
      </c>
      <c r="B70" s="59" t="s">
        <v>182</v>
      </c>
      <c r="C70" s="59">
        <v>19</v>
      </c>
      <c r="D70" s="59">
        <v>19</v>
      </c>
      <c r="E70" s="61">
        <v>45658</v>
      </c>
      <c r="F70" s="61">
        <v>46174</v>
      </c>
      <c r="G70" s="61">
        <v>45658</v>
      </c>
      <c r="H70" s="59" t="s">
        <v>178</v>
      </c>
      <c r="I70" s="59" t="s">
        <v>180</v>
      </c>
      <c r="J70" s="59"/>
      <c r="K70" s="59"/>
      <c r="L70" s="59">
        <v>10</v>
      </c>
      <c r="M70" s="62">
        <v>4.2430555555555554E-4</v>
      </c>
      <c r="N70" s="62">
        <v>6.7181712962962963E-4</v>
      </c>
      <c r="O70" s="62">
        <v>9.0695312499999999E-4</v>
      </c>
      <c r="P70" s="62">
        <v>7.5355034722222219E-4</v>
      </c>
      <c r="Q70" s="62">
        <v>1.8873437500000001E-3</v>
      </c>
      <c r="R70" s="62">
        <v>1.7270052083333332E-3</v>
      </c>
      <c r="S70" s="62">
        <f t="shared" si="6"/>
        <v>4.2430555555555554E-4</v>
      </c>
      <c r="T70" s="62">
        <f t="shared" si="7"/>
        <v>6.7181712962962963E-4</v>
      </c>
      <c r="U70" s="62">
        <f t="shared" si="8"/>
        <v>9.0695312499999999E-4</v>
      </c>
      <c r="V70" s="62">
        <f t="shared" si="9"/>
        <v>7.5355034722222219E-4</v>
      </c>
      <c r="W70" s="62">
        <f t="shared" si="10"/>
        <v>1.8873437500000001E-3</v>
      </c>
      <c r="X70" s="62">
        <f t="shared" si="11"/>
        <v>1.7270052083333332E-3</v>
      </c>
    </row>
    <row r="71" spans="1:24" x14ac:dyDescent="0.45">
      <c r="A71" s="59" t="s">
        <v>261</v>
      </c>
      <c r="B71" s="59" t="s">
        <v>182</v>
      </c>
      <c r="C71" s="59">
        <v>20</v>
      </c>
      <c r="D71" s="59">
        <v>22</v>
      </c>
      <c r="E71" s="61">
        <v>45658</v>
      </c>
      <c r="F71" s="61">
        <v>46174</v>
      </c>
      <c r="G71" s="61">
        <v>45658</v>
      </c>
      <c r="H71" s="59" t="s">
        <v>178</v>
      </c>
      <c r="I71" s="59" t="s">
        <v>180</v>
      </c>
      <c r="J71" s="59"/>
      <c r="K71" s="59"/>
      <c r="L71" s="59">
        <v>10</v>
      </c>
      <c r="M71" s="62">
        <v>4.2049768518518521E-4</v>
      </c>
      <c r="N71" s="62">
        <v>6.6637731481481485E-4</v>
      </c>
      <c r="O71" s="62">
        <v>8.9620949074074082E-4</v>
      </c>
      <c r="P71" s="62">
        <v>7.4049479166666664E-4</v>
      </c>
      <c r="Q71" s="62">
        <v>1.8689843750000002E-3</v>
      </c>
      <c r="R71" s="62">
        <v>1.710277777777778E-3</v>
      </c>
      <c r="S71" s="62">
        <f t="shared" si="6"/>
        <v>4.2049768518518521E-4</v>
      </c>
      <c r="T71" s="62">
        <f t="shared" si="7"/>
        <v>6.6637731481481485E-4</v>
      </c>
      <c r="U71" s="62">
        <f t="shared" si="8"/>
        <v>8.9620949074074082E-4</v>
      </c>
      <c r="V71" s="62">
        <f t="shared" si="9"/>
        <v>7.4049479166666664E-4</v>
      </c>
      <c r="W71" s="62">
        <f t="shared" si="10"/>
        <v>1.8689843750000002E-3</v>
      </c>
      <c r="X71" s="62">
        <f t="shared" si="11"/>
        <v>1.710277777777778E-3</v>
      </c>
    </row>
    <row r="72" spans="1:24" x14ac:dyDescent="0.45">
      <c r="A72" s="59" t="s">
        <v>261</v>
      </c>
      <c r="B72" s="59" t="s">
        <v>182</v>
      </c>
      <c r="C72" s="59">
        <v>23</v>
      </c>
      <c r="D72" s="59">
        <v>40</v>
      </c>
      <c r="E72" s="61">
        <v>45658</v>
      </c>
      <c r="F72" s="61">
        <v>46174</v>
      </c>
      <c r="G72" s="61">
        <v>45658</v>
      </c>
      <c r="H72" s="59" t="s">
        <v>178</v>
      </c>
      <c r="I72" s="59" t="s">
        <v>180</v>
      </c>
      <c r="J72" s="59"/>
      <c r="K72" s="59"/>
      <c r="L72" s="59">
        <v>10</v>
      </c>
      <c r="M72" s="62">
        <v>4.0893807870370373E-4</v>
      </c>
      <c r="N72" s="62">
        <v>6.4937789351851853E-4</v>
      </c>
      <c r="O72" s="62">
        <v>8.6275462962962966E-4</v>
      </c>
      <c r="P72" s="62">
        <v>7.0024016203703698E-4</v>
      </c>
      <c r="Q72" s="62">
        <v>1.8121383101851853E-3</v>
      </c>
      <c r="R72" s="62">
        <v>1.658599537037037E-3</v>
      </c>
      <c r="S72" s="62">
        <f t="shared" si="6"/>
        <v>4.0893807870370373E-4</v>
      </c>
      <c r="T72" s="62">
        <f t="shared" si="7"/>
        <v>6.4937789351851853E-4</v>
      </c>
      <c r="U72" s="62">
        <f t="shared" si="8"/>
        <v>8.6275462962962966E-4</v>
      </c>
      <c r="V72" s="62">
        <f t="shared" si="9"/>
        <v>7.0024016203703698E-4</v>
      </c>
      <c r="W72" s="62">
        <f t="shared" si="10"/>
        <v>1.8121383101851853E-3</v>
      </c>
      <c r="X72" s="62">
        <f t="shared" si="11"/>
        <v>1.658599537037037E-3</v>
      </c>
    </row>
    <row r="73" spans="1:24" x14ac:dyDescent="0.45">
      <c r="A73" s="59" t="s">
        <v>262</v>
      </c>
      <c r="B73" s="59" t="s">
        <v>164</v>
      </c>
      <c r="C73" s="59">
        <v>19</v>
      </c>
      <c r="D73" s="59">
        <v>19</v>
      </c>
      <c r="E73" s="61">
        <v>45658</v>
      </c>
      <c r="F73" s="61">
        <v>46174</v>
      </c>
      <c r="G73" s="61">
        <v>45658</v>
      </c>
      <c r="H73" s="59" t="s">
        <v>178</v>
      </c>
      <c r="I73" s="59" t="s">
        <v>180</v>
      </c>
      <c r="J73" s="59"/>
      <c r="K73" s="59"/>
      <c r="L73" s="59">
        <v>10</v>
      </c>
      <c r="M73" s="62">
        <v>5.1814236111111115E-4</v>
      </c>
      <c r="N73" s="62">
        <v>7.8918113425925933E-4</v>
      </c>
      <c r="O73" s="62">
        <v>1.057907986111111E-3</v>
      </c>
      <c r="P73" s="62">
        <v>8.7254629629629629E-4</v>
      </c>
      <c r="Q73" s="62">
        <v>2.0766493055555555E-3</v>
      </c>
      <c r="R73" s="62">
        <v>1.8952314814814819E-3</v>
      </c>
      <c r="S73" s="62">
        <f t="shared" si="6"/>
        <v>5.1814236111111115E-4</v>
      </c>
      <c r="T73" s="62">
        <f t="shared" si="7"/>
        <v>7.8918113425925933E-4</v>
      </c>
      <c r="U73" s="62">
        <f t="shared" si="8"/>
        <v>1.057907986111111E-3</v>
      </c>
      <c r="V73" s="62">
        <f t="shared" si="9"/>
        <v>8.7254629629629629E-4</v>
      </c>
      <c r="W73" s="62">
        <f t="shared" si="10"/>
        <v>2.0766493055555555E-3</v>
      </c>
      <c r="X73" s="62">
        <f t="shared" si="11"/>
        <v>1.8952314814814819E-3</v>
      </c>
    </row>
    <row r="74" spans="1:24" x14ac:dyDescent="0.45">
      <c r="A74" s="59" t="s">
        <v>262</v>
      </c>
      <c r="B74" s="59" t="s">
        <v>164</v>
      </c>
      <c r="C74" s="59">
        <v>20</v>
      </c>
      <c r="D74" s="59">
        <v>22</v>
      </c>
      <c r="E74" s="61">
        <v>45658</v>
      </c>
      <c r="F74" s="61">
        <v>46174</v>
      </c>
      <c r="G74" s="61">
        <v>45658</v>
      </c>
      <c r="H74" s="59" t="s">
        <v>178</v>
      </c>
      <c r="I74" s="59" t="s">
        <v>180</v>
      </c>
      <c r="J74" s="59"/>
      <c r="K74" s="59"/>
      <c r="L74" s="59">
        <v>10</v>
      </c>
      <c r="M74" s="62">
        <v>5.0971064814814813E-4</v>
      </c>
      <c r="N74" s="62">
        <v>7.8183738425925925E-4</v>
      </c>
      <c r="O74" s="62">
        <v>1.0425405092592593E-3</v>
      </c>
      <c r="P74" s="62">
        <v>8.620746527777778E-4</v>
      </c>
      <c r="Q74" s="62">
        <v>2.0638657407407407E-3</v>
      </c>
      <c r="R74" s="62">
        <v>1.8892476851851856E-3</v>
      </c>
      <c r="S74" s="62">
        <f t="shared" si="6"/>
        <v>5.0971064814814813E-4</v>
      </c>
      <c r="T74" s="62">
        <f t="shared" si="7"/>
        <v>7.8183738425925925E-4</v>
      </c>
      <c r="U74" s="62">
        <f t="shared" si="8"/>
        <v>1.0425405092592593E-3</v>
      </c>
      <c r="V74" s="62">
        <f t="shared" si="9"/>
        <v>8.620746527777778E-4</v>
      </c>
      <c r="W74" s="62">
        <f t="shared" si="10"/>
        <v>2.0638657407407407E-3</v>
      </c>
      <c r="X74" s="62">
        <f t="shared" si="11"/>
        <v>1.8892476851851856E-3</v>
      </c>
    </row>
    <row r="75" spans="1:24" x14ac:dyDescent="0.45">
      <c r="A75" s="59" t="s">
        <v>262</v>
      </c>
      <c r="B75" s="59" t="s">
        <v>164</v>
      </c>
      <c r="C75" s="59">
        <v>23</v>
      </c>
      <c r="D75" s="59">
        <v>40</v>
      </c>
      <c r="E75" s="61">
        <v>45658</v>
      </c>
      <c r="F75" s="61">
        <v>46174</v>
      </c>
      <c r="G75" s="61">
        <v>45658</v>
      </c>
      <c r="H75" s="59" t="s">
        <v>178</v>
      </c>
      <c r="I75" s="59" t="s">
        <v>180</v>
      </c>
      <c r="J75" s="59"/>
      <c r="K75" s="59"/>
      <c r="L75" s="59">
        <v>10</v>
      </c>
      <c r="M75" s="62">
        <v>4.8359953703703705E-4</v>
      </c>
      <c r="N75" s="62">
        <v>7.5912615740740747E-4</v>
      </c>
      <c r="O75" s="62">
        <v>9.9521412037037048E-4</v>
      </c>
      <c r="P75" s="62">
        <v>8.2984375000000007E-4</v>
      </c>
      <c r="Q75" s="62">
        <v>2.024291087962963E-3</v>
      </c>
      <c r="R75" s="62">
        <v>1.8704803240740741E-3</v>
      </c>
      <c r="S75" s="62">
        <f t="shared" si="6"/>
        <v>4.8359953703703705E-4</v>
      </c>
      <c r="T75" s="62">
        <f t="shared" si="7"/>
        <v>7.5912615740740747E-4</v>
      </c>
      <c r="U75" s="62">
        <f t="shared" si="8"/>
        <v>9.9521412037037048E-4</v>
      </c>
      <c r="V75" s="62">
        <f t="shared" si="9"/>
        <v>8.2984375000000007E-4</v>
      </c>
      <c r="W75" s="62">
        <f t="shared" si="10"/>
        <v>2.024291087962963E-3</v>
      </c>
      <c r="X75" s="62">
        <f t="shared" si="11"/>
        <v>1.8704803240740741E-3</v>
      </c>
    </row>
    <row r="76" spans="1:24" x14ac:dyDescent="0.45">
      <c r="A76" s="59" t="s">
        <v>263</v>
      </c>
      <c r="B76" s="59" t="s">
        <v>182</v>
      </c>
      <c r="C76" s="59">
        <v>19</v>
      </c>
      <c r="D76" s="59">
        <v>19</v>
      </c>
      <c r="E76" s="61">
        <v>45658</v>
      </c>
      <c r="F76" s="61">
        <v>46174</v>
      </c>
      <c r="G76" s="61">
        <v>45658</v>
      </c>
      <c r="H76" s="59" t="s">
        <v>178</v>
      </c>
      <c r="I76" s="59" t="s">
        <v>180</v>
      </c>
      <c r="J76" s="59"/>
      <c r="K76" s="59"/>
      <c r="L76" s="59">
        <v>10</v>
      </c>
      <c r="M76" s="62">
        <v>4.3333333333333331E-4</v>
      </c>
      <c r="N76" s="62">
        <v>6.8611111111111108E-4</v>
      </c>
      <c r="O76" s="62">
        <v>9.2624999999999999E-4</v>
      </c>
      <c r="P76" s="62">
        <v>7.6958333333333317E-4</v>
      </c>
      <c r="Q76" s="62">
        <v>1.9275E-3</v>
      </c>
      <c r="R76" s="62">
        <v>1.7637499999999997E-3</v>
      </c>
      <c r="S76" s="62">
        <f t="shared" si="6"/>
        <v>4.3333333333333331E-4</v>
      </c>
      <c r="T76" s="62">
        <f t="shared" si="7"/>
        <v>6.8611111111111108E-4</v>
      </c>
      <c r="U76" s="62">
        <f t="shared" si="8"/>
        <v>9.2624999999999999E-4</v>
      </c>
      <c r="V76" s="62">
        <f t="shared" si="9"/>
        <v>7.6958333333333317E-4</v>
      </c>
      <c r="W76" s="62">
        <f t="shared" si="10"/>
        <v>1.9275E-3</v>
      </c>
      <c r="X76" s="62">
        <f t="shared" si="11"/>
        <v>1.7637499999999997E-3</v>
      </c>
    </row>
    <row r="77" spans="1:24" x14ac:dyDescent="0.45">
      <c r="A77" s="59" t="s">
        <v>263</v>
      </c>
      <c r="B77" s="59" t="s">
        <v>182</v>
      </c>
      <c r="C77" s="59">
        <v>20</v>
      </c>
      <c r="D77" s="59">
        <v>22</v>
      </c>
      <c r="E77" s="61">
        <v>45658</v>
      </c>
      <c r="F77" s="61">
        <v>46174</v>
      </c>
      <c r="G77" s="61">
        <v>45658</v>
      </c>
      <c r="H77" s="59" t="s">
        <v>178</v>
      </c>
      <c r="I77" s="59" t="s">
        <v>180</v>
      </c>
      <c r="J77" s="59"/>
      <c r="K77" s="59"/>
      <c r="L77" s="59">
        <v>10</v>
      </c>
      <c r="M77" s="62">
        <v>4.2944444444444443E-4</v>
      </c>
      <c r="N77" s="62">
        <v>6.8055555555555556E-4</v>
      </c>
      <c r="O77" s="62">
        <v>9.1527777777777777E-4</v>
      </c>
      <c r="P77" s="62">
        <v>7.5624999999999998E-4</v>
      </c>
      <c r="Q77" s="62">
        <v>1.9087499999999999E-3</v>
      </c>
      <c r="R77" s="62">
        <v>1.7466666666666668E-3</v>
      </c>
      <c r="S77" s="62">
        <f t="shared" si="6"/>
        <v>4.2944444444444443E-4</v>
      </c>
      <c r="T77" s="62">
        <f t="shared" si="7"/>
        <v>6.8055555555555556E-4</v>
      </c>
      <c r="U77" s="62">
        <f t="shared" si="8"/>
        <v>9.1527777777777777E-4</v>
      </c>
      <c r="V77" s="62">
        <f t="shared" si="9"/>
        <v>7.5624999999999998E-4</v>
      </c>
      <c r="W77" s="62">
        <f t="shared" si="10"/>
        <v>1.9087499999999999E-3</v>
      </c>
      <c r="X77" s="62">
        <f t="shared" si="11"/>
        <v>1.7466666666666668E-3</v>
      </c>
    </row>
    <row r="78" spans="1:24" x14ac:dyDescent="0.45">
      <c r="A78" s="59" t="s">
        <v>263</v>
      </c>
      <c r="B78" s="59" t="s">
        <v>182</v>
      </c>
      <c r="C78" s="59">
        <v>23</v>
      </c>
      <c r="D78" s="59">
        <v>40</v>
      </c>
      <c r="E78" s="61">
        <v>45658</v>
      </c>
      <c r="F78" s="61">
        <v>46174</v>
      </c>
      <c r="G78" s="61">
        <v>45658</v>
      </c>
      <c r="H78" s="59" t="s">
        <v>178</v>
      </c>
      <c r="I78" s="59" t="s">
        <v>180</v>
      </c>
      <c r="J78" s="59"/>
      <c r="K78" s="59"/>
      <c r="L78" s="59">
        <v>10</v>
      </c>
      <c r="M78" s="62">
        <v>4.1763888888888889E-4</v>
      </c>
      <c r="N78" s="62">
        <v>6.6319444444444444E-4</v>
      </c>
      <c r="O78" s="62">
        <v>8.8111111111111105E-4</v>
      </c>
      <c r="P78" s="62">
        <v>7.1513888888888886E-4</v>
      </c>
      <c r="Q78" s="62">
        <v>1.8506944444444445E-3</v>
      </c>
      <c r="R78" s="62">
        <v>1.6938888888888887E-3</v>
      </c>
      <c r="S78" s="62">
        <f t="shared" si="6"/>
        <v>4.1763888888888889E-4</v>
      </c>
      <c r="T78" s="62">
        <f t="shared" si="7"/>
        <v>6.6319444444444444E-4</v>
      </c>
      <c r="U78" s="62">
        <f t="shared" si="8"/>
        <v>8.8111111111111105E-4</v>
      </c>
      <c r="V78" s="62">
        <f t="shared" si="9"/>
        <v>7.1513888888888886E-4</v>
      </c>
      <c r="W78" s="62">
        <f t="shared" si="10"/>
        <v>1.8506944444444445E-3</v>
      </c>
      <c r="X78" s="62">
        <f t="shared" si="11"/>
        <v>1.6938888888888887E-3</v>
      </c>
    </row>
    <row r="79" spans="1:24" x14ac:dyDescent="0.45">
      <c r="A79" s="59" t="s">
        <v>264</v>
      </c>
      <c r="B79" s="59" t="s">
        <v>164</v>
      </c>
      <c r="C79" s="59">
        <v>19</v>
      </c>
      <c r="D79" s="59">
        <v>19</v>
      </c>
      <c r="E79" s="61">
        <v>45658</v>
      </c>
      <c r="F79" s="61">
        <v>46174</v>
      </c>
      <c r="G79" s="61">
        <v>45658</v>
      </c>
      <c r="H79" s="59" t="s">
        <v>178</v>
      </c>
      <c r="I79" s="59" t="s">
        <v>180</v>
      </c>
      <c r="J79" s="59"/>
      <c r="K79" s="59"/>
      <c r="L79" s="59">
        <v>10</v>
      </c>
      <c r="M79" s="62">
        <v>5.2916666666666672E-4</v>
      </c>
      <c r="N79" s="62">
        <v>8.0597222222222225E-4</v>
      </c>
      <c r="O79" s="62">
        <v>1.0804166666666664E-3</v>
      </c>
      <c r="P79" s="62">
        <v>8.9111111111111097E-4</v>
      </c>
      <c r="Q79" s="62">
        <v>2.1208333333333331E-3</v>
      </c>
      <c r="R79" s="62">
        <v>1.9355555555555558E-3</v>
      </c>
      <c r="S79" s="62">
        <f t="shared" si="6"/>
        <v>5.2916666666666672E-4</v>
      </c>
      <c r="T79" s="62">
        <f t="shared" si="7"/>
        <v>8.0597222222222225E-4</v>
      </c>
      <c r="U79" s="62">
        <f t="shared" si="8"/>
        <v>1.0804166666666664E-3</v>
      </c>
      <c r="V79" s="62">
        <f t="shared" si="9"/>
        <v>8.9111111111111097E-4</v>
      </c>
      <c r="W79" s="62">
        <f t="shared" si="10"/>
        <v>2.1208333333333331E-3</v>
      </c>
      <c r="X79" s="62">
        <f t="shared" si="11"/>
        <v>1.9355555555555558E-3</v>
      </c>
    </row>
    <row r="80" spans="1:24" x14ac:dyDescent="0.45">
      <c r="A80" s="59" t="s">
        <v>264</v>
      </c>
      <c r="B80" s="59" t="s">
        <v>164</v>
      </c>
      <c r="C80" s="59">
        <v>20</v>
      </c>
      <c r="D80" s="59">
        <v>22</v>
      </c>
      <c r="E80" s="61">
        <v>45658</v>
      </c>
      <c r="F80" s="61">
        <v>46174</v>
      </c>
      <c r="G80" s="61">
        <v>45658</v>
      </c>
      <c r="H80" s="59" t="s">
        <v>178</v>
      </c>
      <c r="I80" s="59" t="s">
        <v>180</v>
      </c>
      <c r="J80" s="59"/>
      <c r="K80" s="59"/>
      <c r="L80" s="59">
        <v>10</v>
      </c>
      <c r="M80" s="62">
        <v>5.2055555555555546E-4</v>
      </c>
      <c r="N80" s="62">
        <v>7.9847222222222223E-4</v>
      </c>
      <c r="O80" s="62">
        <v>1.0647222222222221E-3</v>
      </c>
      <c r="P80" s="62">
        <v>8.8041666666666661E-4</v>
      </c>
      <c r="Q80" s="62">
        <v>2.1077777777777779E-3</v>
      </c>
      <c r="R80" s="62">
        <v>1.9294444444444446E-3</v>
      </c>
      <c r="S80" s="62">
        <f t="shared" si="6"/>
        <v>5.2055555555555546E-4</v>
      </c>
      <c r="T80" s="62">
        <f t="shared" si="7"/>
        <v>7.9847222222222223E-4</v>
      </c>
      <c r="U80" s="62">
        <f t="shared" si="8"/>
        <v>1.0647222222222221E-3</v>
      </c>
      <c r="V80" s="62">
        <f t="shared" si="9"/>
        <v>8.8041666666666661E-4</v>
      </c>
      <c r="W80" s="62">
        <f t="shared" si="10"/>
        <v>2.1077777777777779E-3</v>
      </c>
      <c r="X80" s="62">
        <f t="shared" si="11"/>
        <v>1.9294444444444446E-3</v>
      </c>
    </row>
    <row r="81" spans="1:24" x14ac:dyDescent="0.45">
      <c r="A81" s="59" t="s">
        <v>264</v>
      </c>
      <c r="B81" s="59" t="s">
        <v>164</v>
      </c>
      <c r="C81" s="59">
        <v>23</v>
      </c>
      <c r="D81" s="59">
        <v>40</v>
      </c>
      <c r="E81" s="61">
        <v>45658</v>
      </c>
      <c r="F81" s="61">
        <v>46174</v>
      </c>
      <c r="G81" s="61">
        <v>45658</v>
      </c>
      <c r="H81" s="59" t="s">
        <v>178</v>
      </c>
      <c r="I81" s="59" t="s">
        <v>180</v>
      </c>
      <c r="J81" s="59"/>
      <c r="K81" s="59"/>
      <c r="L81" s="59">
        <v>10</v>
      </c>
      <c r="M81" s="62">
        <v>4.9388888888888887E-4</v>
      </c>
      <c r="N81" s="62">
        <v>7.7527777777777773E-4</v>
      </c>
      <c r="O81" s="62">
        <v>1.0163888888888889E-3</v>
      </c>
      <c r="P81" s="62">
        <v>8.4750000000000005E-4</v>
      </c>
      <c r="Q81" s="62">
        <v>2.067361111111111E-3</v>
      </c>
      <c r="R81" s="62">
        <v>1.9102777777777777E-3</v>
      </c>
      <c r="S81" s="62">
        <f t="shared" si="6"/>
        <v>4.9388888888888887E-4</v>
      </c>
      <c r="T81" s="62">
        <f t="shared" si="7"/>
        <v>7.7527777777777773E-4</v>
      </c>
      <c r="U81" s="62">
        <f t="shared" si="8"/>
        <v>1.0163888888888889E-3</v>
      </c>
      <c r="V81" s="62">
        <f t="shared" si="9"/>
        <v>8.4750000000000005E-4</v>
      </c>
      <c r="W81" s="62">
        <f t="shared" si="10"/>
        <v>2.067361111111111E-3</v>
      </c>
      <c r="X81" s="62">
        <f t="shared" si="11"/>
        <v>1.9102777777777777E-3</v>
      </c>
    </row>
    <row r="82" spans="1:24" x14ac:dyDescent="0.45">
      <c r="A82" s="59" t="s">
        <v>265</v>
      </c>
      <c r="B82" s="59" t="s">
        <v>182</v>
      </c>
      <c r="C82" s="59">
        <v>19</v>
      </c>
      <c r="D82" s="59">
        <v>19</v>
      </c>
      <c r="E82" s="61">
        <v>45658</v>
      </c>
      <c r="F82" s="61">
        <v>46174</v>
      </c>
      <c r="G82" s="61">
        <v>45658</v>
      </c>
      <c r="H82" s="59" t="s">
        <v>178</v>
      </c>
      <c r="I82" s="59" t="s">
        <v>180</v>
      </c>
      <c r="J82" s="59"/>
      <c r="K82" s="59"/>
      <c r="L82" s="59">
        <v>10</v>
      </c>
      <c r="M82" s="62">
        <v>4.4236111111111115E-4</v>
      </c>
      <c r="N82" s="62">
        <v>7.0040509259259264E-4</v>
      </c>
      <c r="O82" s="62">
        <v>9.455468750000001E-4</v>
      </c>
      <c r="P82" s="62">
        <v>7.8561631944444436E-4</v>
      </c>
      <c r="Q82" s="62">
        <v>1.9676562500000002E-3</v>
      </c>
      <c r="R82" s="62">
        <v>1.8004947916666666E-3</v>
      </c>
      <c r="S82" s="62">
        <f t="shared" si="6"/>
        <v>4.4236111111111115E-4</v>
      </c>
      <c r="T82" s="62">
        <f t="shared" si="7"/>
        <v>7.0040509259259264E-4</v>
      </c>
      <c r="U82" s="62">
        <f t="shared" si="8"/>
        <v>9.455468750000001E-4</v>
      </c>
      <c r="V82" s="62">
        <f t="shared" si="9"/>
        <v>7.8561631944444436E-4</v>
      </c>
      <c r="W82" s="62">
        <f t="shared" si="10"/>
        <v>1.9676562500000002E-3</v>
      </c>
      <c r="X82" s="62">
        <f t="shared" si="11"/>
        <v>1.8004947916666666E-3</v>
      </c>
    </row>
    <row r="83" spans="1:24" x14ac:dyDescent="0.45">
      <c r="A83" s="59" t="s">
        <v>265</v>
      </c>
      <c r="B83" s="59" t="s">
        <v>182</v>
      </c>
      <c r="C83" s="59">
        <v>20</v>
      </c>
      <c r="D83" s="59">
        <v>22</v>
      </c>
      <c r="E83" s="61">
        <v>45658</v>
      </c>
      <c r="F83" s="61">
        <v>46174</v>
      </c>
      <c r="G83" s="61">
        <v>45658</v>
      </c>
      <c r="H83" s="59" t="s">
        <v>178</v>
      </c>
      <c r="I83" s="59" t="s">
        <v>180</v>
      </c>
      <c r="J83" s="59"/>
      <c r="K83" s="59"/>
      <c r="L83" s="59">
        <v>10</v>
      </c>
      <c r="M83" s="62">
        <v>4.3839120370370375E-4</v>
      </c>
      <c r="N83" s="62">
        <v>6.9473379629629638E-4</v>
      </c>
      <c r="O83" s="62">
        <v>9.3434606481481493E-4</v>
      </c>
      <c r="P83" s="62">
        <v>7.7200520833333342E-4</v>
      </c>
      <c r="Q83" s="62">
        <v>1.9485156250000002E-3</v>
      </c>
      <c r="R83" s="62">
        <v>1.7830555555555557E-3</v>
      </c>
      <c r="S83" s="62">
        <f t="shared" si="6"/>
        <v>4.3839120370370375E-4</v>
      </c>
      <c r="T83" s="62">
        <f t="shared" si="7"/>
        <v>6.9473379629629638E-4</v>
      </c>
      <c r="U83" s="62">
        <f t="shared" si="8"/>
        <v>9.3434606481481493E-4</v>
      </c>
      <c r="V83" s="62">
        <f t="shared" si="9"/>
        <v>7.7200520833333342E-4</v>
      </c>
      <c r="W83" s="62">
        <f t="shared" si="10"/>
        <v>1.9485156250000002E-3</v>
      </c>
      <c r="X83" s="62">
        <f t="shared" si="11"/>
        <v>1.7830555555555557E-3</v>
      </c>
    </row>
    <row r="84" spans="1:24" x14ac:dyDescent="0.45">
      <c r="A84" s="59" t="s">
        <v>265</v>
      </c>
      <c r="B84" s="59" t="s">
        <v>182</v>
      </c>
      <c r="C84" s="59">
        <v>23</v>
      </c>
      <c r="D84" s="59">
        <v>40</v>
      </c>
      <c r="E84" s="61">
        <v>45658</v>
      </c>
      <c r="F84" s="61">
        <v>46174</v>
      </c>
      <c r="G84" s="61">
        <v>45658</v>
      </c>
      <c r="H84" s="59" t="s">
        <v>178</v>
      </c>
      <c r="I84" s="59" t="s">
        <v>180</v>
      </c>
      <c r="J84" s="59"/>
      <c r="K84" s="59"/>
      <c r="L84" s="59">
        <v>10</v>
      </c>
      <c r="M84" s="62">
        <v>4.263396990740741E-4</v>
      </c>
      <c r="N84" s="62">
        <v>6.7701099537037046E-4</v>
      </c>
      <c r="O84" s="62">
        <v>8.9946759259259266E-4</v>
      </c>
      <c r="P84" s="62">
        <v>7.3003761574074073E-4</v>
      </c>
      <c r="Q84" s="62">
        <v>1.889250578703704E-3</v>
      </c>
      <c r="R84" s="62">
        <v>1.7291782407407408E-3</v>
      </c>
      <c r="S84" s="62">
        <f t="shared" si="6"/>
        <v>4.263396990740741E-4</v>
      </c>
      <c r="T84" s="62">
        <f t="shared" si="7"/>
        <v>6.7701099537037046E-4</v>
      </c>
      <c r="U84" s="62">
        <f t="shared" si="8"/>
        <v>8.9946759259259266E-4</v>
      </c>
      <c r="V84" s="62">
        <f t="shared" si="9"/>
        <v>7.3003761574074073E-4</v>
      </c>
      <c r="W84" s="62">
        <f t="shared" si="10"/>
        <v>1.889250578703704E-3</v>
      </c>
      <c r="X84" s="62">
        <f t="shared" si="11"/>
        <v>1.7291782407407408E-3</v>
      </c>
    </row>
    <row r="85" spans="1:24" x14ac:dyDescent="0.45">
      <c r="A85" s="59" t="s">
        <v>266</v>
      </c>
      <c r="B85" s="59" t="s">
        <v>164</v>
      </c>
      <c r="C85" s="59">
        <v>19</v>
      </c>
      <c r="D85" s="59">
        <v>19</v>
      </c>
      <c r="E85" s="61">
        <v>45658</v>
      </c>
      <c r="F85" s="61">
        <v>46174</v>
      </c>
      <c r="G85" s="61">
        <v>45658</v>
      </c>
      <c r="H85" s="59" t="s">
        <v>178</v>
      </c>
      <c r="I85" s="59" t="s">
        <v>180</v>
      </c>
      <c r="J85" s="59"/>
      <c r="K85" s="59"/>
      <c r="L85" s="59">
        <v>10</v>
      </c>
      <c r="M85" s="62">
        <v>5.4019097222222229E-4</v>
      </c>
      <c r="N85" s="62">
        <v>8.2276331018518527E-4</v>
      </c>
      <c r="O85" s="62">
        <v>1.1029253472222222E-3</v>
      </c>
      <c r="P85" s="62">
        <v>9.0967592592592597E-4</v>
      </c>
      <c r="Q85" s="62">
        <v>2.165017361111111E-3</v>
      </c>
      <c r="R85" s="62">
        <v>1.9758796296296299E-3</v>
      </c>
      <c r="S85" s="62">
        <f t="shared" si="6"/>
        <v>5.4019097222222229E-4</v>
      </c>
      <c r="T85" s="62">
        <f t="shared" si="7"/>
        <v>8.2276331018518527E-4</v>
      </c>
      <c r="U85" s="62">
        <f t="shared" si="8"/>
        <v>1.1029253472222222E-3</v>
      </c>
      <c r="V85" s="62">
        <f t="shared" si="9"/>
        <v>9.0967592592592597E-4</v>
      </c>
      <c r="W85" s="62">
        <f t="shared" si="10"/>
        <v>2.165017361111111E-3</v>
      </c>
      <c r="X85" s="62">
        <f t="shared" si="11"/>
        <v>1.9758796296296299E-3</v>
      </c>
    </row>
    <row r="86" spans="1:24" x14ac:dyDescent="0.45">
      <c r="A86" s="59" t="s">
        <v>266</v>
      </c>
      <c r="B86" s="59" t="s">
        <v>164</v>
      </c>
      <c r="C86" s="59">
        <v>20</v>
      </c>
      <c r="D86" s="59">
        <v>22</v>
      </c>
      <c r="E86" s="61">
        <v>45658</v>
      </c>
      <c r="F86" s="61">
        <v>46174</v>
      </c>
      <c r="G86" s="61">
        <v>45658</v>
      </c>
      <c r="H86" s="59" t="s">
        <v>178</v>
      </c>
      <c r="I86" s="59" t="s">
        <v>180</v>
      </c>
      <c r="J86" s="59"/>
      <c r="K86" s="59"/>
      <c r="L86" s="59">
        <v>10</v>
      </c>
      <c r="M86" s="62">
        <v>5.3140046296296301E-4</v>
      </c>
      <c r="N86" s="62">
        <v>8.1510706018518521E-4</v>
      </c>
      <c r="O86" s="62">
        <v>1.0869039351851851E-3</v>
      </c>
      <c r="P86" s="62">
        <v>8.9875868055555564E-4</v>
      </c>
      <c r="Q86" s="62">
        <v>2.151689814814815E-3</v>
      </c>
      <c r="R86" s="62">
        <v>1.9696412037037044E-3</v>
      </c>
      <c r="S86" s="62">
        <f t="shared" si="6"/>
        <v>5.3140046296296301E-4</v>
      </c>
      <c r="T86" s="62">
        <f t="shared" si="7"/>
        <v>8.1510706018518521E-4</v>
      </c>
      <c r="U86" s="62">
        <f t="shared" si="8"/>
        <v>1.0869039351851851E-3</v>
      </c>
      <c r="V86" s="62">
        <f t="shared" si="9"/>
        <v>8.9875868055555564E-4</v>
      </c>
      <c r="W86" s="62">
        <f t="shared" si="10"/>
        <v>2.151689814814815E-3</v>
      </c>
      <c r="X86" s="62">
        <f t="shared" si="11"/>
        <v>1.9696412037037044E-3</v>
      </c>
    </row>
    <row r="87" spans="1:24" x14ac:dyDescent="0.45">
      <c r="A87" s="59" t="s">
        <v>266</v>
      </c>
      <c r="B87" s="59" t="s">
        <v>164</v>
      </c>
      <c r="C87" s="59">
        <v>23</v>
      </c>
      <c r="D87" s="59">
        <v>40</v>
      </c>
      <c r="E87" s="61">
        <v>45658</v>
      </c>
      <c r="F87" s="61">
        <v>46174</v>
      </c>
      <c r="G87" s="61">
        <v>45658</v>
      </c>
      <c r="H87" s="59" t="s">
        <v>178</v>
      </c>
      <c r="I87" s="59" t="s">
        <v>180</v>
      </c>
      <c r="J87" s="59"/>
      <c r="K87" s="59"/>
      <c r="L87" s="59">
        <v>10</v>
      </c>
      <c r="M87" s="62">
        <v>5.041782407407408E-4</v>
      </c>
      <c r="N87" s="62">
        <v>7.914293981481482E-4</v>
      </c>
      <c r="O87" s="62">
        <v>1.0375636574074076E-3</v>
      </c>
      <c r="P87" s="62">
        <v>8.6515625000000015E-4</v>
      </c>
      <c r="Q87" s="62">
        <v>2.1104311342592594E-3</v>
      </c>
      <c r="R87" s="62">
        <v>1.9500752314814815E-3</v>
      </c>
      <c r="S87" s="62">
        <f t="shared" si="6"/>
        <v>5.041782407407408E-4</v>
      </c>
      <c r="T87" s="62">
        <f t="shared" si="7"/>
        <v>7.914293981481482E-4</v>
      </c>
      <c r="U87" s="62">
        <f t="shared" si="8"/>
        <v>1.0375636574074076E-3</v>
      </c>
      <c r="V87" s="62">
        <f t="shared" si="9"/>
        <v>8.6515625000000015E-4</v>
      </c>
      <c r="W87" s="62">
        <f t="shared" si="10"/>
        <v>2.1104311342592594E-3</v>
      </c>
      <c r="X87" s="62">
        <f t="shared" si="11"/>
        <v>1.9500752314814815E-3</v>
      </c>
    </row>
    <row r="88" spans="1:24" x14ac:dyDescent="0.45">
      <c r="A88" s="59" t="s">
        <v>267</v>
      </c>
      <c r="B88" s="59" t="s">
        <v>182</v>
      </c>
      <c r="C88" s="59">
        <v>19</v>
      </c>
      <c r="D88" s="59">
        <v>19</v>
      </c>
      <c r="E88" s="61">
        <v>45658</v>
      </c>
      <c r="F88" s="61">
        <v>46174</v>
      </c>
      <c r="G88" s="61">
        <v>45658</v>
      </c>
      <c r="H88" s="59" t="s">
        <v>178</v>
      </c>
      <c r="I88" s="59" t="s">
        <v>180</v>
      </c>
      <c r="J88" s="59"/>
      <c r="K88" s="59"/>
      <c r="L88" s="59">
        <v>10</v>
      </c>
      <c r="M88" s="62">
        <v>4.5138888888888887E-4</v>
      </c>
      <c r="N88" s="62">
        <v>7.1469907407407409E-4</v>
      </c>
      <c r="O88" s="62">
        <v>9.6484374999999999E-4</v>
      </c>
      <c r="P88" s="62">
        <v>8.0164930555555545E-4</v>
      </c>
      <c r="Q88" s="62">
        <v>2.0078125E-3</v>
      </c>
      <c r="R88" s="62">
        <v>1.8372395833333331E-3</v>
      </c>
      <c r="S88" s="62">
        <f t="shared" si="6"/>
        <v>4.5138888888888887E-4</v>
      </c>
      <c r="T88" s="62">
        <f t="shared" si="7"/>
        <v>7.1469907407407409E-4</v>
      </c>
      <c r="U88" s="62">
        <f t="shared" si="8"/>
        <v>9.6484374999999999E-4</v>
      </c>
      <c r="V88" s="62">
        <f t="shared" si="9"/>
        <v>8.0164930555555545E-4</v>
      </c>
      <c r="W88" s="62">
        <f t="shared" si="10"/>
        <v>2.0078125E-3</v>
      </c>
      <c r="X88" s="62">
        <f t="shared" si="11"/>
        <v>1.8372395833333331E-3</v>
      </c>
    </row>
    <row r="89" spans="1:24" x14ac:dyDescent="0.45">
      <c r="A89" s="59" t="s">
        <v>267</v>
      </c>
      <c r="B89" s="59" t="s">
        <v>182</v>
      </c>
      <c r="C89" s="59">
        <v>20</v>
      </c>
      <c r="D89" s="59">
        <v>22</v>
      </c>
      <c r="E89" s="61">
        <v>45658</v>
      </c>
      <c r="F89" s="61">
        <v>46174</v>
      </c>
      <c r="G89" s="61">
        <v>45658</v>
      </c>
      <c r="H89" s="59" t="s">
        <v>178</v>
      </c>
      <c r="I89" s="59" t="s">
        <v>180</v>
      </c>
      <c r="J89" s="59"/>
      <c r="K89" s="59"/>
      <c r="L89" s="59">
        <v>10</v>
      </c>
      <c r="M89" s="62">
        <v>4.4733796296296297E-4</v>
      </c>
      <c r="N89" s="62">
        <v>7.0891203703703708E-4</v>
      </c>
      <c r="O89" s="62">
        <v>9.5341435185185188E-4</v>
      </c>
      <c r="P89" s="62">
        <v>7.8776041666666664E-4</v>
      </c>
      <c r="Q89" s="62">
        <v>1.98828125E-3</v>
      </c>
      <c r="R89" s="62">
        <v>1.8194444444444445E-3</v>
      </c>
      <c r="S89" s="62">
        <f t="shared" si="6"/>
        <v>4.4733796296296297E-4</v>
      </c>
      <c r="T89" s="62">
        <f t="shared" si="7"/>
        <v>7.0891203703703708E-4</v>
      </c>
      <c r="U89" s="62">
        <f t="shared" si="8"/>
        <v>9.5341435185185188E-4</v>
      </c>
      <c r="V89" s="62">
        <f t="shared" si="9"/>
        <v>7.8776041666666664E-4</v>
      </c>
      <c r="W89" s="62">
        <f t="shared" si="10"/>
        <v>1.98828125E-3</v>
      </c>
      <c r="X89" s="62">
        <f t="shared" si="11"/>
        <v>1.8194444444444445E-3</v>
      </c>
    </row>
    <row r="90" spans="1:24" x14ac:dyDescent="0.45">
      <c r="A90" s="59" t="s">
        <v>267</v>
      </c>
      <c r="B90" s="59" t="s">
        <v>182</v>
      </c>
      <c r="C90" s="59">
        <v>23</v>
      </c>
      <c r="D90" s="59">
        <v>40</v>
      </c>
      <c r="E90" s="61">
        <v>45658</v>
      </c>
      <c r="F90" s="61">
        <v>46174</v>
      </c>
      <c r="G90" s="61">
        <v>45658</v>
      </c>
      <c r="H90" s="59" t="s">
        <v>178</v>
      </c>
      <c r="I90" s="59" t="s">
        <v>180</v>
      </c>
      <c r="J90" s="59"/>
      <c r="K90" s="59"/>
      <c r="L90" s="59">
        <v>10</v>
      </c>
      <c r="M90" s="62">
        <v>4.3504050925925926E-4</v>
      </c>
      <c r="N90" s="62">
        <v>6.9082754629629637E-4</v>
      </c>
      <c r="O90" s="62">
        <v>9.1782407407407405E-4</v>
      </c>
      <c r="P90" s="62">
        <v>7.4493634259259261E-4</v>
      </c>
      <c r="Q90" s="62">
        <v>1.9278067129629632E-3</v>
      </c>
      <c r="R90" s="62">
        <v>1.7644675925925924E-3</v>
      </c>
      <c r="S90" s="62">
        <f t="shared" si="6"/>
        <v>4.3504050925925926E-4</v>
      </c>
      <c r="T90" s="62">
        <f t="shared" si="7"/>
        <v>6.9082754629629637E-4</v>
      </c>
      <c r="U90" s="62">
        <f t="shared" si="8"/>
        <v>9.1782407407407405E-4</v>
      </c>
      <c r="V90" s="62">
        <f t="shared" si="9"/>
        <v>7.4493634259259261E-4</v>
      </c>
      <c r="W90" s="62">
        <f t="shared" si="10"/>
        <v>1.9278067129629632E-3</v>
      </c>
      <c r="X90" s="62">
        <f t="shared" si="11"/>
        <v>1.7644675925925924E-3</v>
      </c>
    </row>
    <row r="91" spans="1:24" x14ac:dyDescent="0.45">
      <c r="A91" s="59" t="s">
        <v>268</v>
      </c>
      <c r="B91" s="59" t="s">
        <v>164</v>
      </c>
      <c r="C91" s="59">
        <v>19</v>
      </c>
      <c r="D91" s="59">
        <v>19</v>
      </c>
      <c r="E91" s="61">
        <v>45658</v>
      </c>
      <c r="F91" s="61">
        <v>46174</v>
      </c>
      <c r="G91" s="61">
        <v>45658</v>
      </c>
      <c r="H91" s="59" t="s">
        <v>178</v>
      </c>
      <c r="I91" s="59" t="s">
        <v>180</v>
      </c>
      <c r="J91" s="59"/>
      <c r="K91" s="59"/>
      <c r="L91" s="59">
        <v>10</v>
      </c>
      <c r="M91" s="62">
        <v>5.5121527777777786E-4</v>
      </c>
      <c r="N91" s="62">
        <v>8.3955439814814819E-4</v>
      </c>
      <c r="O91" s="62">
        <v>1.1254340277777777E-3</v>
      </c>
      <c r="P91" s="62">
        <v>9.2824074074074065E-4</v>
      </c>
      <c r="Q91" s="62">
        <v>2.209201388888889E-3</v>
      </c>
      <c r="R91" s="62">
        <v>2.0162037037037041E-3</v>
      </c>
      <c r="S91" s="62">
        <f t="shared" si="6"/>
        <v>5.5121527777777786E-4</v>
      </c>
      <c r="T91" s="62">
        <f t="shared" si="7"/>
        <v>8.3955439814814819E-4</v>
      </c>
      <c r="U91" s="62">
        <f t="shared" si="8"/>
        <v>1.1254340277777777E-3</v>
      </c>
      <c r="V91" s="62">
        <f t="shared" si="9"/>
        <v>9.2824074074074065E-4</v>
      </c>
      <c r="W91" s="62">
        <f t="shared" si="10"/>
        <v>2.209201388888889E-3</v>
      </c>
      <c r="X91" s="62">
        <f t="shared" si="11"/>
        <v>2.0162037037037041E-3</v>
      </c>
    </row>
    <row r="92" spans="1:24" x14ac:dyDescent="0.45">
      <c r="A92" s="59" t="s">
        <v>268</v>
      </c>
      <c r="B92" s="59" t="s">
        <v>164</v>
      </c>
      <c r="C92" s="59">
        <v>20</v>
      </c>
      <c r="D92" s="59">
        <v>22</v>
      </c>
      <c r="E92" s="61">
        <v>45658</v>
      </c>
      <c r="F92" s="61">
        <v>46174</v>
      </c>
      <c r="G92" s="61">
        <v>45658</v>
      </c>
      <c r="H92" s="59" t="s">
        <v>178</v>
      </c>
      <c r="I92" s="59" t="s">
        <v>180</v>
      </c>
      <c r="J92" s="59"/>
      <c r="K92" s="59"/>
      <c r="L92" s="59">
        <v>10</v>
      </c>
      <c r="M92" s="62">
        <v>5.4224537037037034E-4</v>
      </c>
      <c r="N92" s="62">
        <v>8.3174189814814808E-4</v>
      </c>
      <c r="O92" s="62">
        <v>1.1090856481481481E-3</v>
      </c>
      <c r="P92" s="62">
        <v>9.1710069444444445E-4</v>
      </c>
      <c r="Q92" s="62">
        <v>2.1956018518518518E-3</v>
      </c>
      <c r="R92" s="62">
        <v>2.0098379629629633E-3</v>
      </c>
      <c r="S92" s="62">
        <f t="shared" si="6"/>
        <v>5.4224537037037034E-4</v>
      </c>
      <c r="T92" s="62">
        <f t="shared" si="7"/>
        <v>8.3174189814814808E-4</v>
      </c>
      <c r="U92" s="62">
        <f t="shared" si="8"/>
        <v>1.1090856481481481E-3</v>
      </c>
      <c r="V92" s="62">
        <f t="shared" si="9"/>
        <v>9.1710069444444445E-4</v>
      </c>
      <c r="W92" s="62">
        <f t="shared" si="10"/>
        <v>2.1956018518518518E-3</v>
      </c>
      <c r="X92" s="62">
        <f t="shared" si="11"/>
        <v>2.0098379629629633E-3</v>
      </c>
    </row>
    <row r="93" spans="1:24" x14ac:dyDescent="0.45">
      <c r="A93" s="59" t="s">
        <v>268</v>
      </c>
      <c r="B93" s="59" t="s">
        <v>164</v>
      </c>
      <c r="C93" s="59">
        <v>23</v>
      </c>
      <c r="D93" s="59">
        <v>40</v>
      </c>
      <c r="E93" s="61">
        <v>45658</v>
      </c>
      <c r="F93" s="61">
        <v>46174</v>
      </c>
      <c r="G93" s="61">
        <v>45658</v>
      </c>
      <c r="H93" s="59" t="s">
        <v>178</v>
      </c>
      <c r="I93" s="59" t="s">
        <v>180</v>
      </c>
      <c r="J93" s="59"/>
      <c r="K93" s="59"/>
      <c r="L93" s="59">
        <v>10</v>
      </c>
      <c r="M93" s="62">
        <v>5.1446759259259262E-4</v>
      </c>
      <c r="N93" s="62">
        <v>8.0758101851851846E-4</v>
      </c>
      <c r="O93" s="62">
        <v>1.0587384259259261E-3</v>
      </c>
      <c r="P93" s="62">
        <v>8.8281250000000013E-4</v>
      </c>
      <c r="Q93" s="62">
        <v>2.1535011574074074E-3</v>
      </c>
      <c r="R93" s="62">
        <v>1.9898726851851852E-3</v>
      </c>
      <c r="S93" s="62">
        <f t="shared" si="6"/>
        <v>5.1446759259259262E-4</v>
      </c>
      <c r="T93" s="62">
        <f t="shared" si="7"/>
        <v>8.0758101851851846E-4</v>
      </c>
      <c r="U93" s="62">
        <f t="shared" si="8"/>
        <v>1.0587384259259261E-3</v>
      </c>
      <c r="V93" s="62">
        <f t="shared" si="9"/>
        <v>8.8281250000000013E-4</v>
      </c>
      <c r="W93" s="62">
        <f t="shared" si="10"/>
        <v>2.1535011574074074E-3</v>
      </c>
      <c r="X93" s="62">
        <f t="shared" si="11"/>
        <v>1.9898726851851852E-3</v>
      </c>
    </row>
    <row r="94" spans="1:24" x14ac:dyDescent="0.45">
      <c r="A94" s="59" t="s">
        <v>269</v>
      </c>
      <c r="B94" s="59" t="s">
        <v>182</v>
      </c>
      <c r="C94" s="59">
        <v>19</v>
      </c>
      <c r="D94" s="59">
        <v>19</v>
      </c>
      <c r="E94" s="61">
        <v>45658</v>
      </c>
      <c r="F94" s="61">
        <v>46174</v>
      </c>
      <c r="G94" s="61">
        <v>45658</v>
      </c>
      <c r="H94" s="59" t="s">
        <v>178</v>
      </c>
      <c r="I94" s="59" t="s">
        <v>180</v>
      </c>
      <c r="J94" s="59"/>
      <c r="K94" s="59"/>
      <c r="L94" s="59">
        <v>10</v>
      </c>
      <c r="M94" s="62">
        <v>4.6041666666666659E-4</v>
      </c>
      <c r="N94" s="62">
        <v>7.2899305555555554E-4</v>
      </c>
      <c r="O94" s="62">
        <v>9.8414062499999999E-4</v>
      </c>
      <c r="P94" s="62">
        <v>8.1768229166666654E-4</v>
      </c>
      <c r="Q94" s="62">
        <v>2.0479687499999999E-3</v>
      </c>
      <c r="R94" s="62">
        <v>1.8739843749999998E-3</v>
      </c>
      <c r="S94" s="62">
        <f t="shared" si="6"/>
        <v>4.6041666666666659E-4</v>
      </c>
      <c r="T94" s="62">
        <f t="shared" si="7"/>
        <v>7.2899305555555554E-4</v>
      </c>
      <c r="U94" s="62">
        <f t="shared" si="8"/>
        <v>9.8414062499999999E-4</v>
      </c>
      <c r="V94" s="62">
        <f t="shared" si="9"/>
        <v>8.1768229166666654E-4</v>
      </c>
      <c r="W94" s="62">
        <f t="shared" si="10"/>
        <v>2.0479687499999999E-3</v>
      </c>
      <c r="X94" s="62">
        <f t="shared" si="11"/>
        <v>1.8739843749999998E-3</v>
      </c>
    </row>
    <row r="95" spans="1:24" x14ac:dyDescent="0.45">
      <c r="A95" s="59" t="s">
        <v>269</v>
      </c>
      <c r="B95" s="59" t="s">
        <v>182</v>
      </c>
      <c r="C95" s="59">
        <v>20</v>
      </c>
      <c r="D95" s="59">
        <v>22</v>
      </c>
      <c r="E95" s="61">
        <v>45658</v>
      </c>
      <c r="F95" s="61">
        <v>46174</v>
      </c>
      <c r="G95" s="61">
        <v>45658</v>
      </c>
      <c r="H95" s="59" t="s">
        <v>178</v>
      </c>
      <c r="I95" s="59" t="s">
        <v>180</v>
      </c>
      <c r="J95" s="59"/>
      <c r="K95" s="59"/>
      <c r="L95" s="59">
        <v>10</v>
      </c>
      <c r="M95" s="62">
        <v>4.5628472222222218E-4</v>
      </c>
      <c r="N95" s="62">
        <v>7.2309027777777779E-4</v>
      </c>
      <c r="O95" s="62">
        <v>9.7248263888888883E-4</v>
      </c>
      <c r="P95" s="62">
        <v>8.0351562499999987E-4</v>
      </c>
      <c r="Q95" s="62">
        <v>2.0280468749999999E-3</v>
      </c>
      <c r="R95" s="62">
        <v>1.8558333333333332E-3</v>
      </c>
      <c r="S95" s="62">
        <f t="shared" si="6"/>
        <v>4.5628472222222218E-4</v>
      </c>
      <c r="T95" s="62">
        <f t="shared" si="7"/>
        <v>7.2309027777777779E-4</v>
      </c>
      <c r="U95" s="62">
        <f t="shared" si="8"/>
        <v>9.7248263888888883E-4</v>
      </c>
      <c r="V95" s="62">
        <f t="shared" si="9"/>
        <v>8.0351562499999987E-4</v>
      </c>
      <c r="W95" s="62">
        <f t="shared" si="10"/>
        <v>2.0280468749999999E-3</v>
      </c>
      <c r="X95" s="62">
        <f t="shared" si="11"/>
        <v>1.8558333333333332E-3</v>
      </c>
    </row>
    <row r="96" spans="1:24" x14ac:dyDescent="0.45">
      <c r="A96" s="59" t="s">
        <v>269</v>
      </c>
      <c r="B96" s="59" t="s">
        <v>182</v>
      </c>
      <c r="C96" s="59">
        <v>23</v>
      </c>
      <c r="D96" s="59">
        <v>40</v>
      </c>
      <c r="E96" s="61">
        <v>45658</v>
      </c>
      <c r="F96" s="61">
        <v>46174</v>
      </c>
      <c r="G96" s="61">
        <v>45658</v>
      </c>
      <c r="H96" s="59" t="s">
        <v>178</v>
      </c>
      <c r="I96" s="59" t="s">
        <v>180</v>
      </c>
      <c r="J96" s="59"/>
      <c r="K96" s="59"/>
      <c r="L96" s="59">
        <v>10</v>
      </c>
      <c r="M96" s="62">
        <v>4.4374131944444441E-4</v>
      </c>
      <c r="N96" s="62">
        <v>7.0464409722222217E-4</v>
      </c>
      <c r="O96" s="62">
        <v>9.3618055555555544E-4</v>
      </c>
      <c r="P96" s="62">
        <v>7.5983506944444438E-4</v>
      </c>
      <c r="Q96" s="62">
        <v>1.9663628472222222E-3</v>
      </c>
      <c r="R96" s="62">
        <v>1.7997569444444441E-3</v>
      </c>
      <c r="S96" s="62">
        <f t="shared" si="6"/>
        <v>4.4374131944444441E-4</v>
      </c>
      <c r="T96" s="62">
        <f t="shared" si="7"/>
        <v>7.0464409722222217E-4</v>
      </c>
      <c r="U96" s="62">
        <f t="shared" si="8"/>
        <v>9.3618055555555544E-4</v>
      </c>
      <c r="V96" s="62">
        <f t="shared" si="9"/>
        <v>7.5983506944444438E-4</v>
      </c>
      <c r="W96" s="62">
        <f t="shared" si="10"/>
        <v>1.9663628472222222E-3</v>
      </c>
      <c r="X96" s="62">
        <f t="shared" si="11"/>
        <v>1.7997569444444441E-3</v>
      </c>
    </row>
    <row r="97" spans="1:24" x14ac:dyDescent="0.45">
      <c r="A97" s="59" t="s">
        <v>270</v>
      </c>
      <c r="B97" s="59" t="s">
        <v>164</v>
      </c>
      <c r="C97" s="59">
        <v>19</v>
      </c>
      <c r="D97" s="59">
        <v>19</v>
      </c>
      <c r="E97" s="61">
        <v>45658</v>
      </c>
      <c r="F97" s="61">
        <v>46174</v>
      </c>
      <c r="G97" s="61">
        <v>45658</v>
      </c>
      <c r="H97" s="59" t="s">
        <v>178</v>
      </c>
      <c r="I97" s="59" t="s">
        <v>180</v>
      </c>
      <c r="J97" s="59"/>
      <c r="K97" s="59"/>
      <c r="L97" s="59">
        <v>10</v>
      </c>
      <c r="M97" s="62">
        <v>5.6223958333333332E-4</v>
      </c>
      <c r="N97" s="62">
        <v>8.5634548611111111E-4</v>
      </c>
      <c r="O97" s="62">
        <v>1.1479427083333331E-3</v>
      </c>
      <c r="P97" s="62">
        <v>9.4680555555555544E-4</v>
      </c>
      <c r="Q97" s="62">
        <v>2.2533854166666666E-3</v>
      </c>
      <c r="R97" s="62">
        <v>2.0565277777777778E-3</v>
      </c>
      <c r="S97" s="62">
        <f t="shared" si="6"/>
        <v>5.6223958333333332E-4</v>
      </c>
      <c r="T97" s="62">
        <f t="shared" si="7"/>
        <v>8.5634548611111111E-4</v>
      </c>
      <c r="U97" s="62">
        <f t="shared" si="8"/>
        <v>1.1479427083333331E-3</v>
      </c>
      <c r="V97" s="62">
        <f t="shared" si="9"/>
        <v>9.4680555555555544E-4</v>
      </c>
      <c r="W97" s="62">
        <f t="shared" si="10"/>
        <v>2.2533854166666666E-3</v>
      </c>
      <c r="X97" s="62">
        <f t="shared" si="11"/>
        <v>2.0565277777777778E-3</v>
      </c>
    </row>
    <row r="98" spans="1:24" x14ac:dyDescent="0.45">
      <c r="A98" s="59" t="s">
        <v>270</v>
      </c>
      <c r="B98" s="59" t="s">
        <v>164</v>
      </c>
      <c r="C98" s="59">
        <v>20</v>
      </c>
      <c r="D98" s="59">
        <v>22</v>
      </c>
      <c r="E98" s="61">
        <v>45658</v>
      </c>
      <c r="F98" s="61">
        <v>46174</v>
      </c>
      <c r="G98" s="61">
        <v>45658</v>
      </c>
      <c r="H98" s="59" t="s">
        <v>178</v>
      </c>
      <c r="I98" s="59" t="s">
        <v>180</v>
      </c>
      <c r="J98" s="59"/>
      <c r="K98" s="59"/>
      <c r="L98" s="59">
        <v>10</v>
      </c>
      <c r="M98" s="62">
        <v>5.5309027777777767E-4</v>
      </c>
      <c r="N98" s="62">
        <v>8.4837673611111105E-4</v>
      </c>
      <c r="O98" s="62">
        <v>1.1312673611111109E-3</v>
      </c>
      <c r="P98" s="62">
        <v>9.3544270833333327E-4</v>
      </c>
      <c r="Q98" s="62">
        <v>2.2395138888888885E-3</v>
      </c>
      <c r="R98" s="62">
        <v>2.0500347222222222E-3</v>
      </c>
      <c r="S98" s="62">
        <f t="shared" si="6"/>
        <v>5.5309027777777767E-4</v>
      </c>
      <c r="T98" s="62">
        <f t="shared" si="7"/>
        <v>8.4837673611111105E-4</v>
      </c>
      <c r="U98" s="62">
        <f t="shared" si="8"/>
        <v>1.1312673611111109E-3</v>
      </c>
      <c r="V98" s="62">
        <f t="shared" si="9"/>
        <v>9.3544270833333327E-4</v>
      </c>
      <c r="W98" s="62">
        <f t="shared" si="10"/>
        <v>2.2395138888888885E-3</v>
      </c>
      <c r="X98" s="62">
        <f t="shared" si="11"/>
        <v>2.0500347222222222E-3</v>
      </c>
    </row>
    <row r="99" spans="1:24" x14ac:dyDescent="0.45">
      <c r="A99" s="59" t="s">
        <v>270</v>
      </c>
      <c r="B99" s="59" t="s">
        <v>164</v>
      </c>
      <c r="C99" s="59">
        <v>23</v>
      </c>
      <c r="D99" s="59">
        <v>40</v>
      </c>
      <c r="E99" s="61">
        <v>45658</v>
      </c>
      <c r="F99" s="61">
        <v>46174</v>
      </c>
      <c r="G99" s="61">
        <v>45658</v>
      </c>
      <c r="H99" s="59" t="s">
        <v>178</v>
      </c>
      <c r="I99" s="59" t="s">
        <v>180</v>
      </c>
      <c r="J99" s="59"/>
      <c r="K99" s="59"/>
      <c r="L99" s="59">
        <v>10</v>
      </c>
      <c r="M99" s="62">
        <v>5.2475694444444445E-4</v>
      </c>
      <c r="N99" s="62">
        <v>8.2373263888888882E-4</v>
      </c>
      <c r="O99" s="62">
        <v>1.0799131944444445E-3</v>
      </c>
      <c r="P99" s="62">
        <v>9.0046875000000001E-4</v>
      </c>
      <c r="Q99" s="62">
        <v>2.1965711805555553E-3</v>
      </c>
      <c r="R99" s="62">
        <v>2.0296701388888886E-3</v>
      </c>
      <c r="S99" s="62">
        <f t="shared" si="6"/>
        <v>5.2475694444444445E-4</v>
      </c>
      <c r="T99" s="62">
        <f t="shared" si="7"/>
        <v>8.2373263888888882E-4</v>
      </c>
      <c r="U99" s="62">
        <f t="shared" si="8"/>
        <v>1.0799131944444445E-3</v>
      </c>
      <c r="V99" s="62">
        <f t="shared" si="9"/>
        <v>9.0046875000000001E-4</v>
      </c>
      <c r="W99" s="62">
        <f t="shared" si="10"/>
        <v>2.1965711805555553E-3</v>
      </c>
      <c r="X99" s="62">
        <f t="shared" si="11"/>
        <v>2.0296701388888886E-3</v>
      </c>
    </row>
    <row r="100" spans="1:24" x14ac:dyDescent="0.45">
      <c r="A100" s="59" t="s">
        <v>271</v>
      </c>
      <c r="B100" s="59" t="s">
        <v>182</v>
      </c>
      <c r="C100" s="59">
        <v>19</v>
      </c>
      <c r="D100" s="59">
        <v>19</v>
      </c>
      <c r="E100" s="61">
        <v>45658</v>
      </c>
      <c r="F100" s="61">
        <v>46174</v>
      </c>
      <c r="G100" s="61">
        <v>45658</v>
      </c>
      <c r="H100" s="59" t="s">
        <v>178</v>
      </c>
      <c r="I100" s="59" t="s">
        <v>180</v>
      </c>
      <c r="J100" s="59"/>
      <c r="K100" s="59"/>
      <c r="L100" s="59">
        <v>10</v>
      </c>
      <c r="M100" s="62">
        <f>NK!$R$14</f>
        <v>4.1166666666666663E-4</v>
      </c>
      <c r="N100" s="62">
        <f>NK!$R$16</f>
        <v>6.5180555555555554E-4</v>
      </c>
      <c r="O100" s="62">
        <f>NK!$R$15</f>
        <v>8.7993749999999997E-4</v>
      </c>
      <c r="P100" s="62">
        <f>NK!$R$17</f>
        <v>7.3110416666666647E-4</v>
      </c>
      <c r="Q100" s="62">
        <f>NK!$R$19</f>
        <v>1.8311249999999999E-3</v>
      </c>
      <c r="R100" s="62">
        <f>NK!$R$18</f>
        <v>1.6755624999999998E-3</v>
      </c>
      <c r="S100" s="62">
        <f>M100</f>
        <v>4.1166666666666663E-4</v>
      </c>
      <c r="T100" s="62">
        <f t="shared" si="7"/>
        <v>6.5180555555555554E-4</v>
      </c>
      <c r="U100" s="62">
        <f t="shared" si="8"/>
        <v>8.7993749999999997E-4</v>
      </c>
      <c r="V100" s="62">
        <f t="shared" si="9"/>
        <v>7.3110416666666647E-4</v>
      </c>
      <c r="W100" s="62">
        <f t="shared" si="10"/>
        <v>1.8311249999999999E-3</v>
      </c>
      <c r="X100" s="62">
        <f t="shared" si="11"/>
        <v>1.6755624999999998E-3</v>
      </c>
    </row>
    <row r="101" spans="1:24" x14ac:dyDescent="0.45">
      <c r="A101" s="59" t="s">
        <v>271</v>
      </c>
      <c r="B101" s="59" t="s">
        <v>182</v>
      </c>
      <c r="C101" s="59">
        <v>20</v>
      </c>
      <c r="D101" s="59">
        <v>22</v>
      </c>
      <c r="E101" s="61">
        <v>45658</v>
      </c>
      <c r="F101" s="61">
        <v>46174</v>
      </c>
      <c r="G101" s="61">
        <v>45658</v>
      </c>
      <c r="H101" s="59" t="s">
        <v>178</v>
      </c>
      <c r="I101" s="59" t="s">
        <v>180</v>
      </c>
      <c r="J101" s="59"/>
      <c r="K101" s="59"/>
      <c r="L101" s="59">
        <v>10</v>
      </c>
      <c r="M101" s="62">
        <f>NK!$S$14</f>
        <v>4.0797222222222217E-4</v>
      </c>
      <c r="N101" s="62">
        <f>NK!$S$16</f>
        <v>6.4652777777777777E-4</v>
      </c>
      <c r="O101" s="62">
        <f>NK!$S$15</f>
        <v>8.6951388888888885E-4</v>
      </c>
      <c r="P101" s="62">
        <f>NK!$S$17</f>
        <v>7.1843749999999989E-4</v>
      </c>
      <c r="Q101" s="62">
        <f>NK!$S$19</f>
        <v>1.8133124999999998E-3</v>
      </c>
      <c r="R101" s="62">
        <f>NK!$S$18</f>
        <v>1.6593333333333332E-3</v>
      </c>
      <c r="S101" s="62">
        <f t="shared" ref="S101:S105" si="12">M101</f>
        <v>4.0797222222222217E-4</v>
      </c>
      <c r="T101" s="62">
        <f t="shared" si="7"/>
        <v>6.4652777777777777E-4</v>
      </c>
      <c r="U101" s="62">
        <f t="shared" si="8"/>
        <v>8.6951388888888885E-4</v>
      </c>
      <c r="V101" s="62">
        <f t="shared" si="9"/>
        <v>7.1843749999999989E-4</v>
      </c>
      <c r="W101" s="62">
        <f t="shared" si="10"/>
        <v>1.8133124999999998E-3</v>
      </c>
      <c r="X101" s="62">
        <f t="shared" si="11"/>
        <v>1.6593333333333332E-3</v>
      </c>
    </row>
    <row r="102" spans="1:24" x14ac:dyDescent="0.45">
      <c r="A102" s="59" t="s">
        <v>271</v>
      </c>
      <c r="B102" s="59" t="s">
        <v>182</v>
      </c>
      <c r="C102" s="59">
        <v>23</v>
      </c>
      <c r="D102" s="59">
        <v>40</v>
      </c>
      <c r="E102" s="61">
        <v>45658</v>
      </c>
      <c r="F102" s="61">
        <v>46174</v>
      </c>
      <c r="G102" s="61">
        <v>45658</v>
      </c>
      <c r="H102" s="59" t="s">
        <v>178</v>
      </c>
      <c r="I102" s="59" t="s">
        <v>180</v>
      </c>
      <c r="J102" s="59"/>
      <c r="K102" s="59"/>
      <c r="L102" s="59">
        <v>10</v>
      </c>
      <c r="M102" s="62">
        <f>NK!$T$14</f>
        <v>3.9675694444444442E-4</v>
      </c>
      <c r="N102" s="62">
        <f>NK!$T$16</f>
        <v>6.3003472222222215E-4</v>
      </c>
      <c r="O102" s="62">
        <f>NK!$T$15</f>
        <v>8.3705555555555551E-4</v>
      </c>
      <c r="P102" s="62">
        <f>NK!$T$17</f>
        <v>6.7938194444444437E-4</v>
      </c>
      <c r="Q102" s="62">
        <f>NK!$T$19</f>
        <v>1.7581597222222222E-3</v>
      </c>
      <c r="R102" s="62">
        <f>NK!$T$18</f>
        <v>1.6091944444444441E-3</v>
      </c>
      <c r="S102" s="62">
        <f t="shared" si="12"/>
        <v>3.9675694444444442E-4</v>
      </c>
      <c r="T102" s="62">
        <f t="shared" si="7"/>
        <v>6.3003472222222215E-4</v>
      </c>
      <c r="U102" s="62">
        <f t="shared" si="8"/>
        <v>8.3705555555555551E-4</v>
      </c>
      <c r="V102" s="62">
        <f t="shared" si="9"/>
        <v>6.7938194444444437E-4</v>
      </c>
      <c r="W102" s="62">
        <f t="shared" si="10"/>
        <v>1.7581597222222222E-3</v>
      </c>
      <c r="X102" s="62">
        <f t="shared" si="11"/>
        <v>1.6091944444444441E-3</v>
      </c>
    </row>
    <row r="103" spans="1:24" x14ac:dyDescent="0.45">
      <c r="A103" s="59" t="s">
        <v>272</v>
      </c>
      <c r="B103" s="59" t="s">
        <v>164</v>
      </c>
      <c r="C103" s="59">
        <v>19</v>
      </c>
      <c r="D103" s="59">
        <v>19</v>
      </c>
      <c r="E103" s="61">
        <v>45658</v>
      </c>
      <c r="F103" s="61">
        <v>46174</v>
      </c>
      <c r="G103" s="61">
        <v>45658</v>
      </c>
      <c r="H103" s="59" t="s">
        <v>178</v>
      </c>
      <c r="I103" s="59" t="s">
        <v>180</v>
      </c>
      <c r="J103" s="59"/>
      <c r="K103" s="59"/>
      <c r="L103" s="59">
        <v>10</v>
      </c>
      <c r="M103" s="62">
        <f>NK!$X$14</f>
        <v>5.2475694444444445E-4</v>
      </c>
      <c r="N103" s="62">
        <f>NK!$X$16</f>
        <v>7.9925578703703712E-4</v>
      </c>
      <c r="O103" s="62">
        <f>NK!$X$15</f>
        <v>1.0714131944444443E-3</v>
      </c>
      <c r="P103" s="62">
        <f>NK!$X$17</f>
        <v>8.8368518518518505E-4</v>
      </c>
      <c r="Q103" s="62">
        <f>NK!$X$19</f>
        <v>2.103159722222222E-3</v>
      </c>
      <c r="R103" s="62">
        <f>NK!$X$18</f>
        <v>1.9194259259259262E-3</v>
      </c>
      <c r="S103" s="62">
        <f t="shared" si="12"/>
        <v>5.2475694444444445E-4</v>
      </c>
      <c r="T103" s="62">
        <f t="shared" si="7"/>
        <v>7.9925578703703712E-4</v>
      </c>
      <c r="U103" s="62">
        <f t="shared" si="8"/>
        <v>1.0714131944444443E-3</v>
      </c>
      <c r="V103" s="62">
        <f t="shared" si="9"/>
        <v>8.8368518518518505E-4</v>
      </c>
      <c r="W103" s="62">
        <f t="shared" si="10"/>
        <v>2.103159722222222E-3</v>
      </c>
      <c r="X103" s="62">
        <f t="shared" si="11"/>
        <v>1.9194259259259262E-3</v>
      </c>
    </row>
    <row r="104" spans="1:24" x14ac:dyDescent="0.45">
      <c r="A104" s="59" t="s">
        <v>272</v>
      </c>
      <c r="B104" s="59" t="s">
        <v>164</v>
      </c>
      <c r="C104" s="59">
        <v>20</v>
      </c>
      <c r="D104" s="59">
        <v>22</v>
      </c>
      <c r="E104" s="61">
        <v>45658</v>
      </c>
      <c r="F104" s="61">
        <v>46174</v>
      </c>
      <c r="G104" s="61">
        <v>45658</v>
      </c>
      <c r="H104" s="59" t="s">
        <v>178</v>
      </c>
      <c r="I104" s="59" t="s">
        <v>180</v>
      </c>
      <c r="J104" s="59"/>
      <c r="K104" s="59"/>
      <c r="L104" s="59">
        <v>10</v>
      </c>
      <c r="M104" s="62">
        <f>NK!$Y$14</f>
        <v>5.1621759259259253E-4</v>
      </c>
      <c r="N104" s="62">
        <f>NK!$Y$16</f>
        <v>7.9181828703703695E-4</v>
      </c>
      <c r="O104" s="62">
        <f>NK!$Y$15</f>
        <v>1.055849537037037E-3</v>
      </c>
      <c r="P104" s="62">
        <f>NK!$Y$17</f>
        <v>8.7307986111111104E-4</v>
      </c>
      <c r="Q104" s="62">
        <f>NK!$Y$19</f>
        <v>2.090212962962963E-3</v>
      </c>
      <c r="R104" s="62">
        <f>NK!$Y$18</f>
        <v>1.9133657407407409E-3</v>
      </c>
      <c r="S104" s="62">
        <f t="shared" si="12"/>
        <v>5.1621759259259253E-4</v>
      </c>
      <c r="T104" s="62">
        <f t="shared" si="7"/>
        <v>7.9181828703703695E-4</v>
      </c>
      <c r="U104" s="62">
        <f t="shared" si="8"/>
        <v>1.055849537037037E-3</v>
      </c>
      <c r="V104" s="62">
        <f t="shared" si="9"/>
        <v>8.7307986111111104E-4</v>
      </c>
      <c r="W104" s="62">
        <f t="shared" si="10"/>
        <v>2.090212962962963E-3</v>
      </c>
      <c r="X104" s="62">
        <f t="shared" si="11"/>
        <v>1.9133657407407409E-3</v>
      </c>
    </row>
    <row r="105" spans="1:24" x14ac:dyDescent="0.45">
      <c r="A105" s="59" t="s">
        <v>272</v>
      </c>
      <c r="B105" s="59" t="s">
        <v>164</v>
      </c>
      <c r="C105" s="59">
        <v>23</v>
      </c>
      <c r="D105" s="59">
        <v>40</v>
      </c>
      <c r="E105" s="61">
        <v>45658</v>
      </c>
      <c r="F105" s="61">
        <v>46174</v>
      </c>
      <c r="G105" s="61">
        <v>45658</v>
      </c>
      <c r="H105" s="59" t="s">
        <v>178</v>
      </c>
      <c r="I105" s="59" t="s">
        <v>180</v>
      </c>
      <c r="J105" s="59"/>
      <c r="K105" s="59"/>
      <c r="L105" s="59">
        <v>10</v>
      </c>
      <c r="M105" s="62">
        <f>NK!$Z$14</f>
        <v>4.8977314814814814E-4</v>
      </c>
      <c r="N105" s="62">
        <f>NK!$Z$16</f>
        <v>7.688171296296296E-4</v>
      </c>
      <c r="O105" s="62">
        <f>NK!$Z$15</f>
        <v>1.0079189814814816E-3</v>
      </c>
      <c r="P105" s="62">
        <f>NK!$Z$17</f>
        <v>8.4043750000000004E-4</v>
      </c>
      <c r="Q105" s="62">
        <f>NK!$Z$19</f>
        <v>2.0501331018518516E-3</v>
      </c>
      <c r="R105" s="62">
        <f>NK!$Z$18</f>
        <v>1.8943587962962961E-3</v>
      </c>
      <c r="S105" s="62">
        <f t="shared" si="12"/>
        <v>4.8977314814814814E-4</v>
      </c>
      <c r="T105" s="62">
        <f t="shared" si="7"/>
        <v>7.688171296296296E-4</v>
      </c>
      <c r="U105" s="62">
        <f t="shared" si="8"/>
        <v>1.0079189814814816E-3</v>
      </c>
      <c r="V105" s="62">
        <f t="shared" si="9"/>
        <v>8.4043750000000004E-4</v>
      </c>
      <c r="W105" s="62">
        <f t="shared" si="10"/>
        <v>2.0501331018518516E-3</v>
      </c>
      <c r="X105" s="62">
        <f t="shared" si="11"/>
        <v>1.8943587962962961E-3</v>
      </c>
    </row>
    <row r="106" spans="1:24" x14ac:dyDescent="0.45">
      <c r="A106" s="59" t="s">
        <v>273</v>
      </c>
      <c r="B106" s="59" t="s">
        <v>182</v>
      </c>
      <c r="C106" s="59">
        <v>18</v>
      </c>
      <c r="D106" s="59">
        <v>18</v>
      </c>
      <c r="E106" s="61">
        <v>45658</v>
      </c>
      <c r="F106" s="61">
        <v>46174</v>
      </c>
      <c r="G106" s="61">
        <v>45658</v>
      </c>
      <c r="H106" s="59" t="s">
        <v>178</v>
      </c>
      <c r="I106" s="59" t="s">
        <v>180</v>
      </c>
      <c r="J106" s="59"/>
      <c r="K106" s="59"/>
      <c r="L106" s="59">
        <v>10</v>
      </c>
      <c r="M106" s="62">
        <v>4.5043055555555553E-4</v>
      </c>
      <c r="N106" s="62">
        <v>7.1251736111111103E-4</v>
      </c>
      <c r="O106" s="62">
        <v>9.6791319444444431E-4</v>
      </c>
      <c r="P106" s="62">
        <v>8.1174305555555557E-4</v>
      </c>
      <c r="Q106" s="62">
        <v>2.0068645833333332E-3</v>
      </c>
      <c r="R106" s="62">
        <v>1.8361736111111109E-3</v>
      </c>
      <c r="S106" s="62">
        <f t="shared" ref="S106:S111" si="13">M106</f>
        <v>4.5043055555555553E-4</v>
      </c>
      <c r="T106" s="62">
        <f t="shared" si="7"/>
        <v>7.1251736111111103E-4</v>
      </c>
      <c r="U106" s="62">
        <f t="shared" si="8"/>
        <v>9.6791319444444431E-4</v>
      </c>
      <c r="V106" s="62">
        <f t="shared" si="9"/>
        <v>8.1174305555555557E-4</v>
      </c>
      <c r="W106" s="62">
        <f t="shared" si="10"/>
        <v>2.0068645833333332E-3</v>
      </c>
      <c r="X106" s="62">
        <f t="shared" si="11"/>
        <v>1.8361736111111109E-3</v>
      </c>
    </row>
    <row r="107" spans="1:24" x14ac:dyDescent="0.45">
      <c r="A107" s="59" t="s">
        <v>273</v>
      </c>
      <c r="B107" s="59" t="s">
        <v>182</v>
      </c>
      <c r="C107" s="59">
        <v>17</v>
      </c>
      <c r="D107" s="59">
        <v>17</v>
      </c>
      <c r="E107" s="61">
        <v>45658</v>
      </c>
      <c r="F107" s="61">
        <v>46174</v>
      </c>
      <c r="G107" s="61">
        <v>45658</v>
      </c>
      <c r="H107" s="59" t="s">
        <v>178</v>
      </c>
      <c r="I107" s="59" t="s">
        <v>180</v>
      </c>
      <c r="J107" s="59"/>
      <c r="K107" s="59"/>
      <c r="L107" s="59">
        <v>10</v>
      </c>
      <c r="M107" s="62">
        <v>4.5541319444444443E-4</v>
      </c>
      <c r="N107" s="62">
        <v>7.1949305555555558E-4</v>
      </c>
      <c r="O107" s="62">
        <v>9.8200694444444442E-4</v>
      </c>
      <c r="P107" s="62">
        <v>8.2925347222222222E-4</v>
      </c>
      <c r="Q107" s="62">
        <v>2.0306388888888887E-3</v>
      </c>
      <c r="R107" s="62">
        <v>1.8578124999999999E-3</v>
      </c>
      <c r="S107" s="62">
        <f t="shared" si="13"/>
        <v>4.5541319444444443E-4</v>
      </c>
      <c r="T107" s="62">
        <f t="shared" si="7"/>
        <v>7.1949305555555558E-4</v>
      </c>
      <c r="U107" s="62">
        <f t="shared" si="8"/>
        <v>9.8200694444444442E-4</v>
      </c>
      <c r="V107" s="62">
        <f t="shared" si="9"/>
        <v>8.2925347222222222E-4</v>
      </c>
      <c r="W107" s="62">
        <f t="shared" si="10"/>
        <v>2.0306388888888887E-3</v>
      </c>
      <c r="X107" s="62">
        <f t="shared" si="11"/>
        <v>1.8578124999999999E-3</v>
      </c>
    </row>
    <row r="108" spans="1:24" x14ac:dyDescent="0.45">
      <c r="A108" s="59" t="s">
        <v>273</v>
      </c>
      <c r="B108" s="59" t="s">
        <v>182</v>
      </c>
      <c r="C108" s="59">
        <v>14</v>
      </c>
      <c r="D108" s="59">
        <v>16</v>
      </c>
      <c r="E108" s="61">
        <v>45658</v>
      </c>
      <c r="F108" s="61">
        <v>46174</v>
      </c>
      <c r="G108" s="61">
        <v>45658</v>
      </c>
      <c r="H108" s="59" t="s">
        <v>178</v>
      </c>
      <c r="I108" s="59" t="s">
        <v>180</v>
      </c>
      <c r="J108" s="59"/>
      <c r="K108" s="59"/>
      <c r="L108" s="59">
        <v>10</v>
      </c>
      <c r="M108" s="62">
        <v>4.5982638888888885E-4</v>
      </c>
      <c r="N108" s="62">
        <v>7.2604166666666661E-4</v>
      </c>
      <c r="O108" s="62">
        <v>9.9510416666666671E-4</v>
      </c>
      <c r="P108" s="62">
        <v>8.4534027777777786E-4</v>
      </c>
      <c r="Q108" s="62">
        <v>2.052704861111111E-3</v>
      </c>
      <c r="R108" s="62">
        <v>1.8777430555555557E-3</v>
      </c>
      <c r="S108" s="62">
        <f t="shared" si="13"/>
        <v>4.5982638888888885E-4</v>
      </c>
      <c r="T108" s="62">
        <f t="shared" si="7"/>
        <v>7.2604166666666661E-4</v>
      </c>
      <c r="U108" s="62">
        <f t="shared" si="8"/>
        <v>9.9510416666666671E-4</v>
      </c>
      <c r="V108" s="62">
        <f t="shared" si="9"/>
        <v>8.4534027777777786E-4</v>
      </c>
      <c r="W108" s="62">
        <f t="shared" si="10"/>
        <v>2.052704861111111E-3</v>
      </c>
      <c r="X108" s="62">
        <f t="shared" si="11"/>
        <v>1.8777430555555557E-3</v>
      </c>
    </row>
    <row r="109" spans="1:24" x14ac:dyDescent="0.45">
      <c r="A109" s="59" t="s">
        <v>274</v>
      </c>
      <c r="B109" s="59" t="s">
        <v>164</v>
      </c>
      <c r="C109" s="59">
        <v>18</v>
      </c>
      <c r="D109" s="59">
        <v>18</v>
      </c>
      <c r="E109" s="61">
        <v>45658</v>
      </c>
      <c r="F109" s="61">
        <v>46174</v>
      </c>
      <c r="G109" s="61">
        <v>45658</v>
      </c>
      <c r="H109" s="59" t="s">
        <v>178</v>
      </c>
      <c r="I109" s="59" t="s">
        <v>180</v>
      </c>
      <c r="J109" s="59"/>
      <c r="K109" s="59"/>
      <c r="L109" s="59">
        <v>10</v>
      </c>
      <c r="M109" s="62">
        <v>5.3455092592592595E-4</v>
      </c>
      <c r="N109" s="62">
        <v>8.0442129629629624E-4</v>
      </c>
      <c r="O109" s="62">
        <v>1.0879490740740739E-3</v>
      </c>
      <c r="P109" s="62">
        <v>8.9346759259259251E-4</v>
      </c>
      <c r="Q109" s="62">
        <v>2.1059722222222218E-3</v>
      </c>
      <c r="R109" s="62">
        <v>1.9128564814814813E-3</v>
      </c>
      <c r="S109" s="62">
        <f t="shared" si="13"/>
        <v>5.3455092592592595E-4</v>
      </c>
      <c r="T109" s="62">
        <f t="shared" si="7"/>
        <v>8.0442129629629624E-4</v>
      </c>
      <c r="U109" s="62">
        <f t="shared" si="8"/>
        <v>1.0879490740740739E-3</v>
      </c>
      <c r="V109" s="62">
        <f t="shared" si="9"/>
        <v>8.9346759259259251E-4</v>
      </c>
      <c r="W109" s="62">
        <f t="shared" si="10"/>
        <v>2.1059722222222218E-3</v>
      </c>
      <c r="X109" s="62">
        <f t="shared" si="11"/>
        <v>1.9128564814814813E-3</v>
      </c>
    </row>
    <row r="110" spans="1:24" x14ac:dyDescent="0.45">
      <c r="A110" s="59" t="s">
        <v>274</v>
      </c>
      <c r="B110" s="59" t="s">
        <v>164</v>
      </c>
      <c r="C110" s="59">
        <v>17</v>
      </c>
      <c r="D110" s="59">
        <v>17</v>
      </c>
      <c r="E110" s="61">
        <v>45658</v>
      </c>
      <c r="F110" s="61">
        <v>46174</v>
      </c>
      <c r="G110" s="61">
        <v>45658</v>
      </c>
      <c r="H110" s="59" t="s">
        <v>178</v>
      </c>
      <c r="I110" s="59" t="s">
        <v>180</v>
      </c>
      <c r="J110" s="59"/>
      <c r="K110" s="59"/>
      <c r="L110" s="59">
        <v>10</v>
      </c>
      <c r="M110" s="62">
        <v>5.4534027777777773E-4</v>
      </c>
      <c r="N110" s="62">
        <v>8.1357175925925933E-4</v>
      </c>
      <c r="O110" s="62">
        <v>1.1074791666666668E-3</v>
      </c>
      <c r="P110" s="62">
        <v>9.065787037037035E-4</v>
      </c>
      <c r="Q110" s="62">
        <v>2.1215416666666665E-3</v>
      </c>
      <c r="R110" s="62">
        <v>1.9200949074074073E-3</v>
      </c>
      <c r="S110" s="62">
        <f t="shared" si="13"/>
        <v>5.4534027777777773E-4</v>
      </c>
      <c r="T110" s="62">
        <f t="shared" si="7"/>
        <v>8.1357175925925933E-4</v>
      </c>
      <c r="U110" s="62">
        <f t="shared" si="8"/>
        <v>1.1074791666666668E-3</v>
      </c>
      <c r="V110" s="62">
        <f t="shared" si="9"/>
        <v>9.065787037037035E-4</v>
      </c>
      <c r="W110" s="62">
        <f t="shared" si="10"/>
        <v>2.1215416666666665E-3</v>
      </c>
      <c r="X110" s="62">
        <f t="shared" si="11"/>
        <v>1.9200949074074073E-3</v>
      </c>
    </row>
    <row r="111" spans="1:24" x14ac:dyDescent="0.45">
      <c r="A111" s="59" t="s">
        <v>274</v>
      </c>
      <c r="B111" s="59" t="s">
        <v>164</v>
      </c>
      <c r="C111" s="59">
        <v>14</v>
      </c>
      <c r="D111" s="59">
        <v>16</v>
      </c>
      <c r="E111" s="61">
        <v>45658</v>
      </c>
      <c r="F111" s="61">
        <v>46174</v>
      </c>
      <c r="G111" s="61">
        <v>45658</v>
      </c>
      <c r="H111" s="59" t="s">
        <v>178</v>
      </c>
      <c r="I111" s="59" t="s">
        <v>180</v>
      </c>
      <c r="J111" s="59"/>
      <c r="K111" s="59"/>
      <c r="L111" s="59">
        <v>10</v>
      </c>
      <c r="M111" s="62">
        <v>5.5558333333333328E-4</v>
      </c>
      <c r="N111" s="62">
        <v>8.2203935185185179E-4</v>
      </c>
      <c r="O111" s="62">
        <v>1.1255069444444444E-3</v>
      </c>
      <c r="P111" s="62">
        <v>9.1859722222222223E-4</v>
      </c>
      <c r="Q111" s="62">
        <v>2.1360185185185184E-3</v>
      </c>
      <c r="R111" s="62">
        <v>1.9267870370370367E-3</v>
      </c>
      <c r="S111" s="62">
        <f t="shared" si="13"/>
        <v>5.5558333333333328E-4</v>
      </c>
      <c r="T111" s="62">
        <f t="shared" si="7"/>
        <v>8.2203935185185179E-4</v>
      </c>
      <c r="U111" s="62">
        <f t="shared" si="8"/>
        <v>1.1255069444444444E-3</v>
      </c>
      <c r="V111" s="62">
        <f t="shared" si="9"/>
        <v>9.1859722222222223E-4</v>
      </c>
      <c r="W111" s="62">
        <f t="shared" si="10"/>
        <v>2.1360185185185184E-3</v>
      </c>
      <c r="X111" s="62">
        <f t="shared" si="11"/>
        <v>1.9267870370370367E-3</v>
      </c>
    </row>
  </sheetData>
  <pageMargins left="0.7" right="0.7" top="0.78740157499999996" bottom="0.78740157499999996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workbookViewId="0">
      <selection activeCell="AA14" sqref="AA14:AA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227</v>
      </c>
      <c r="H3" t="s">
        <v>229</v>
      </c>
      <c r="Q3" t="s">
        <v>233</v>
      </c>
      <c r="W3" t="s">
        <v>234</v>
      </c>
    </row>
    <row r="4" spans="2:27" x14ac:dyDescent="0.45">
      <c r="B4" s="63" t="s">
        <v>222</v>
      </c>
      <c r="C4" s="66">
        <v>2010</v>
      </c>
      <c r="D4" s="66">
        <v>2009</v>
      </c>
      <c r="E4" s="66">
        <v>2008</v>
      </c>
      <c r="H4" s="63" t="s">
        <v>222</v>
      </c>
      <c r="I4" s="66">
        <v>2010</v>
      </c>
      <c r="J4" s="66">
        <v>2009</v>
      </c>
      <c r="K4" s="66">
        <v>2008</v>
      </c>
      <c r="Q4" s="63" t="s">
        <v>222</v>
      </c>
      <c r="R4" s="69" t="s">
        <v>235</v>
      </c>
      <c r="S4" s="69" t="s">
        <v>236</v>
      </c>
      <c r="T4" s="69" t="s">
        <v>237</v>
      </c>
      <c r="W4" s="63" t="s">
        <v>222</v>
      </c>
      <c r="X4" s="69" t="s">
        <v>235</v>
      </c>
      <c r="Y4" s="69" t="s">
        <v>236</v>
      </c>
      <c r="Z4" s="69" t="s">
        <v>237</v>
      </c>
    </row>
    <row r="5" spans="2:2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/>
      <c r="Q5" s="64" t="s">
        <v>0</v>
      </c>
      <c r="R5" s="65">
        <v>3.6111111111111109E-4</v>
      </c>
      <c r="S5" s="65">
        <v>3.5787037037037037E-4</v>
      </c>
      <c r="T5" s="65">
        <v>3.4803240740740742E-4</v>
      </c>
      <c r="W5" s="64" t="s">
        <v>0</v>
      </c>
      <c r="X5" s="65">
        <v>4.4097222222222226E-4</v>
      </c>
      <c r="Y5" s="65">
        <v>4.3379629629629627E-4</v>
      </c>
      <c r="Z5" s="65">
        <v>4.1157407407407408E-4</v>
      </c>
    </row>
    <row r="6" spans="2:27" x14ac:dyDescent="0.45">
      <c r="B6" s="64" t="s">
        <v>223</v>
      </c>
      <c r="C6" s="65">
        <v>8.0902777777777787E-4</v>
      </c>
      <c r="D6" s="65">
        <v>7.9837962962962968E-4</v>
      </c>
      <c r="E6" s="65">
        <v>7.869212962962962E-4</v>
      </c>
      <c r="H6" s="64" t="s">
        <v>223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/>
      <c r="Q6" s="64" t="s">
        <v>223</v>
      </c>
      <c r="R6" s="65">
        <v>7.7187499999999999E-4</v>
      </c>
      <c r="S6" s="65">
        <v>7.6273148148148153E-4</v>
      </c>
      <c r="T6" s="65">
        <v>7.3425925925925926E-4</v>
      </c>
      <c r="W6" s="64" t="s">
        <v>223</v>
      </c>
      <c r="X6" s="65">
        <v>9.0034722222222209E-4</v>
      </c>
      <c r="Y6" s="65">
        <v>8.8726851851851846E-4</v>
      </c>
      <c r="Z6" s="65">
        <v>8.4699074074074082E-4</v>
      </c>
    </row>
    <row r="7" spans="2:27" x14ac:dyDescent="0.45">
      <c r="B7" s="64" t="s">
        <v>224</v>
      </c>
      <c r="C7" s="65">
        <v>5.9027777777777778E-4</v>
      </c>
      <c r="D7" s="65">
        <v>5.8495370370370374E-4</v>
      </c>
      <c r="E7" s="65">
        <v>5.7928240740740737E-4</v>
      </c>
      <c r="H7" s="64" t="s">
        <v>224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/>
      <c r="Q7" s="64" t="s">
        <v>224</v>
      </c>
      <c r="R7" s="65">
        <v>5.7175925925925927E-4</v>
      </c>
      <c r="S7" s="65">
        <v>5.6712962962962967E-4</v>
      </c>
      <c r="T7" s="65">
        <v>5.5266203703703705E-4</v>
      </c>
      <c r="W7" s="64" t="s">
        <v>224</v>
      </c>
      <c r="X7" s="65">
        <v>6.7164351851851857E-4</v>
      </c>
      <c r="Y7" s="65">
        <v>6.653935185185185E-4</v>
      </c>
      <c r="Z7" s="65">
        <v>6.4606481481481481E-4</v>
      </c>
    </row>
    <row r="8" spans="2:27" ht="15" customHeight="1" x14ac:dyDescent="0.45">
      <c r="B8" s="64" t="s">
        <v>225</v>
      </c>
      <c r="C8" s="65">
        <v>6.8726851851851859E-4</v>
      </c>
      <c r="D8" s="65">
        <v>6.7418981481481486E-4</v>
      </c>
      <c r="E8" s="65">
        <v>6.5995370370370372E-4</v>
      </c>
      <c r="H8" s="64" t="s">
        <v>225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/>
      <c r="Q8" s="64" t="s">
        <v>225</v>
      </c>
      <c r="R8" s="65">
        <v>6.4131944444444436E-4</v>
      </c>
      <c r="S8" s="65">
        <v>6.3020833333333331E-4</v>
      </c>
      <c r="T8" s="65">
        <v>5.9594907407407405E-4</v>
      </c>
      <c r="W8" s="64" t="s">
        <v>225</v>
      </c>
      <c r="X8" s="65">
        <v>7.4259259259259254E-4</v>
      </c>
      <c r="Y8" s="65">
        <v>7.3368055555555556E-4</v>
      </c>
      <c r="Z8" s="65">
        <v>7.0625000000000006E-4</v>
      </c>
    </row>
    <row r="9" spans="2:27" x14ac:dyDescent="0.45">
      <c r="B9" s="64" t="s">
        <v>226</v>
      </c>
      <c r="C9" s="65">
        <v>1.5266203703703705E-3</v>
      </c>
      <c r="D9" s="65">
        <v>1.5104166666666666E-3</v>
      </c>
      <c r="E9" s="65">
        <v>1.4928240740740739E-3</v>
      </c>
      <c r="H9" s="64" t="s">
        <v>226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/>
      <c r="Q9" s="64" t="s">
        <v>226</v>
      </c>
      <c r="R9" s="65">
        <v>1.4697916666666666E-3</v>
      </c>
      <c r="S9" s="65">
        <v>1.4555555555555556E-3</v>
      </c>
      <c r="T9" s="65">
        <v>1.411574074074074E-3</v>
      </c>
      <c r="W9" s="64" t="s">
        <v>226</v>
      </c>
      <c r="X9" s="65">
        <v>1.6129629629629632E-3</v>
      </c>
      <c r="Y9" s="65">
        <v>1.6078703703703706E-3</v>
      </c>
      <c r="Z9" s="65">
        <v>1.5918981481481481E-3</v>
      </c>
    </row>
    <row r="10" spans="2:2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228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228</v>
      </c>
      <c r="X10" s="65">
        <v>1.767361111111111E-3</v>
      </c>
      <c r="Y10" s="65">
        <v>1.7564814814814815E-3</v>
      </c>
      <c r="Z10" s="65">
        <v>1.7228009259259258E-3</v>
      </c>
    </row>
    <row r="12" spans="2:27" x14ac:dyDescent="0.45">
      <c r="B12" t="s">
        <v>230</v>
      </c>
      <c r="H12" t="s">
        <v>230</v>
      </c>
      <c r="Q12" t="s">
        <v>238</v>
      </c>
      <c r="W12" t="s">
        <v>238</v>
      </c>
    </row>
    <row r="13" spans="2:27" x14ac:dyDescent="0.45">
      <c r="B13" s="63" t="s">
        <v>222</v>
      </c>
      <c r="C13" s="66">
        <v>2010</v>
      </c>
      <c r="D13" s="66">
        <v>2009</v>
      </c>
      <c r="E13" s="66">
        <v>2008</v>
      </c>
      <c r="H13" s="63" t="s">
        <v>222</v>
      </c>
      <c r="I13" s="66">
        <v>2010</v>
      </c>
      <c r="J13" s="66">
        <v>2009</v>
      </c>
      <c r="K13" s="66">
        <v>2008</v>
      </c>
      <c r="Q13" s="63" t="s">
        <v>222</v>
      </c>
      <c r="R13" s="69" t="s">
        <v>235</v>
      </c>
      <c r="S13" s="69" t="s">
        <v>236</v>
      </c>
      <c r="T13" s="69" t="s">
        <v>237</v>
      </c>
      <c r="W13" s="63" t="s">
        <v>222</v>
      </c>
      <c r="X13" s="69" t="s">
        <v>235</v>
      </c>
      <c r="Y13" s="69" t="s">
        <v>236</v>
      </c>
      <c r="Z13" s="69" t="s">
        <v>237</v>
      </c>
    </row>
    <row r="14" spans="2:27" x14ac:dyDescent="0.45">
      <c r="B14" s="64" t="s">
        <v>0</v>
      </c>
      <c r="C14" s="65">
        <f>C5*$F14</f>
        <v>4.5982638888888885E-4</v>
      </c>
      <c r="D14" s="65">
        <f t="shared" ref="D14:E14" si="0">D5*$F14</f>
        <v>4.5541319444444443E-4</v>
      </c>
      <c r="E14" s="65">
        <f t="shared" si="0"/>
        <v>4.5043055555555553E-4</v>
      </c>
      <c r="F14">
        <v>1.23</v>
      </c>
      <c r="H14" s="64" t="s">
        <v>0</v>
      </c>
      <c r="I14" s="65">
        <f>I5*$L14</f>
        <v>5.5558333333333328E-4</v>
      </c>
      <c r="J14" s="65">
        <f t="shared" ref="J14:K14" si="1">J5*$L14</f>
        <v>5.4534027777777773E-4</v>
      </c>
      <c r="K14" s="65">
        <f t="shared" si="1"/>
        <v>5.3455092592592595E-4</v>
      </c>
      <c r="L14">
        <v>1.18</v>
      </c>
      <c r="Q14" s="64" t="s">
        <v>0</v>
      </c>
      <c r="R14" s="65">
        <f t="shared" ref="R14:T19" si="2">R5*$U14</f>
        <v>4.1166666666666663E-4</v>
      </c>
      <c r="S14" s="65">
        <f t="shared" si="2"/>
        <v>4.0797222222222217E-4</v>
      </c>
      <c r="T14" s="65">
        <f t="shared" si="2"/>
        <v>3.9675694444444442E-4</v>
      </c>
      <c r="U14">
        <v>1.1399999999999999</v>
      </c>
      <c r="W14" s="64" t="s">
        <v>0</v>
      </c>
      <c r="X14" s="65">
        <f>X5*$AA14</f>
        <v>5.2475694444444445E-4</v>
      </c>
      <c r="Y14" s="65">
        <f t="shared" ref="Y14:Z14" si="3">Y5*$AA14</f>
        <v>5.1621759259259253E-4</v>
      </c>
      <c r="Z14" s="65">
        <f t="shared" si="3"/>
        <v>4.8977314814814814E-4</v>
      </c>
      <c r="AA14">
        <v>1.19</v>
      </c>
    </row>
    <row r="15" spans="2:27" x14ac:dyDescent="0.45">
      <c r="B15" s="64" t="s">
        <v>223</v>
      </c>
      <c r="C15" s="65">
        <f t="shared" ref="C15:E15" si="4">C6*$F15</f>
        <v>9.9510416666666671E-4</v>
      </c>
      <c r="D15" s="65">
        <f t="shared" si="4"/>
        <v>9.8200694444444442E-4</v>
      </c>
      <c r="E15" s="65">
        <f t="shared" si="4"/>
        <v>9.6791319444444431E-4</v>
      </c>
      <c r="F15">
        <v>1.23</v>
      </c>
      <c r="H15" s="64" t="s">
        <v>223</v>
      </c>
      <c r="I15" s="65">
        <f t="shared" ref="I15:K15" si="5">I6*$L15</f>
        <v>1.1255069444444444E-3</v>
      </c>
      <c r="J15" s="65">
        <f t="shared" si="5"/>
        <v>1.1074791666666668E-3</v>
      </c>
      <c r="K15" s="65">
        <f t="shared" si="5"/>
        <v>1.0879490740740739E-3</v>
      </c>
      <c r="L15">
        <v>1.18</v>
      </c>
      <c r="Q15" s="64" t="s">
        <v>223</v>
      </c>
      <c r="R15" s="65">
        <f t="shared" si="2"/>
        <v>8.7993749999999997E-4</v>
      </c>
      <c r="S15" s="65">
        <f t="shared" si="2"/>
        <v>8.6951388888888885E-4</v>
      </c>
      <c r="T15" s="65">
        <f t="shared" si="2"/>
        <v>8.3705555555555551E-4</v>
      </c>
      <c r="U15">
        <v>1.1399999999999999</v>
      </c>
      <c r="W15" s="64" t="s">
        <v>223</v>
      </c>
      <c r="X15" s="65">
        <f t="shared" ref="X15:Z15" si="6">X6*$AA15</f>
        <v>1.0714131944444443E-3</v>
      </c>
      <c r="Y15" s="65">
        <f t="shared" si="6"/>
        <v>1.055849537037037E-3</v>
      </c>
      <c r="Z15" s="65">
        <f t="shared" si="6"/>
        <v>1.0079189814814816E-3</v>
      </c>
      <c r="AA15">
        <v>1.19</v>
      </c>
    </row>
    <row r="16" spans="2:27" x14ac:dyDescent="0.45">
      <c r="B16" s="64" t="s">
        <v>224</v>
      </c>
      <c r="C16" s="65">
        <f t="shared" ref="C16:E16" si="7">C7*$F16</f>
        <v>7.2604166666666661E-4</v>
      </c>
      <c r="D16" s="65">
        <f t="shared" si="7"/>
        <v>7.1949305555555558E-4</v>
      </c>
      <c r="E16" s="65">
        <f t="shared" si="7"/>
        <v>7.1251736111111103E-4</v>
      </c>
      <c r="F16">
        <v>1.23</v>
      </c>
      <c r="H16" s="64" t="s">
        <v>224</v>
      </c>
      <c r="I16" s="65">
        <f t="shared" ref="I16:K16" si="8">I7*$L16</f>
        <v>8.2203935185185179E-4</v>
      </c>
      <c r="J16" s="65">
        <f t="shared" si="8"/>
        <v>8.1357175925925933E-4</v>
      </c>
      <c r="K16" s="65">
        <f t="shared" si="8"/>
        <v>8.0442129629629624E-4</v>
      </c>
      <c r="L16">
        <v>1.18</v>
      </c>
      <c r="Q16" s="64" t="s">
        <v>224</v>
      </c>
      <c r="R16" s="65">
        <f t="shared" si="2"/>
        <v>6.5180555555555554E-4</v>
      </c>
      <c r="S16" s="65">
        <f t="shared" si="2"/>
        <v>6.4652777777777777E-4</v>
      </c>
      <c r="T16" s="65">
        <f t="shared" si="2"/>
        <v>6.3003472222222215E-4</v>
      </c>
      <c r="U16">
        <v>1.1399999999999999</v>
      </c>
      <c r="W16" s="64" t="s">
        <v>224</v>
      </c>
      <c r="X16" s="65">
        <f t="shared" ref="X16:Z16" si="9">X7*$AA16</f>
        <v>7.9925578703703712E-4</v>
      </c>
      <c r="Y16" s="65">
        <f t="shared" si="9"/>
        <v>7.9181828703703695E-4</v>
      </c>
      <c r="Z16" s="65">
        <f t="shared" si="9"/>
        <v>7.688171296296296E-4</v>
      </c>
      <c r="AA16">
        <v>1.19</v>
      </c>
    </row>
    <row r="17" spans="2:27" ht="14.25" customHeight="1" x14ac:dyDescent="0.45">
      <c r="B17" s="64" t="s">
        <v>225</v>
      </c>
      <c r="C17" s="65">
        <f t="shared" ref="C17:E17" si="10">C8*$F17</f>
        <v>8.4534027777777786E-4</v>
      </c>
      <c r="D17" s="65">
        <f t="shared" si="10"/>
        <v>8.2925347222222222E-4</v>
      </c>
      <c r="E17" s="65">
        <f t="shared" si="10"/>
        <v>8.1174305555555557E-4</v>
      </c>
      <c r="F17">
        <v>1.23</v>
      </c>
      <c r="H17" s="64" t="s">
        <v>225</v>
      </c>
      <c r="I17" s="65">
        <f t="shared" ref="I17:K17" si="11">I8*$L17</f>
        <v>9.1859722222222223E-4</v>
      </c>
      <c r="J17" s="65">
        <f t="shared" si="11"/>
        <v>9.065787037037035E-4</v>
      </c>
      <c r="K17" s="65">
        <f t="shared" si="11"/>
        <v>8.9346759259259251E-4</v>
      </c>
      <c r="L17">
        <v>1.18</v>
      </c>
      <c r="Q17" s="64" t="s">
        <v>225</v>
      </c>
      <c r="R17" s="65">
        <f t="shared" si="2"/>
        <v>7.3110416666666647E-4</v>
      </c>
      <c r="S17" s="65">
        <f t="shared" si="2"/>
        <v>7.1843749999999989E-4</v>
      </c>
      <c r="T17" s="65">
        <f t="shared" si="2"/>
        <v>6.7938194444444437E-4</v>
      </c>
      <c r="U17">
        <v>1.1399999999999999</v>
      </c>
      <c r="W17" s="64" t="s">
        <v>225</v>
      </c>
      <c r="X17" s="65">
        <f t="shared" ref="X17:Z17" si="12">X8*$AA17</f>
        <v>8.8368518518518505E-4</v>
      </c>
      <c r="Y17" s="65">
        <f t="shared" si="12"/>
        <v>8.7307986111111104E-4</v>
      </c>
      <c r="Z17" s="65">
        <f t="shared" si="12"/>
        <v>8.4043750000000004E-4</v>
      </c>
      <c r="AA17">
        <v>1.19</v>
      </c>
    </row>
    <row r="18" spans="2:27" x14ac:dyDescent="0.45">
      <c r="B18" s="64" t="s">
        <v>226</v>
      </c>
      <c r="C18" s="65">
        <f t="shared" ref="C18:E18" si="13">C9*$F18</f>
        <v>1.8777430555555557E-3</v>
      </c>
      <c r="D18" s="65">
        <f t="shared" si="13"/>
        <v>1.8578124999999999E-3</v>
      </c>
      <c r="E18" s="65">
        <f t="shared" si="13"/>
        <v>1.8361736111111109E-3</v>
      </c>
      <c r="F18">
        <v>1.23</v>
      </c>
      <c r="H18" s="64" t="s">
        <v>226</v>
      </c>
      <c r="I18" s="65">
        <f t="shared" ref="I18:K18" si="14">I9*$L18</f>
        <v>1.9267870370370367E-3</v>
      </c>
      <c r="J18" s="65">
        <f t="shared" si="14"/>
        <v>1.9200949074074073E-3</v>
      </c>
      <c r="K18" s="65">
        <f t="shared" si="14"/>
        <v>1.9128564814814813E-3</v>
      </c>
      <c r="L18">
        <v>1.18</v>
      </c>
      <c r="Q18" s="64" t="s">
        <v>226</v>
      </c>
      <c r="R18" s="65">
        <f t="shared" si="2"/>
        <v>1.6755624999999998E-3</v>
      </c>
      <c r="S18" s="65">
        <f t="shared" si="2"/>
        <v>1.6593333333333332E-3</v>
      </c>
      <c r="T18" s="65">
        <f t="shared" si="2"/>
        <v>1.6091944444444441E-3</v>
      </c>
      <c r="U18">
        <v>1.1399999999999999</v>
      </c>
      <c r="W18" s="64" t="s">
        <v>226</v>
      </c>
      <c r="X18" s="65">
        <f t="shared" ref="X18:Z18" si="15">X9*$AA18</f>
        <v>1.9194259259259262E-3</v>
      </c>
      <c r="Y18" s="65">
        <f t="shared" si="15"/>
        <v>1.9133657407407409E-3</v>
      </c>
      <c r="Z18" s="65">
        <f t="shared" si="15"/>
        <v>1.8943587962962961E-3</v>
      </c>
      <c r="AA18">
        <v>1.19</v>
      </c>
    </row>
    <row r="19" spans="2:27" x14ac:dyDescent="0.45">
      <c r="B19" s="64" t="s">
        <v>4</v>
      </c>
      <c r="C19" s="65">
        <f t="shared" ref="C19:E19" si="16">C10*$F19</f>
        <v>2.052704861111111E-3</v>
      </c>
      <c r="D19" s="65">
        <f t="shared" si="16"/>
        <v>2.0306388888888887E-3</v>
      </c>
      <c r="E19" s="65">
        <f t="shared" si="16"/>
        <v>2.0068645833333332E-3</v>
      </c>
      <c r="F19">
        <v>1.23</v>
      </c>
      <c r="H19" s="64" t="s">
        <v>4</v>
      </c>
      <c r="I19" s="65">
        <f t="shared" ref="I19:K19" si="17">I10*$L19</f>
        <v>2.1360185185185184E-3</v>
      </c>
      <c r="J19" s="65">
        <f t="shared" si="17"/>
        <v>2.1215416666666665E-3</v>
      </c>
      <c r="K19" s="65">
        <f t="shared" si="17"/>
        <v>2.1059722222222218E-3</v>
      </c>
      <c r="L19">
        <v>1.18</v>
      </c>
      <c r="Q19" s="64" t="s">
        <v>4</v>
      </c>
      <c r="R19" s="65">
        <f t="shared" si="2"/>
        <v>1.8311249999999999E-3</v>
      </c>
      <c r="S19" s="65">
        <f t="shared" si="2"/>
        <v>1.8133124999999998E-3</v>
      </c>
      <c r="T19" s="65">
        <f t="shared" si="2"/>
        <v>1.7581597222222222E-3</v>
      </c>
      <c r="U19">
        <v>1.1399999999999999</v>
      </c>
      <c r="W19" s="64" t="s">
        <v>4</v>
      </c>
      <c r="X19" s="65">
        <f t="shared" ref="X19:Z19" si="18">X10*$AA19</f>
        <v>2.103159722222222E-3</v>
      </c>
      <c r="Y19" s="65">
        <f t="shared" si="18"/>
        <v>2.090212962962963E-3</v>
      </c>
      <c r="Z19" s="65">
        <f t="shared" si="18"/>
        <v>2.0501331018518516E-3</v>
      </c>
      <c r="AA19">
        <v>1.19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0" t="s">
        <v>14</v>
      </c>
      <c r="B14" s="70"/>
      <c r="C14" s="70"/>
      <c r="D14" s="70"/>
      <c r="E14" s="70"/>
      <c r="F14" s="70"/>
      <c r="G14"/>
      <c r="H14" s="72" t="s">
        <v>35</v>
      </c>
      <c r="I14" s="72"/>
      <c r="J14" s="72"/>
      <c r="L14" s="72" t="s">
        <v>36</v>
      </c>
      <c r="M14"/>
      <c r="N14"/>
    </row>
    <row r="15" spans="1:14" ht="15" customHeight="1" x14ac:dyDescent="0.45">
      <c r="A15" s="70"/>
      <c r="B15" s="70"/>
      <c r="C15" s="70"/>
      <c r="D15" s="70"/>
      <c r="E15" s="70"/>
      <c r="F15" s="70"/>
      <c r="G15"/>
      <c r="H15" s="72"/>
      <c r="I15" s="72"/>
      <c r="J15" s="72"/>
      <c r="L15" s="72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2026-01-24T01:12:00Z</dcterms:modified>
</cp:coreProperties>
</file>