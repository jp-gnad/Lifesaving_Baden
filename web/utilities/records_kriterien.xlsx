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012F10C0-542A-4A80-93AE-E17DA9C4FD8B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0" i="14" l="1"/>
  <c r="P10" i="14"/>
  <c r="Q9" i="14"/>
  <c r="P9" i="14"/>
  <c r="Q8" i="14"/>
  <c r="P8" i="14"/>
  <c r="Q7" i="14"/>
  <c r="P7" i="14"/>
  <c r="Q6" i="14"/>
  <c r="P6" i="14"/>
  <c r="Q5" i="14"/>
  <c r="P5" i="14"/>
  <c r="K19" i="14"/>
  <c r="J19" i="14"/>
  <c r="I19" i="14"/>
  <c r="Q9" i="13" s="1"/>
  <c r="W9" i="13" s="1"/>
  <c r="K18" i="14"/>
  <c r="R7" i="13" s="1"/>
  <c r="X7" i="13" s="1"/>
  <c r="J18" i="14"/>
  <c r="R8" i="13" s="1"/>
  <c r="X8" i="13" s="1"/>
  <c r="I18" i="14"/>
  <c r="R9" i="13" s="1"/>
  <c r="X9" i="13" s="1"/>
  <c r="K17" i="14"/>
  <c r="P7" i="13" s="1"/>
  <c r="V7" i="13" s="1"/>
  <c r="J17" i="14"/>
  <c r="I17" i="14"/>
  <c r="K16" i="14"/>
  <c r="N7" i="13" s="1"/>
  <c r="T7" i="13" s="1"/>
  <c r="J16" i="14"/>
  <c r="N8" i="13" s="1"/>
  <c r="T8" i="13" s="1"/>
  <c r="I16" i="14"/>
  <c r="N9" i="13" s="1"/>
  <c r="T9" i="13" s="1"/>
  <c r="K15" i="14"/>
  <c r="O7" i="13" s="1"/>
  <c r="U7" i="13" s="1"/>
  <c r="J15" i="14"/>
  <c r="O8" i="13" s="1"/>
  <c r="U8" i="13" s="1"/>
  <c r="I15" i="14"/>
  <c r="O9" i="13" s="1"/>
  <c r="U9" i="13" s="1"/>
  <c r="K14" i="14"/>
  <c r="M7" i="13" s="1"/>
  <c r="S7" i="13" s="1"/>
  <c r="J14" i="14"/>
  <c r="M8" i="13" s="1"/>
  <c r="S8" i="13" s="1"/>
  <c r="I14" i="14"/>
  <c r="M9" i="13" s="1"/>
  <c r="S9" i="13" s="1"/>
  <c r="E19" i="14"/>
  <c r="Q4" i="13" s="1"/>
  <c r="W4" i="13" s="1"/>
  <c r="D19" i="14"/>
  <c r="Q5" i="13" s="1"/>
  <c r="W5" i="13" s="1"/>
  <c r="C19" i="14"/>
  <c r="Q6" i="13" s="1"/>
  <c r="W6" i="13" s="1"/>
  <c r="E18" i="14"/>
  <c r="R4" i="13" s="1"/>
  <c r="X4" i="13" s="1"/>
  <c r="D18" i="14"/>
  <c r="R5" i="13" s="1"/>
  <c r="X5" i="13" s="1"/>
  <c r="C18" i="14"/>
  <c r="E17" i="14"/>
  <c r="D17" i="14"/>
  <c r="C17" i="14"/>
  <c r="E16" i="14"/>
  <c r="N4" i="13" s="1"/>
  <c r="T4" i="13" s="1"/>
  <c r="D16" i="14"/>
  <c r="C16" i="14"/>
  <c r="E15" i="14"/>
  <c r="O4" i="13" s="1"/>
  <c r="U4" i="13" s="1"/>
  <c r="D15" i="14"/>
  <c r="O5" i="13" s="1"/>
  <c r="U5" i="13" s="1"/>
  <c r="C15" i="14"/>
  <c r="O6" i="13" s="1"/>
  <c r="U6" i="13" s="1"/>
  <c r="E14" i="14"/>
  <c r="M4" i="13" s="1"/>
  <c r="S4" i="13" s="1"/>
  <c r="D14" i="14"/>
  <c r="M5" i="13" s="1"/>
  <c r="S5" i="13" s="1"/>
  <c r="C14" i="14"/>
  <c r="M6" i="13" s="1"/>
  <c r="S6" i="13" s="1"/>
  <c r="V8" i="13"/>
  <c r="Q7" i="13"/>
  <c r="W7" i="13" s="1"/>
  <c r="Q8" i="13"/>
  <c r="W8" i="13" s="1"/>
  <c r="P8" i="13"/>
  <c r="P9" i="13"/>
  <c r="V9" i="13" s="1"/>
  <c r="N6" i="13"/>
  <c r="T6" i="13" s="1"/>
  <c r="N5" i="13"/>
  <c r="T5" i="13" s="1"/>
  <c r="P6" i="13"/>
  <c r="V6" i="13" s="1"/>
  <c r="P5" i="13"/>
  <c r="V5" i="13" s="1"/>
  <c r="P4" i="13"/>
  <c r="V4" i="13" s="1"/>
  <c r="R6" i="13"/>
  <c r="X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<sst xmlns="http://schemas.openxmlformats.org/spreadsheetml/2006/main" count="670" uniqueCount="236">
  <si>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</si>
  <si>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</si>
  <si>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</si>
  <si>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</si>
  <si>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</si>
  <si>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</si>
  <si>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</si>
  <si>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</si>
  <si>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</si>
  <si>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</si>
  <si>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</si>
  <si>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</si>
  <si>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</si>
  <si>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</si>
  <si>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</si>
  <si>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</si>
  <si>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</si>
  <si>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</si>
  <si>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</si>
  <si>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</si>
  <si>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</si>
  <si>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</si>
  <si>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</si>
  <si>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</si>
  <si>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</si>
  <si>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</si>
  <si>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</si>
  <si>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</si>
  <si>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</si>
  <si>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</si>
  <si>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</si>
  <si>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</si>
  <si>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</si>
  <si>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</si>
  <si>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</si>
  <si>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</si>
  <si>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</si>
  <si>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</si>
  <si>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</si>
  <si>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</si>
  <si>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</si>
  <si>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</si>
  <si>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</si>
  <si>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</si>
  <si>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</si>
  <si>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</si>
  <si>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</si>
  <si>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</si>
  <si>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</si>
  <si>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</si>
  <si>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</si>
  <si>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</si>
  <si>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</si>
  <si>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</si>
  <si>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</si>
  <si>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</si>
  <si>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</si>
  <si>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</si>
  <si>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</si>
  <si>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</si>
  <si>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</si>
  <si>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</si>
  <si>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</si>
  <si>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</si>
  <si>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</si>
  <si>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</si>
  <si>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</si>
  <si>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</si>
  <si>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</si>
  <si>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</si>
  <si>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</si>
  <si>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</si>
  <si>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</si>
  <si>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</si>
  <si>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</si>
  <si>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</si>
  <si>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</si>
  <si>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</si>
  <si>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</si>
  <si>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</si>
  <si>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</si>
  <si>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</si>
  <si>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</si>
  <si>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</si>
  <si>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</si>
  <si>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</si>
  <si>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</si>
  <si>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</si>
  <si>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</si>
  <si>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</si>
  <si>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</si>
  <si>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</si>
  <si>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</si>
  <si>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</si>
  <si>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</si>
  <si>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</si>
  <si>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</si>
  <si>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</si>
  <si>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</si>
  <si>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</si>
  <si>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</si>
  <si>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</si>
  <si>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</si>
  <si>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</si>
  <si>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</si>
  <si>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</si>
  <si>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</si>
  <si>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</si>
  <si>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</si>
  <si>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</si>
  <si>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</si>
  <si>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</si>
  <si>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</si>
  <si>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</si>
  <si>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</si>
  <si>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</si>
  <si>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</si>
  <si>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</si>
  <si>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</si>
  <si>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</si>
  <si>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</si>
  <si>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</si>
  <si>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</si>
  <si>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</si>
  <si>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</si>
  <si>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</si>
  <si>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</si>
  <si>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</si>
  <si>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</si>
  <si>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</si>
  <si>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</si>
  <si>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</si>
  <si>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</si>
  <si>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</si>
  <si>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</si>
  <si>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</si>
  <si>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</si>
  <si>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</si>
  <si>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</si>
  <si>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</si>
  <si>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</si>
  <si>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</si>
  <si>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</si>
  <si>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</si>
  <si>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</si>
  <si>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</si>
  <si>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</si>
  <si>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</si>
  <si>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</si>
  <si>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</si>
  <si>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</si>
  <si>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</si>
  <si>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</si>
  <si>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</si>
  <si>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</si>
  <si>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</si>
  <si>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</si>
  <si>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</si>
  <si>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</si>
  <si>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</si>
  <si>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</si>
  <si>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</si>
  <si>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</si>
  <si>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</si>
  <si>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</si>
  <si>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</si>
  <si>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</si>
  <si>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</si>
  <si>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</si>
  <si>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</si>
  <si>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</si>
  <si>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</si>
  <si>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</si>
  <si>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</si>
  <si>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</si>
  <si>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</si>
  <si>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</si>
  <si>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</si>
  <si>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</si>
  <si>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</si>
  <si>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</si>
  <si>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</si>
  <si>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</si>
  <si>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</si>
  <si>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</si>
  <si>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</si>
  <si>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</si>
  <si>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</si>
  <si>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</si>
  <si>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</si>
  <si>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</si>
  <si>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</si>
  <si>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</si>
  <si>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</si>
  <si>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</si>
  <si>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</si>
  <si>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</si>
  <si>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</si>
  <si>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</si>
  <si>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</si>
  <si>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</si>
  <si>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</si>
  <si>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</si>
  <si>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</si>
  <si>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</si>
  <si>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</si>
  <si>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</si>
  <si>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</si>
  <si>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</si>
  <si>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</si>
  <si>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</si>
  <si>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</si>
  <si>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</si>
  <si>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</si>
  <si>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</si>
  <si>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</si>
  <si>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</si>
  <si>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</si>
  <si>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</si>
  <si>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</si>
  <si>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</si>
  <si>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</si>
  <si>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</si>
  <si>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</si>
  <si>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</si>
  <si>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</si>
  <si>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</si>
  <si>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</si>
  <si>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</si>
  <si>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</si>
  <si>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</si>
  <si>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</si>
  <si>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</si>
  <si>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NK2-M (10-20%) ind</t>
  </si>
  <si>
    <t>NK2-W (10-20%) ind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</si>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</sst>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1" totalsRowShown="0" headerRowDxfId="43" dataDxfId="42">
  <autoFilter ref="A1:X11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1"/>
  <sheetViews>
    <sheetView tabSelected="1" topLeftCell="F1" workbookViewId="0">
      <selection activeCell="J12" sqref="J12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233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f>Tabelle1!E14</f>
        <v>4.3944444444444445E-4</v>
      </c>
      <c r="N4" s="62">
        <f>Tabelle1!E16</f>
        <v>6.951388888888888E-4</v>
      </c>
      <c r="O4" s="62">
        <f>Tabelle1!E15</f>
        <v>9.4430555555555544E-4</v>
      </c>
      <c r="P4" s="62">
        <f>Tabelle1!E17</f>
        <v>7.919444444444444E-4</v>
      </c>
      <c r="Q4" s="62">
        <f>Tabelle1!E19</f>
        <v>1.8763368055555554E-3</v>
      </c>
      <c r="R4" s="62">
        <f>Tabelle1!E18</f>
        <v>1.7167476851851849E-3</v>
      </c>
      <c r="S4" s="62">
        <f>M4</f>
        <v>4.3944444444444445E-4</v>
      </c>
      <c r="T4" s="62">
        <f t="shared" ref="T4:T9" si="0">N4</f>
        <v>6.951388888888888E-4</v>
      </c>
      <c r="U4" s="62">
        <f t="shared" ref="U4:U9" si="1">O4</f>
        <v>9.4430555555555544E-4</v>
      </c>
      <c r="V4" s="62">
        <f t="shared" ref="V4:V9" si="2">P4</f>
        <v>7.919444444444444E-4</v>
      </c>
      <c r="W4" s="62">
        <f t="shared" ref="W4:W9" si="3">Q4</f>
        <v>1.8763368055555554E-3</v>
      </c>
      <c r="X4" s="62">
        <f t="shared" ref="X4:X9" si="4">R4</f>
        <v>1.7167476851851849E-3</v>
      </c>
    </row>
    <row r="5" spans="1:24" x14ac:dyDescent="0.45">
      <c r="A5" s="59" t="s">
        <v>233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f>Tabelle1!D14</f>
        <v>4.4430555555555553E-4</v>
      </c>
      <c r="N5" s="62">
        <f>Tabelle1!D16</f>
        <v>7.0194444444444449E-4</v>
      </c>
      <c r="O5" s="62">
        <f>Tabelle1!D15</f>
        <v>9.5805555555555553E-4</v>
      </c>
      <c r="P5" s="62">
        <f>Tabelle1!D17</f>
        <v>8.0902777777777776E-4</v>
      </c>
      <c r="Q5" s="62">
        <f>Tabelle1!D19</f>
        <v>1.8985648148148143E-3</v>
      </c>
      <c r="R5" s="62">
        <f>Tabelle1!D18</f>
        <v>1.7369791666666664E-3</v>
      </c>
      <c r="S5" s="62">
        <f t="shared" ref="S5:S9" si="5">M5</f>
        <v>4.4430555555555553E-4</v>
      </c>
      <c r="T5" s="62">
        <f t="shared" si="0"/>
        <v>7.0194444444444449E-4</v>
      </c>
      <c r="U5" s="62">
        <f t="shared" si="1"/>
        <v>9.5805555555555553E-4</v>
      </c>
      <c r="V5" s="62">
        <f t="shared" si="2"/>
        <v>8.0902777777777776E-4</v>
      </c>
      <c r="W5" s="62">
        <f t="shared" si="3"/>
        <v>1.8985648148148143E-3</v>
      </c>
      <c r="X5" s="62">
        <f t="shared" si="4"/>
        <v>1.7369791666666664E-3</v>
      </c>
    </row>
    <row r="6" spans="1:24" x14ac:dyDescent="0.45">
      <c r="A6" s="59" t="s">
        <v>233</v>
      </c>
      <c r="B6" s="59" t="s">
        <v>182</v>
      </c>
      <c r="C6" s="59">
        <v>14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f>Tabelle1!C14</f>
        <v>4.4861111111111105E-4</v>
      </c>
      <c r="N6" s="62">
        <f>Tabelle1!C16</f>
        <v>7.0833333333333328E-4</v>
      </c>
      <c r="O6" s="62">
        <f>Tabelle1!C15</f>
        <v>9.7083333333333342E-4</v>
      </c>
      <c r="P6" s="62">
        <f>Tabelle1!C17</f>
        <v>8.2472222222222224E-4</v>
      </c>
      <c r="Q6" s="62">
        <f>Tabelle1!C19</f>
        <v>1.9191956018518516E-3</v>
      </c>
      <c r="R6" s="62">
        <f>Tabelle1!C18</f>
        <v>1.7556134259259259E-3</v>
      </c>
      <c r="S6" s="62">
        <f t="shared" si="5"/>
        <v>4.4861111111111105E-4</v>
      </c>
      <c r="T6" s="62">
        <f t="shared" si="0"/>
        <v>7.0833333333333328E-4</v>
      </c>
      <c r="U6" s="62">
        <f t="shared" si="1"/>
        <v>9.7083333333333342E-4</v>
      </c>
      <c r="V6" s="62">
        <f t="shared" si="2"/>
        <v>8.2472222222222224E-4</v>
      </c>
      <c r="W6" s="62">
        <f t="shared" si="3"/>
        <v>1.9191956018518516E-3</v>
      </c>
      <c r="X6" s="62">
        <f t="shared" si="4"/>
        <v>1.7556134259259259E-3</v>
      </c>
    </row>
    <row r="7" spans="1:24" x14ac:dyDescent="0.45">
      <c r="A7" s="59" t="s">
        <v>234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f>Tabelle1!K14</f>
        <v>4.9831018518518529E-4</v>
      </c>
      <c r="N7" s="62">
        <f>Tabelle1!K16</f>
        <v>8.1805555555555548E-4</v>
      </c>
      <c r="O7" s="62">
        <f>Tabelle1!K15</f>
        <v>1.0602893518518518E-3</v>
      </c>
      <c r="P7" s="62">
        <f>Tabelle1!K17</f>
        <v>8.7075231481481476E-4</v>
      </c>
      <c r="Q7" s="62">
        <f>Tabelle1!K19</f>
        <v>2.0345833333333331E-3</v>
      </c>
      <c r="R7" s="62">
        <f>Tabelle1!K18</f>
        <v>1.9047511574074075E-3</v>
      </c>
      <c r="S7" s="62">
        <f t="shared" si="5"/>
        <v>4.9831018518518529E-4</v>
      </c>
      <c r="T7" s="62">
        <f t="shared" si="0"/>
        <v>8.1805555555555548E-4</v>
      </c>
      <c r="U7" s="62">
        <f t="shared" si="1"/>
        <v>1.0602893518518518E-3</v>
      </c>
      <c r="V7" s="62">
        <f t="shared" si="2"/>
        <v>8.7075231481481476E-4</v>
      </c>
      <c r="W7" s="62">
        <f t="shared" si="3"/>
        <v>2.0345833333333331E-3</v>
      </c>
      <c r="X7" s="62">
        <f t="shared" si="4"/>
        <v>1.9047511574074075E-3</v>
      </c>
    </row>
    <row r="8" spans="1:24" x14ac:dyDescent="0.45">
      <c r="A8" s="59" t="s">
        <v>234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179</v>
      </c>
      <c r="J8" s="59"/>
      <c r="K8" s="59"/>
      <c r="L8" s="59">
        <v>10</v>
      </c>
      <c r="M8" s="62">
        <f>Tabelle1!J14</f>
        <v>5.0836805555555563E-4</v>
      </c>
      <c r="N8" s="62">
        <f>Tabelle1!J16</f>
        <v>8.2736111111111118E-4</v>
      </c>
      <c r="O8" s="62">
        <f>Tabelle1!J15</f>
        <v>1.0793229166666666E-3</v>
      </c>
      <c r="P8" s="62">
        <f>Tabelle1!J17</f>
        <v>8.8353009259259244E-4</v>
      </c>
      <c r="Q8" s="62">
        <f>Tabelle1!J19</f>
        <v>2.0496249999999998E-3</v>
      </c>
      <c r="R8" s="62">
        <f>Tabelle1!J18</f>
        <v>1.9119589120370371E-3</v>
      </c>
      <c r="S8" s="62">
        <f t="shared" si="5"/>
        <v>5.0836805555555563E-4</v>
      </c>
      <c r="T8" s="62">
        <f t="shared" si="0"/>
        <v>8.2736111111111118E-4</v>
      </c>
      <c r="U8" s="62">
        <f t="shared" si="1"/>
        <v>1.0793229166666666E-3</v>
      </c>
      <c r="V8" s="62">
        <f t="shared" si="2"/>
        <v>8.8353009259259244E-4</v>
      </c>
      <c r="W8" s="62">
        <f t="shared" si="3"/>
        <v>2.0496249999999998E-3</v>
      </c>
      <c r="X8" s="62">
        <f t="shared" si="4"/>
        <v>1.9119589120370371E-3</v>
      </c>
    </row>
    <row r="9" spans="1:24" x14ac:dyDescent="0.45">
      <c r="A9" s="59" t="s">
        <v>234</v>
      </c>
      <c r="B9" s="59" t="s">
        <v>164</v>
      </c>
      <c r="C9" s="59">
        <v>14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179</v>
      </c>
      <c r="J9" s="59"/>
      <c r="K9" s="59"/>
      <c r="L9" s="59">
        <v>10</v>
      </c>
      <c r="M9" s="62">
        <f>Tabelle1!I14</f>
        <v>5.1791666666666663E-4</v>
      </c>
      <c r="N9" s="62">
        <f>Tabelle1!I16</f>
        <v>8.3597222222222222E-4</v>
      </c>
      <c r="O9" s="62">
        <f>Tabelle1!I15</f>
        <v>1.096892361111111E-3</v>
      </c>
      <c r="P9" s="62">
        <f>Tabelle1!I17</f>
        <v>8.9524305555555559E-4</v>
      </c>
      <c r="Q9" s="62">
        <f>Tabelle1!I19</f>
        <v>2.0636111111111111E-3</v>
      </c>
      <c r="R9" s="62">
        <f>Tabelle1!I18</f>
        <v>1.9186226851851851E-3</v>
      </c>
      <c r="S9" s="62">
        <f t="shared" si="5"/>
        <v>5.1791666666666663E-4</v>
      </c>
      <c r="T9" s="62">
        <f t="shared" si="0"/>
        <v>8.3597222222222222E-4</v>
      </c>
      <c r="U9" s="62">
        <f t="shared" si="1"/>
        <v>1.096892361111111E-3</v>
      </c>
      <c r="V9" s="62">
        <f t="shared" si="2"/>
        <v>8.9524305555555559E-4</v>
      </c>
      <c r="W9" s="62">
        <f t="shared" si="3"/>
        <v>2.0636111111111111E-3</v>
      </c>
      <c r="X9" s="62">
        <f t="shared" si="4"/>
        <v>1.9186226851851851E-3</v>
      </c>
    </row>
    <row r="10" spans="1:24" x14ac:dyDescent="0.45">
      <c r="A10" s="59" t="s">
        <v>235</v>
      </c>
      <c r="B10" s="59" t="s">
        <v>164</v>
      </c>
      <c r="C10" s="59">
        <v>15</v>
      </c>
      <c r="D10" s="59">
        <v>18</v>
      </c>
      <c r="E10" s="61">
        <v>45658</v>
      </c>
      <c r="F10" s="61">
        <v>46174</v>
      </c>
      <c r="G10" s="61">
        <v>45658</v>
      </c>
      <c r="H10" s="59" t="s">
        <v>178</v>
      </c>
      <c r="I10" s="59" t="s">
        <v>179</v>
      </c>
      <c r="J10" s="59">
        <v>25</v>
      </c>
      <c r="K10" s="59"/>
      <c r="L10" s="59">
        <v>10</v>
      </c>
      <c r="M10" s="62">
        <v>4.6817129629629634E-4</v>
      </c>
      <c r="N10" s="62">
        <v>7.4872685185185188E-4</v>
      </c>
      <c r="O10" s="62">
        <v>9.9224537037037033E-4</v>
      </c>
      <c r="P10" s="62">
        <v>7.8888888888888889E-4</v>
      </c>
      <c r="Q10" s="62">
        <v>1.9605324074074074E-3</v>
      </c>
      <c r="R10" s="62">
        <v>1.7837962962962963E-3</v>
      </c>
      <c r="S10" s="62">
        <v>4.803240740740741E-4</v>
      </c>
      <c r="T10" s="62">
        <v>7.8599537037037039E-4</v>
      </c>
      <c r="U10" s="62">
        <v>1.0240740740740742E-3</v>
      </c>
      <c r="V10" s="62">
        <v>8.2766203703703712E-4</v>
      </c>
      <c r="W10" s="62">
        <v>2.0114583333333334E-3</v>
      </c>
      <c r="X10" s="62">
        <v>1.8332175925925925E-3</v>
      </c>
    </row>
    <row r="11" spans="1:24" x14ac:dyDescent="0.45">
      <c r="A11" s="59" t="s">
        <v>235</v>
      </c>
      <c r="B11" s="59" t="s">
        <v>164</v>
      </c>
      <c r="C11" s="59">
        <v>15</v>
      </c>
      <c r="D11" s="59">
        <v>18</v>
      </c>
      <c r="E11" s="61">
        <v>45658</v>
      </c>
      <c r="F11" s="61">
        <v>46174</v>
      </c>
      <c r="G11" s="61">
        <v>45658</v>
      </c>
      <c r="H11" s="59" t="s">
        <v>178</v>
      </c>
      <c r="I11" s="59" t="s">
        <v>179</v>
      </c>
      <c r="J11" s="59">
        <v>50</v>
      </c>
      <c r="K11" s="59"/>
      <c r="L11" s="59">
        <v>10</v>
      </c>
      <c r="M11" s="62">
        <v>4.6817129629629634E-4</v>
      </c>
      <c r="N11" s="62">
        <v>7.4872685185185188E-4</v>
      </c>
      <c r="O11" s="62">
        <v>9.9224537037037033E-4</v>
      </c>
      <c r="P11" s="62">
        <v>7.8888888888888889E-4</v>
      </c>
      <c r="Q11" s="62">
        <v>1.9605324074074074E-3</v>
      </c>
      <c r="R11" s="62">
        <v>1.7837962962962963E-3</v>
      </c>
      <c r="S11" s="62">
        <v>4.803240740740741E-4</v>
      </c>
      <c r="T11" s="62">
        <v>7.8599537037037039E-4</v>
      </c>
      <c r="U11" s="62">
        <v>1.0240740740740742E-3</v>
      </c>
      <c r="V11" s="62">
        <v>8.2766203703703712E-4</v>
      </c>
      <c r="W11" s="62">
        <v>2.0114583333333334E-3</v>
      </c>
      <c r="X11" s="62">
        <v>1.8332175925925925E-3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Q37"/>
  <sheetViews>
    <sheetView topLeftCell="B1" workbookViewId="0">
      <selection activeCell="K15" sqref="K15"/>
    </sheetView>
  </sheetViews>
  <sheetFormatPr baseColWidth="10" defaultRowHeight="14.25" x14ac:dyDescent="0.45"/>
  <cols>
    <col min="2" max="2" width="34.6640625" customWidth="1"/>
    <col min="8" max="8" width="39.53125" customWidth="1"/>
  </cols>
  <sheetData>
    <row r="3" spans="2:17" x14ac:dyDescent="0.45">
      <c r="B3" t="s">
        <v>229</v>
      </c>
      <c r="H3" t="s">
        <v>231</v>
      </c>
    </row>
    <row r="4" spans="2:17" x14ac:dyDescent="0.45">
      <c r="B4" s="63" t="s">
        <v>224</v>
      </c>
      <c r="C4" s="66">
        <v>2010</v>
      </c>
      <c r="D4" s="66">
        <v>2009</v>
      </c>
      <c r="E4" s="66">
        <v>2008</v>
      </c>
      <c r="H4" s="63" t="s">
        <v>224</v>
      </c>
      <c r="I4" s="66">
        <v>2010</v>
      </c>
      <c r="J4" s="66">
        <v>2009</v>
      </c>
      <c r="K4" s="66">
        <v>2008</v>
      </c>
    </row>
    <row r="5" spans="2:17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  <c r="M5" s="67"/>
      <c r="N5" s="67"/>
      <c r="P5" s="68">
        <f>(100-100/I5*J5)</f>
        <v>1.8436578171091327</v>
      </c>
      <c r="Q5" s="68">
        <f t="shared" ref="Q5:Q10" si="0">(100-100/J5*K5)</f>
        <v>1.9784623090408218</v>
      </c>
    </row>
    <row r="6" spans="2:17" x14ac:dyDescent="0.45">
      <c r="B6" s="64" t="s">
        <v>225</v>
      </c>
      <c r="C6" s="65">
        <v>8.0902777777777787E-4</v>
      </c>
      <c r="D6" s="65">
        <v>7.9837962962962968E-4</v>
      </c>
      <c r="E6" s="65">
        <v>7.869212962962962E-4</v>
      </c>
      <c r="H6" s="64" t="s">
        <v>225</v>
      </c>
      <c r="I6" s="65">
        <v>9.5381944444444442E-4</v>
      </c>
      <c r="J6" s="65">
        <v>9.3854166666666673E-4</v>
      </c>
      <c r="K6" s="65">
        <v>9.2199074074074069E-4</v>
      </c>
      <c r="M6" s="67"/>
      <c r="N6" s="67"/>
      <c r="P6" s="68">
        <f t="shared" ref="P6:P10" si="1">(100-100/I6*J6)</f>
        <v>1.6017473607571873</v>
      </c>
      <c r="Q6" s="68">
        <f t="shared" si="0"/>
        <v>1.7634726846713704</v>
      </c>
    </row>
    <row r="7" spans="2:17" x14ac:dyDescent="0.45">
      <c r="B7" s="64" t="s">
        <v>226</v>
      </c>
      <c r="C7" s="65">
        <v>5.9027777777777778E-4</v>
      </c>
      <c r="D7" s="65">
        <v>5.8495370370370374E-4</v>
      </c>
      <c r="E7" s="65">
        <v>5.7928240740740737E-4</v>
      </c>
      <c r="H7" s="64" t="s">
        <v>226</v>
      </c>
      <c r="I7" s="65">
        <v>6.9664351851851853E-4</v>
      </c>
      <c r="J7" s="65">
        <v>6.8946759259259265E-4</v>
      </c>
      <c r="K7" s="65">
        <v>6.8171296296296296E-4</v>
      </c>
      <c r="M7" s="67"/>
      <c r="N7" s="67"/>
      <c r="P7" s="68">
        <f t="shared" si="1"/>
        <v>1.0300714404386042</v>
      </c>
      <c r="Q7" s="68">
        <f t="shared" si="0"/>
        <v>1.1247272116837337</v>
      </c>
    </row>
    <row r="8" spans="2:17" x14ac:dyDescent="0.45">
      <c r="B8" s="64" t="s">
        <v>227</v>
      </c>
      <c r="C8" s="65">
        <v>6.8726851851851859E-4</v>
      </c>
      <c r="D8" s="65">
        <v>6.7418981481481486E-4</v>
      </c>
      <c r="E8" s="65">
        <v>6.5995370370370372E-4</v>
      </c>
      <c r="H8" s="64" t="s">
        <v>227</v>
      </c>
      <c r="I8" s="65">
        <v>7.7847222222222228E-4</v>
      </c>
      <c r="J8" s="65">
        <v>7.6828703703703694E-4</v>
      </c>
      <c r="K8" s="65">
        <v>7.571759259259259E-4</v>
      </c>
      <c r="M8" s="67"/>
      <c r="N8" s="67"/>
      <c r="P8" s="68">
        <f t="shared" si="1"/>
        <v>1.3083556348498604</v>
      </c>
      <c r="Q8" s="68">
        <f t="shared" si="0"/>
        <v>1.4462187405844986</v>
      </c>
    </row>
    <row r="9" spans="2:17" x14ac:dyDescent="0.45">
      <c r="B9" s="64" t="s">
        <v>228</v>
      </c>
      <c r="C9" s="65">
        <v>1.5266203703703705E-3</v>
      </c>
      <c r="D9" s="65">
        <v>1.5104166666666666E-3</v>
      </c>
      <c r="E9" s="65">
        <v>1.4928240740740739E-3</v>
      </c>
      <c r="H9" s="64" t="s">
        <v>228</v>
      </c>
      <c r="I9" s="65">
        <v>1.6328703703703702E-3</v>
      </c>
      <c r="J9" s="65">
        <v>1.6271990740740741E-3</v>
      </c>
      <c r="K9" s="65">
        <v>1.6210648148148148E-3</v>
      </c>
      <c r="M9" s="67"/>
      <c r="N9" s="67"/>
      <c r="P9" s="68">
        <f t="shared" si="1"/>
        <v>0.3473206691239028</v>
      </c>
      <c r="Q9" s="68">
        <f t="shared" si="0"/>
        <v>0.37698271569813357</v>
      </c>
    </row>
    <row r="10" spans="2:17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230</v>
      </c>
      <c r="I10" s="65">
        <v>1.8101851851851853E-3</v>
      </c>
      <c r="J10" s="65">
        <v>1.7979166666666666E-3</v>
      </c>
      <c r="K10" s="65">
        <v>1.784722222222222E-3</v>
      </c>
      <c r="M10" s="67"/>
      <c r="N10" s="67"/>
      <c r="P10" s="68">
        <f t="shared" si="1"/>
        <v>0.67774936061381652</v>
      </c>
      <c r="Q10" s="68">
        <f t="shared" si="0"/>
        <v>0.73387408265740817</v>
      </c>
    </row>
    <row r="12" spans="2:17" x14ac:dyDescent="0.45">
      <c r="B12" t="s">
        <v>232</v>
      </c>
      <c r="H12" t="s">
        <v>232</v>
      </c>
    </row>
    <row r="13" spans="2:17" x14ac:dyDescent="0.45">
      <c r="B13" s="63" t="s">
        <v>224</v>
      </c>
      <c r="C13" s="66">
        <v>2010</v>
      </c>
      <c r="D13" s="66">
        <v>2009</v>
      </c>
      <c r="E13" s="66">
        <v>2008</v>
      </c>
      <c r="H13" s="63" t="s">
        <v>224</v>
      </c>
      <c r="I13" s="66">
        <v>2010</v>
      </c>
      <c r="J13" s="66">
        <v>2009</v>
      </c>
      <c r="K13" s="66">
        <v>2008</v>
      </c>
    </row>
    <row r="14" spans="2:17" x14ac:dyDescent="0.45">
      <c r="B14" s="64" t="s">
        <v>0</v>
      </c>
      <c r="C14" s="65">
        <f>C5*$F14</f>
        <v>4.4861111111111105E-4</v>
      </c>
      <c r="D14" s="65">
        <f t="shared" ref="D14:E14" si="2">D5*$F14</f>
        <v>4.4430555555555553E-4</v>
      </c>
      <c r="E14" s="65">
        <f t="shared" si="2"/>
        <v>4.3944444444444445E-4</v>
      </c>
      <c r="F14">
        <v>1.2</v>
      </c>
      <c r="H14" s="64" t="s">
        <v>0</v>
      </c>
      <c r="I14" s="65">
        <f>I5*$L14</f>
        <v>5.1791666666666663E-4</v>
      </c>
      <c r="J14" s="65">
        <f t="shared" ref="J14:K14" si="3">J5*$L14</f>
        <v>5.0836805555555563E-4</v>
      </c>
      <c r="K14" s="65">
        <f t="shared" si="3"/>
        <v>4.9831018518518529E-4</v>
      </c>
      <c r="L14">
        <v>1.1000000000000001</v>
      </c>
    </row>
    <row r="15" spans="2:17" x14ac:dyDescent="0.45">
      <c r="B15" s="64" t="s">
        <v>225</v>
      </c>
      <c r="C15" s="65">
        <f t="shared" ref="C15:E15" si="4">C6*$F15</f>
        <v>9.7083333333333342E-4</v>
      </c>
      <c r="D15" s="65">
        <f t="shared" si="4"/>
        <v>9.5805555555555553E-4</v>
      </c>
      <c r="E15" s="65">
        <f t="shared" si="4"/>
        <v>9.4430555555555544E-4</v>
      </c>
      <c r="F15">
        <v>1.2</v>
      </c>
      <c r="H15" s="64" t="s">
        <v>225</v>
      </c>
      <c r="I15" s="65">
        <f t="shared" ref="I15:K15" si="5">I6*$L15</f>
        <v>1.096892361111111E-3</v>
      </c>
      <c r="J15" s="65">
        <f t="shared" si="5"/>
        <v>1.0793229166666666E-3</v>
      </c>
      <c r="K15" s="65">
        <f t="shared" si="5"/>
        <v>1.0602893518518518E-3</v>
      </c>
      <c r="L15">
        <v>1.1499999999999999</v>
      </c>
    </row>
    <row r="16" spans="2:17" x14ac:dyDescent="0.45">
      <c r="B16" s="64" t="s">
        <v>226</v>
      </c>
      <c r="C16" s="65">
        <f t="shared" ref="C16:E16" si="6">C7*$F16</f>
        <v>7.0833333333333328E-4</v>
      </c>
      <c r="D16" s="65">
        <f t="shared" si="6"/>
        <v>7.0194444444444449E-4</v>
      </c>
      <c r="E16" s="65">
        <f t="shared" si="6"/>
        <v>6.951388888888888E-4</v>
      </c>
      <c r="F16">
        <v>1.2</v>
      </c>
      <c r="H16" s="64" t="s">
        <v>226</v>
      </c>
      <c r="I16" s="65">
        <f t="shared" ref="I16:K16" si="7">I7*$L16</f>
        <v>8.3597222222222222E-4</v>
      </c>
      <c r="J16" s="65">
        <f t="shared" si="7"/>
        <v>8.2736111111111118E-4</v>
      </c>
      <c r="K16" s="65">
        <f t="shared" si="7"/>
        <v>8.1805555555555548E-4</v>
      </c>
      <c r="L16">
        <v>1.2</v>
      </c>
    </row>
    <row r="17" spans="2:12" x14ac:dyDescent="0.45">
      <c r="B17" s="64" t="s">
        <v>227</v>
      </c>
      <c r="C17" s="65">
        <f t="shared" ref="C17:E17" si="8">C8*$F17</f>
        <v>8.2472222222222224E-4</v>
      </c>
      <c r="D17" s="65">
        <f t="shared" si="8"/>
        <v>8.0902777777777776E-4</v>
      </c>
      <c r="E17" s="65">
        <f t="shared" si="8"/>
        <v>7.919444444444444E-4</v>
      </c>
      <c r="F17">
        <v>1.2</v>
      </c>
      <c r="H17" s="64" t="s">
        <v>227</v>
      </c>
      <c r="I17" s="65">
        <f t="shared" ref="I17:K17" si="9">I8*$L17</f>
        <v>8.9524305555555559E-4</v>
      </c>
      <c r="J17" s="65">
        <f t="shared" si="9"/>
        <v>8.8353009259259244E-4</v>
      </c>
      <c r="K17" s="65">
        <f t="shared" si="9"/>
        <v>8.7075231481481476E-4</v>
      </c>
      <c r="L17">
        <v>1.1499999999999999</v>
      </c>
    </row>
    <row r="18" spans="2:12" x14ac:dyDescent="0.45">
      <c r="B18" s="64" t="s">
        <v>228</v>
      </c>
      <c r="C18" s="65">
        <f t="shared" ref="C18:E18" si="10">C9*$F18</f>
        <v>1.7556134259259259E-3</v>
      </c>
      <c r="D18" s="65">
        <f t="shared" si="10"/>
        <v>1.7369791666666664E-3</v>
      </c>
      <c r="E18" s="65">
        <f t="shared" si="10"/>
        <v>1.7167476851851849E-3</v>
      </c>
      <c r="F18">
        <v>1.1499999999999999</v>
      </c>
      <c r="H18" s="64" t="s">
        <v>228</v>
      </c>
      <c r="I18" s="65">
        <f t="shared" ref="I18:K18" si="11">I9*$L18</f>
        <v>1.9186226851851851E-3</v>
      </c>
      <c r="J18" s="65">
        <f t="shared" si="11"/>
        <v>1.9119589120370371E-3</v>
      </c>
      <c r="K18" s="65">
        <f t="shared" si="11"/>
        <v>1.9047511574074075E-3</v>
      </c>
      <c r="L18">
        <v>1.175</v>
      </c>
    </row>
    <row r="19" spans="2:12" x14ac:dyDescent="0.45">
      <c r="B19" s="64" t="s">
        <v>4</v>
      </c>
      <c r="C19" s="65">
        <f t="shared" ref="C19:E19" si="12">C10*$F19</f>
        <v>1.9191956018518516E-3</v>
      </c>
      <c r="D19" s="65">
        <f t="shared" si="12"/>
        <v>1.8985648148148143E-3</v>
      </c>
      <c r="E19" s="65">
        <f t="shared" si="12"/>
        <v>1.8763368055555554E-3</v>
      </c>
      <c r="F19">
        <v>1.1499999999999999</v>
      </c>
      <c r="H19" s="64" t="s">
        <v>4</v>
      </c>
      <c r="I19" s="65">
        <f t="shared" ref="I19:K19" si="13">I10*$L19</f>
        <v>2.0636111111111111E-3</v>
      </c>
      <c r="J19" s="65">
        <f t="shared" si="13"/>
        <v>2.0496249999999998E-3</v>
      </c>
      <c r="K19" s="65">
        <f t="shared" si="13"/>
        <v>2.0345833333333331E-3</v>
      </c>
      <c r="L19">
        <v>1.1399999999999999</v>
      </c>
    </row>
    <row r="22" spans="2:12" x14ac:dyDescent="0.45">
      <c r="B22" s="63"/>
      <c r="C22" s="66"/>
      <c r="D22" s="66"/>
      <c r="E22" s="66"/>
      <c r="I22" s="67"/>
    </row>
    <row r="23" spans="2:12" x14ac:dyDescent="0.45">
      <c r="B23" s="64"/>
      <c r="C23" s="65"/>
      <c r="D23" s="65"/>
      <c r="E23" s="65"/>
    </row>
    <row r="24" spans="2:12" x14ac:dyDescent="0.45">
      <c r="B24" s="64"/>
      <c r="C24" s="65"/>
      <c r="D24" s="65"/>
      <c r="E24" s="65"/>
    </row>
    <row r="25" spans="2:12" x14ac:dyDescent="0.45">
      <c r="B25" s="64"/>
      <c r="C25" s="65"/>
      <c r="D25" s="65"/>
      <c r="E25" s="65"/>
    </row>
    <row r="26" spans="2:12" x14ac:dyDescent="0.45">
      <c r="B26" s="64"/>
      <c r="C26" s="65"/>
      <c r="D26" s="65"/>
      <c r="E26" s="65"/>
    </row>
    <row r="27" spans="2:12" x14ac:dyDescent="0.45">
      <c r="B27" s="64"/>
      <c r="C27" s="65"/>
      <c r="D27" s="65"/>
      <c r="E27" s="65"/>
    </row>
    <row r="28" spans="2:12" x14ac:dyDescent="0.45">
      <c r="B28" s="64"/>
      <c r="C28" s="65"/>
      <c r="D28" s="65"/>
      <c r="E28" s="65"/>
    </row>
    <row r="31" spans="2:12" x14ac:dyDescent="0.45">
      <c r="B31" s="63"/>
      <c r="C31" s="66"/>
      <c r="D31" s="66"/>
      <c r="E31" s="66"/>
    </row>
    <row r="32" spans="2:12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0" t="s">
        <v>13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x14ac:dyDescent="0.45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9" t="s">
        <v>14</v>
      </c>
      <c r="B14" s="69"/>
      <c r="C14" s="69"/>
      <c r="D14" s="69"/>
      <c r="E14" s="69"/>
      <c r="F14" s="69"/>
      <c r="G14"/>
      <c r="H14" s="71" t="s">
        <v>35</v>
      </c>
      <c r="I14" s="71"/>
      <c r="J14" s="71"/>
      <c r="L14" s="71" t="s">
        <v>36</v>
      </c>
      <c r="M14"/>
      <c r="N14"/>
    </row>
    <row r="15" spans="1:14" ht="15" customHeight="1" x14ac:dyDescent="0.45">
      <c r="A15" s="69"/>
      <c r="B15" s="69"/>
      <c r="C15" s="69"/>
      <c r="D15" s="69"/>
      <c r="E15" s="69"/>
      <c r="F15" s="69"/>
      <c r="G15"/>
      <c r="H15" s="71"/>
      <c r="I15" s="71"/>
      <c r="J15" s="71"/>
      <c r="L15" s="71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0" t="s">
        <v>13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x14ac:dyDescent="0.45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9" t="s">
        <v>14</v>
      </c>
      <c r="B14" s="69"/>
      <c r="C14" s="69"/>
      <c r="D14" s="69"/>
      <c r="E14" s="69"/>
      <c r="F14" s="69"/>
      <c r="H14" s="71" t="s">
        <v>35</v>
      </c>
      <c r="I14" s="71"/>
      <c r="J14" s="71"/>
      <c r="L14" s="71" t="s">
        <v>36</v>
      </c>
      <c r="M14"/>
    </row>
    <row r="15" spans="1:14" x14ac:dyDescent="0.45">
      <c r="A15" s="69"/>
      <c r="B15" s="69"/>
      <c r="C15" s="69"/>
      <c r="D15" s="69"/>
      <c r="E15" s="69"/>
      <c r="F15" s="69"/>
      <c r="H15" s="71"/>
      <c r="I15" s="71"/>
      <c r="J15" s="71"/>
      <c r="L15" s="71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0" t="s">
        <v>13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</row>
    <row r="8" spans="1:14" x14ac:dyDescent="0.45">
      <c r="A8" s="70"/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9" t="s">
        <v>14</v>
      </c>
      <c r="B14" s="69"/>
      <c r="C14" s="69"/>
      <c r="D14" s="69"/>
      <c r="E14" s="69"/>
      <c r="F14" s="69"/>
      <c r="H14" s="71" t="s">
        <v>35</v>
      </c>
      <c r="I14" s="71"/>
      <c r="J14" s="71"/>
      <c r="L14" s="71" t="s">
        <v>36</v>
      </c>
      <c r="M14"/>
    </row>
    <row r="15" spans="1:14" x14ac:dyDescent="0.45">
      <c r="A15" s="69"/>
      <c r="B15" s="69"/>
      <c r="C15" s="69"/>
      <c r="D15" s="69"/>
      <c r="E15" s="69"/>
      <c r="F15" s="69"/>
      <c r="H15" s="71"/>
      <c r="I15" s="71"/>
      <c r="J15" s="71"/>
      <c r="L15" s="71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2026-01-22T03:00:03Z</dcterms:modified>
</cp:coreProperties>
</file>