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276DD628-CCD1-4F3D-8FF8-EA545EC089B1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Y19" i="14"/>
  <c r="X19" i="14"/>
  <c r="Z18" i="14"/>
  <c r="Y18" i="14"/>
  <c r="X18" i="14"/>
  <c r="Z17" i="14"/>
  <c r="Y17" i="14"/>
  <c r="X17" i="14"/>
  <c r="Z16" i="14"/>
  <c r="Y16" i="14"/>
  <c r="X16" i="14"/>
  <c r="Z15" i="14"/>
  <c r="Y15" i="14"/>
  <c r="X15" i="14"/>
  <c r="Z14" i="14"/>
  <c r="Y14" i="14"/>
  <c r="X14" i="14"/>
  <c r="T19" i="14"/>
  <c r="S19" i="14"/>
  <c r="R19" i="14"/>
  <c r="T18" i="14"/>
  <c r="S18" i="14"/>
  <c r="R18" i="14"/>
  <c r="T17" i="14"/>
  <c r="S17" i="14"/>
  <c r="R17" i="14"/>
  <c r="T16" i="14"/>
  <c r="S16" i="14"/>
  <c r="R16" i="14"/>
  <c r="T15" i="14"/>
  <c r="S15" i="14"/>
  <c r="R15" i="14"/>
  <c r="T14" i="14"/>
  <c r="S14" i="14"/>
  <c r="R14" i="14"/>
  <c r="X11" i="13"/>
  <c r="W11" i="13"/>
  <c r="V11" i="13"/>
  <c r="U11" i="13"/>
  <c r="T11" i="13"/>
  <c r="S11" i="13"/>
  <c r="R11" i="13"/>
  <c r="Q11" i="13"/>
  <c r="P11" i="13"/>
  <c r="O11" i="13"/>
  <c r="N11" i="13"/>
  <c r="M11" i="13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Q7" i="13"/>
  <c r="W7" i="13" s="1"/>
  <c r="Q8" i="13"/>
  <c r="W8" i="13" s="1"/>
  <c r="P8" i="13"/>
  <c r="V8" i="13" s="1"/>
  <c r="P9" i="13"/>
  <c r="V9" i="13" s="1"/>
  <c r="N6" i="13"/>
  <c r="T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<sst xmlns="http://schemas.openxmlformats.org/spreadsheetml/2006/main" count="738" uniqueCount="244">
  <si>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</si>
  <si>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</si>
  <si>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</si>
  <si>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</si>
  <si>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</si>
  <si>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</si>
  <si>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</si>
  <si>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</si>
  <si>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</si>
  <si>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</si>
  <si>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</si>
  <si>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</si>
  <si>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</si>
  <si>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</si>
  <si>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</si>
  <si>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</si>
  <si>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</si>
  <si>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</si>
  <si>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</si>
  <si>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</si>
  <si>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</si>
  <si>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</si>
  <si>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</si>
  <si>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</si>
  <si>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</si>
  <si>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</si>
  <si>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</si>
  <si>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</si>
  <si>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</si>
  <si>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</si>
  <si>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</si>
  <si>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</si>
  <si>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</si>
  <si>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</si>
  <si>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</si>
  <si>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</si>
  <si>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</si>
  <si>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</si>
  <si>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</si>
  <si>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</si>
  <si>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</si>
  <si>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</si>
  <si>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</si>
  <si>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</si>
  <si>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</si>
  <si>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</si>
  <si>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</si>
  <si>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</si>
  <si>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</si>
  <si>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</si>
  <si>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</si>
  <si>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</si>
  <si>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</si>
  <si>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</si>
  <si>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</si>
  <si>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</si>
  <si>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</si>
  <si>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</si>
  <si>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</si>
  <si>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</si>
  <si>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</si>
  <si>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</si>
  <si>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</si>
  <si>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</si>
  <si>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</si>
  <si>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</si>
  <si>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</si>
  <si>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</si>
  <si>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</si>
  <si>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</si>
  <si>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</si>
  <si>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</si>
  <si>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</si>
  <si>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</si>
  <si>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</si>
  <si>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</si>
  <si>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</si>
  <si>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</si>
  <si>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</si>
  <si>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</si>
  <si>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</si>
  <si>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</si>
  <si>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</si>
  <si>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</si>
  <si>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</si>
  <si>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</si>
  <si>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</si>
  <si>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</si>
  <si>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</si>
  <si>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</si>
  <si>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</si>
  <si>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</si>
  <si>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</si>
  <si>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</si>
  <si>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</si>
  <si>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</si>
  <si>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</si>
  <si>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</si>
  <si>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</si>
  <si>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</si>
  <si>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</si>
  <si>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</si>
  <si>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</si>
  <si>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</si>
  <si>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</si>
  <si>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</si>
  <si>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</si>
  <si>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</si>
  <si>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</si>
  <si>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</si>
  <si>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</si>
  <si>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</si>
  <si>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</si>
  <si>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</si>
  <si>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</si>
  <si>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</si>
  <si>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</si>
  <si>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</si>
  <si>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</si>
  <si>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</si>
  <si>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</si>
  <si>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</si>
  <si>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</si>
  <si>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</si>
  <si>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</si>
  <si>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</si>
  <si>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</si>
  <si>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</si>
  <si>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</si>
  <si>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</si>
  <si>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</si>
  <si>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</si>
  <si>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</si>
  <si>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</si>
  <si>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</si>
  <si>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</si>
  <si>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</si>
  <si>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</si>
  <si>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</si>
  <si>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</si>
  <si>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</si>
  <si>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</si>
  <si>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</si>
  <si>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</si>
  <si>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</si>
  <si>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</si>
  <si>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</si>
  <si>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</si>
  <si>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</si>
  <si>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</si>
  <si>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</si>
  <si>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</si>
  <si>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</si>
  <si>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</si>
  <si>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</si>
  <si>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</si>
  <si>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</si>
  <si>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</si>
  <si>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</si>
  <si>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</si>
  <si>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</si>
  <si>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</si>
  <si>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</si>
  <si>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</si>
  <si>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</si>
  <si>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</si>
  <si>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</si>
  <si>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</si>
  <si>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</si>
  <si>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</si>
  <si>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</si>
  <si>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</si>
  <si>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</si>
  <si>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</si>
  <si>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</si>
  <si>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</si>
  <si>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</si>
  <si>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</si>
  <si>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</si>
  <si>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</si>
  <si>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</si>
  <si>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</si>
  <si>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</si>
  <si>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</si>
  <si>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</si>
  <si>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</si>
  <si>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</si>
  <si>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</si>
  <si>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</si>
  <si>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</si>
  <si>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</si>
  <si>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</si>
  <si>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</si>
  <si>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</si>
  <si>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</si>
  <si>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</si>
  <si>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</si>
  <si>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</si>
  <si>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</si>
  <si>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</si>
  <si>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</si>
  <si>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</si>
  <si>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</si>
  <si>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</si>
  <si>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</si>
  <si>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</si>
  <si>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</si>
  <si>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</si>
  <si>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</si>
  <si>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</si>
  <si>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</si>
  <si>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</si>
  <si>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</si>
  <si>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</si>
  <si>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</si>
  <si>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</si>
  <si>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</si>
  <si>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</si>
  <si>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</si>
  <si>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</si>
  <si>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</si>
  <si>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</si>
  <si>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</si>
  <si>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</si>
  <si>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</si>
  <si>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</si>
  <si>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</si>
  <si>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</si>
  <si>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</si>
  <si>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</si>
  <si>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</si>
  <si>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</si>
  <si>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</si>
  <si>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Test</t>
  </si>
  <si>
    <t>NK1 + 10% Frauen</t>
  </si>
  <si>
    <t>NK1 + 10% Männer</t>
  </si>
  <si>
    <t>NK1 Orginal M</t>
  </si>
  <si>
    <t>NK1 Orginal W</t>
  </si>
  <si>
    <t>&gt;2007</t>
  </si>
  <si>
    <t>2004-2006</t>
  </si>
  <si>
    <t>&lt;2006</t>
  </si>
  <si>
    <t>NK1 % M</t>
  </si>
  <si>
    <t>NK2 +22,5% Mäner</t>
  </si>
  <si>
    <t>NK2 +22,5%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</si>
</sst>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5" fillId="0" borderId="0" xfId="0" applyFont="1" applyAlignment="1">
      <alignment horizontal="right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7" totalsRowShown="0" headerRowDxfId="43" dataDxfId="42">
  <autoFilter ref="A1:X17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7"/>
  <sheetViews>
    <sheetView workbookViewId="0">
      <selection activeCell="A18" sqref="A18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242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Tabelle1!E14</f>
        <v>4.4859953703703707E-4</v>
      </c>
      <c r="N4" s="62">
        <f>Tabelle1!E16</f>
        <v>7.096209490740741E-4</v>
      </c>
      <c r="O4" s="62">
        <f>Tabelle1!E15</f>
        <v>9.6397858796296292E-4</v>
      </c>
      <c r="P4" s="62">
        <f>Tabelle1!E17</f>
        <v>8.0844328703703709E-4</v>
      </c>
      <c r="Q4" s="62">
        <f>Tabelle1!E19</f>
        <v>1.9987065972222225E-3</v>
      </c>
      <c r="R4" s="62">
        <f>Tabelle1!E18</f>
        <v>1.8287094907407408E-3</v>
      </c>
      <c r="S4" s="62">
        <f>M4</f>
        <v>4.4859953703703707E-4</v>
      </c>
      <c r="T4" s="62">
        <f t="shared" ref="T4:T9" si="0">N4</f>
        <v>7.096209490740741E-4</v>
      </c>
      <c r="U4" s="62">
        <f t="shared" ref="U4:U9" si="1">O4</f>
        <v>9.6397858796296292E-4</v>
      </c>
      <c r="V4" s="62">
        <f t="shared" ref="V4:V9" si="2">P4</f>
        <v>8.0844328703703709E-4</v>
      </c>
      <c r="W4" s="62">
        <f t="shared" ref="W4:W9" si="3">Q4</f>
        <v>1.9987065972222225E-3</v>
      </c>
      <c r="X4" s="62">
        <f t="shared" ref="X4:X9" si="4">R4</f>
        <v>1.8287094907407408E-3</v>
      </c>
    </row>
    <row r="5" spans="1:24" x14ac:dyDescent="0.45">
      <c r="A5" s="59" t="s">
        <v>242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Tabelle1!D14</f>
        <v>4.5356192129629631E-4</v>
      </c>
      <c r="N5" s="62">
        <f>Tabelle1!D16</f>
        <v>7.1656828703703715E-4</v>
      </c>
      <c r="O5" s="62">
        <f>Tabelle1!D15</f>
        <v>9.7801504629629649E-4</v>
      </c>
      <c r="P5" s="62">
        <f>Tabelle1!D17</f>
        <v>8.2588252314814829E-4</v>
      </c>
      <c r="Q5" s="62">
        <f>Tabelle1!D19</f>
        <v>2.0223842592592589E-3</v>
      </c>
      <c r="R5" s="62">
        <f>Tabelle1!D18</f>
        <v>1.8502604166666667E-3</v>
      </c>
      <c r="S5" s="62">
        <f t="shared" ref="S5:S9" si="5">M5</f>
        <v>4.5356192129629631E-4</v>
      </c>
      <c r="T5" s="62">
        <f t="shared" si="0"/>
        <v>7.1656828703703715E-4</v>
      </c>
      <c r="U5" s="62">
        <f t="shared" si="1"/>
        <v>9.7801504629629649E-4</v>
      </c>
      <c r="V5" s="62">
        <f t="shared" si="2"/>
        <v>8.2588252314814829E-4</v>
      </c>
      <c r="W5" s="62">
        <f t="shared" si="3"/>
        <v>2.0223842592592589E-3</v>
      </c>
      <c r="X5" s="62">
        <f t="shared" si="4"/>
        <v>1.8502604166666667E-3</v>
      </c>
    </row>
    <row r="6" spans="1:24" x14ac:dyDescent="0.45">
      <c r="A6" s="59" t="s">
        <v>242</v>
      </c>
      <c r="B6" s="59" t="s">
        <v>182</v>
      </c>
      <c r="C6" s="59">
        <v>12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Tabelle1!C14</f>
        <v>4.5795717592592589E-4</v>
      </c>
      <c r="N6" s="62">
        <f>Tabelle1!C16</f>
        <v>7.2309027777777779E-4</v>
      </c>
      <c r="O6" s="62">
        <f>Tabelle1!C15</f>
        <v>9.9105902777777799E-4</v>
      </c>
      <c r="P6" s="62">
        <f>Tabelle1!C17</f>
        <v>8.4190393518518533E-4</v>
      </c>
      <c r="Q6" s="62">
        <f>Tabelle1!C19</f>
        <v>2.0443605324074075E-3</v>
      </c>
      <c r="R6" s="62">
        <f>Tabelle1!C18</f>
        <v>1.8701099537037039E-3</v>
      </c>
      <c r="S6" s="62">
        <f t="shared" si="5"/>
        <v>4.5795717592592589E-4</v>
      </c>
      <c r="T6" s="62">
        <f t="shared" si="0"/>
        <v>7.2309027777777779E-4</v>
      </c>
      <c r="U6" s="62">
        <f t="shared" si="1"/>
        <v>9.9105902777777799E-4</v>
      </c>
      <c r="V6" s="62">
        <f t="shared" si="2"/>
        <v>8.4190393518518533E-4</v>
      </c>
      <c r="W6" s="62">
        <f t="shared" si="3"/>
        <v>2.0443605324074075E-3</v>
      </c>
      <c r="X6" s="62">
        <f t="shared" si="4"/>
        <v>1.8701099537037039E-3</v>
      </c>
    </row>
    <row r="7" spans="1:24" x14ac:dyDescent="0.45">
      <c r="A7" s="59" t="s">
        <v>243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Tabelle1!K14</f>
        <v>5.5493634259259266E-4</v>
      </c>
      <c r="N7" s="62">
        <f>Tabelle1!K16</f>
        <v>8.3509837962962965E-4</v>
      </c>
      <c r="O7" s="62">
        <f>Tabelle1!K15</f>
        <v>1.1294386574074073E-3</v>
      </c>
      <c r="P7" s="62">
        <f>Tabelle1!K17</f>
        <v>9.2754050925925925E-4</v>
      </c>
      <c r="Q7" s="62">
        <f>Tabelle1!K19</f>
        <v>2.1862847222222223E-3</v>
      </c>
      <c r="R7" s="62">
        <f>Tabelle1!K18</f>
        <v>1.9858043981481484E-3</v>
      </c>
      <c r="S7" s="62">
        <f t="shared" si="5"/>
        <v>5.5493634259259266E-4</v>
      </c>
      <c r="T7" s="62">
        <f t="shared" si="0"/>
        <v>8.3509837962962965E-4</v>
      </c>
      <c r="U7" s="62">
        <f t="shared" si="1"/>
        <v>1.1294386574074073E-3</v>
      </c>
      <c r="V7" s="62">
        <f t="shared" si="2"/>
        <v>9.2754050925925925E-4</v>
      </c>
      <c r="W7" s="62">
        <f t="shared" si="3"/>
        <v>2.1862847222222223E-3</v>
      </c>
      <c r="X7" s="62">
        <f t="shared" si="4"/>
        <v>1.9858043981481484E-3</v>
      </c>
    </row>
    <row r="8" spans="1:24" x14ac:dyDescent="0.45">
      <c r="A8" s="59" t="s">
        <v>243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Tabelle1!J14</f>
        <v>5.6613715277777782E-4</v>
      </c>
      <c r="N8" s="62">
        <f>Tabelle1!J16</f>
        <v>8.4459780092592605E-4</v>
      </c>
      <c r="O8" s="62">
        <f>Tabelle1!J15</f>
        <v>1.1497135416666669E-3</v>
      </c>
      <c r="P8" s="62">
        <f>Tabelle1!J17</f>
        <v>9.411516203703703E-4</v>
      </c>
      <c r="Q8" s="62">
        <f>Tabelle1!J19</f>
        <v>2.2024479166666668E-3</v>
      </c>
      <c r="R8" s="62">
        <f>Tabelle1!J18</f>
        <v>1.9933188657407408E-3</v>
      </c>
      <c r="S8" s="62">
        <f t="shared" si="5"/>
        <v>5.6613715277777782E-4</v>
      </c>
      <c r="T8" s="62">
        <f t="shared" si="0"/>
        <v>8.4459780092592605E-4</v>
      </c>
      <c r="U8" s="62">
        <f t="shared" si="1"/>
        <v>1.1497135416666669E-3</v>
      </c>
      <c r="V8" s="62">
        <f t="shared" si="2"/>
        <v>9.411516203703703E-4</v>
      </c>
      <c r="W8" s="62">
        <f t="shared" si="3"/>
        <v>2.2024479166666668E-3</v>
      </c>
      <c r="X8" s="62">
        <f t="shared" si="4"/>
        <v>1.9933188657407408E-3</v>
      </c>
    </row>
    <row r="9" spans="1:24" x14ac:dyDescent="0.45">
      <c r="A9" s="59" t="s">
        <v>243</v>
      </c>
      <c r="B9" s="59" t="s">
        <v>164</v>
      </c>
      <c r="C9" s="59">
        <v>12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Tabelle1!I14</f>
        <v>5.7677083333333332E-4</v>
      </c>
      <c r="N9" s="62">
        <f>Tabelle1!I16</f>
        <v>8.5338831018518522E-4</v>
      </c>
      <c r="O9" s="62">
        <f>Tabelle1!I15</f>
        <v>1.1684288194444446E-3</v>
      </c>
      <c r="P9" s="62">
        <f>Tabelle1!I17</f>
        <v>9.5362847222222236E-4</v>
      </c>
      <c r="Q9" s="62">
        <f>Tabelle1!I19</f>
        <v>2.217476851851852E-3</v>
      </c>
      <c r="R9" s="62">
        <f>Tabelle1!I18</f>
        <v>2.0002662037037038E-3</v>
      </c>
      <c r="S9" s="62">
        <f t="shared" si="5"/>
        <v>5.7677083333333332E-4</v>
      </c>
      <c r="T9" s="62">
        <f t="shared" si="0"/>
        <v>8.5338831018518522E-4</v>
      </c>
      <c r="U9" s="62">
        <f t="shared" si="1"/>
        <v>1.1684288194444446E-3</v>
      </c>
      <c r="V9" s="62">
        <f t="shared" si="2"/>
        <v>9.5362847222222236E-4</v>
      </c>
      <c r="W9" s="62">
        <f t="shared" si="3"/>
        <v>2.217476851851852E-3</v>
      </c>
      <c r="X9" s="62">
        <f t="shared" si="4"/>
        <v>2.0002662037037038E-3</v>
      </c>
    </row>
    <row r="10" spans="1:24" x14ac:dyDescent="0.45">
      <c r="A10" s="59" t="s">
        <v>233</v>
      </c>
      <c r="B10" s="59" t="s">
        <v>164</v>
      </c>
      <c r="C10" s="59">
        <v>15</v>
      </c>
      <c r="D10" s="59">
        <v>18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179</v>
      </c>
      <c r="J10" s="59">
        <v>25</v>
      </c>
      <c r="K10" s="59"/>
      <c r="L10" s="59">
        <v>10</v>
      </c>
      <c r="M10" s="62">
        <v>4.6817129629629634E-4</v>
      </c>
      <c r="N10" s="62">
        <v>7.4872685185185188E-4</v>
      </c>
      <c r="O10" s="62">
        <v>9.9224537037037033E-4</v>
      </c>
      <c r="P10" s="62">
        <v>7.8888888888888889E-4</v>
      </c>
      <c r="Q10" s="62">
        <v>1.9605324074074074E-3</v>
      </c>
      <c r="R10" s="62">
        <v>1.7837962962962963E-3</v>
      </c>
      <c r="S10" s="62">
        <v>4.803240740740741E-4</v>
      </c>
      <c r="T10" s="62">
        <v>7.8599537037037039E-4</v>
      </c>
      <c r="U10" s="62">
        <v>1.0240740740740742E-3</v>
      </c>
      <c r="V10" s="62">
        <v>8.2766203703703712E-4</v>
      </c>
      <c r="W10" s="62">
        <v>2.0114583333333334E-3</v>
      </c>
      <c r="X10" s="62">
        <v>1.8332175925925925E-3</v>
      </c>
    </row>
    <row r="11" spans="1:24" x14ac:dyDescent="0.45">
      <c r="A11" s="59" t="s">
        <v>233</v>
      </c>
      <c r="B11" s="59" t="s">
        <v>164</v>
      </c>
      <c r="C11" s="59">
        <v>15</v>
      </c>
      <c r="D11" s="59">
        <v>18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179</v>
      </c>
      <c r="J11" s="59">
        <v>50</v>
      </c>
      <c r="K11" s="59"/>
      <c r="L11" s="59">
        <v>10</v>
      </c>
      <c r="M11" s="62">
        <f>M10*1.1</f>
        <v>5.1498842592592601E-4</v>
      </c>
      <c r="N11" s="62">
        <f t="shared" ref="N11:X11" si="6">N10*1.1</f>
        <v>8.2359953703703718E-4</v>
      </c>
      <c r="O11" s="62">
        <f t="shared" si="6"/>
        <v>1.0914699074074075E-3</v>
      </c>
      <c r="P11" s="62">
        <f t="shared" si="6"/>
        <v>8.6777777777777786E-4</v>
      </c>
      <c r="Q11" s="62">
        <f t="shared" si="6"/>
        <v>2.1565856481481484E-3</v>
      </c>
      <c r="R11" s="62">
        <f t="shared" si="6"/>
        <v>1.9621759259259262E-3</v>
      </c>
      <c r="S11" s="62">
        <f t="shared" si="6"/>
        <v>5.2835648148148154E-4</v>
      </c>
      <c r="T11" s="62">
        <f t="shared" si="6"/>
        <v>8.6459490740740746E-4</v>
      </c>
      <c r="U11" s="62">
        <f t="shared" si="6"/>
        <v>1.1264814814814818E-3</v>
      </c>
      <c r="V11" s="62">
        <f t="shared" si="6"/>
        <v>9.1042824074074095E-4</v>
      </c>
      <c r="W11" s="62">
        <f t="shared" si="6"/>
        <v>2.212604166666667E-3</v>
      </c>
      <c r="X11" s="62">
        <f t="shared" si="6"/>
        <v>2.0165393518518518E-3</v>
      </c>
    </row>
    <row r="12" spans="1:24" x14ac:dyDescent="0.45">
      <c r="A12" s="59" t="s">
        <v>234</v>
      </c>
      <c r="B12" s="59" t="s">
        <v>164</v>
      </c>
      <c r="C12" s="59">
        <v>19</v>
      </c>
      <c r="D12" s="59">
        <v>19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</row>
    <row r="13" spans="1:24" x14ac:dyDescent="0.45">
      <c r="A13" s="59" t="s">
        <v>234</v>
      </c>
      <c r="B13" s="59" t="s">
        <v>182</v>
      </c>
      <c r="C13" s="59">
        <v>20</v>
      </c>
      <c r="D13" s="59">
        <v>22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</row>
    <row r="14" spans="1:24" x14ac:dyDescent="0.45">
      <c r="A14" s="59" t="s">
        <v>234</v>
      </c>
      <c r="B14" s="59" t="s">
        <v>182</v>
      </c>
      <c r="C14" s="59">
        <v>23</v>
      </c>
      <c r="D14" s="59">
        <v>50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</row>
    <row r="15" spans="1:24" x14ac:dyDescent="0.45">
      <c r="A15" s="59" t="s">
        <v>235</v>
      </c>
      <c r="B15" s="59" t="s">
        <v>164</v>
      </c>
      <c r="C15" s="59">
        <v>19</v>
      </c>
      <c r="D15" s="59">
        <v>19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</row>
    <row r="16" spans="1:24" x14ac:dyDescent="0.45">
      <c r="A16" s="59" t="s">
        <v>235</v>
      </c>
      <c r="B16" s="59" t="s">
        <v>182</v>
      </c>
      <c r="C16" s="59">
        <v>20</v>
      </c>
      <c r="D16" s="59">
        <v>22</v>
      </c>
      <c r="E16" s="61">
        <v>45658</v>
      </c>
      <c r="F16" s="61">
        <v>46174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45">
      <c r="A17" s="59" t="s">
        <v>235</v>
      </c>
      <c r="B17" s="59" t="s">
        <v>182</v>
      </c>
      <c r="C17" s="59">
        <v>23</v>
      </c>
      <c r="D17" s="59">
        <v>50</v>
      </c>
      <c r="E17" s="61">
        <v>45658</v>
      </c>
      <c r="F17" s="61">
        <v>46174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abSelected="1" workbookViewId="0">
      <selection activeCell="L19" sqref="L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229</v>
      </c>
      <c r="H3" t="s">
        <v>231</v>
      </c>
      <c r="Q3" t="s">
        <v>236</v>
      </c>
      <c r="W3" t="s">
        <v>237</v>
      </c>
    </row>
    <row r="4" spans="2:2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  <c r="Q4" s="63" t="s">
        <v>224</v>
      </c>
      <c r="R4" s="72" t="s">
        <v>238</v>
      </c>
      <c r="S4" s="72" t="s">
        <v>239</v>
      </c>
      <c r="T4" s="72" t="s">
        <v>240</v>
      </c>
      <c r="W4" s="63" t="s">
        <v>224</v>
      </c>
      <c r="X4" s="72" t="s">
        <v>238</v>
      </c>
      <c r="Y4" s="72" t="s">
        <v>239</v>
      </c>
      <c r="Z4" s="72" t="s">
        <v>240</v>
      </c>
    </row>
    <row r="5" spans="2:2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/>
      <c r="Q5" s="64" t="s">
        <v>0</v>
      </c>
      <c r="R5" s="65">
        <v>3.7384259259259255E-4</v>
      </c>
      <c r="S5" s="65">
        <v>3.7025462962962961E-4</v>
      </c>
      <c r="T5" s="65">
        <v>3.6620370370370371E-4</v>
      </c>
      <c r="W5" s="64" t="s">
        <v>0</v>
      </c>
      <c r="X5" s="65">
        <v>4.708333333333333E-4</v>
      </c>
      <c r="Y5" s="65">
        <v>4.621527777777778E-4</v>
      </c>
      <c r="Z5" s="65">
        <v>4.5300925925925928E-4</v>
      </c>
    </row>
    <row r="6" spans="2:2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/>
      <c r="Q6" s="64" t="s">
        <v>225</v>
      </c>
      <c r="R6" s="65">
        <v>8.0902777777777787E-4</v>
      </c>
      <c r="S6" s="65">
        <v>7.9837962962962968E-4</v>
      </c>
      <c r="T6" s="65">
        <v>7.869212962962962E-4</v>
      </c>
      <c r="W6" s="64" t="s">
        <v>225</v>
      </c>
      <c r="X6" s="65">
        <v>9.5381944444444442E-4</v>
      </c>
      <c r="Y6" s="65">
        <v>9.3854166666666673E-4</v>
      </c>
      <c r="Z6" s="65">
        <v>9.2199074074074069E-4</v>
      </c>
    </row>
    <row r="7" spans="2:2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/>
      <c r="Q7" s="64" t="s">
        <v>226</v>
      </c>
      <c r="R7" s="65">
        <v>5.9027777777777778E-4</v>
      </c>
      <c r="S7" s="65">
        <v>5.8495370370370374E-4</v>
      </c>
      <c r="T7" s="65">
        <v>5.7928240740740737E-4</v>
      </c>
      <c r="W7" s="64" t="s">
        <v>226</v>
      </c>
      <c r="X7" s="65">
        <v>6.9664351851851853E-4</v>
      </c>
      <c r="Y7" s="65">
        <v>6.8946759259259265E-4</v>
      </c>
      <c r="Z7" s="65">
        <v>6.8171296296296296E-4</v>
      </c>
    </row>
    <row r="8" spans="2:27" ht="15" customHeight="1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/>
      <c r="Q8" s="64" t="s">
        <v>227</v>
      </c>
      <c r="R8" s="65">
        <v>6.8726851851851859E-4</v>
      </c>
      <c r="S8" s="65">
        <v>6.7418981481481486E-4</v>
      </c>
      <c r="T8" s="65">
        <v>6.5995370370370372E-4</v>
      </c>
      <c r="W8" s="64" t="s">
        <v>227</v>
      </c>
      <c r="X8" s="65">
        <v>7.7847222222222228E-4</v>
      </c>
      <c r="Y8" s="65">
        <v>7.6828703703703694E-4</v>
      </c>
      <c r="Z8" s="65">
        <v>7.571759259259259E-4</v>
      </c>
    </row>
    <row r="9" spans="2:2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/>
      <c r="Q9" s="64" t="s">
        <v>228</v>
      </c>
      <c r="R9" s="65">
        <v>1.5266203703703705E-3</v>
      </c>
      <c r="S9" s="65">
        <v>1.5104166666666666E-3</v>
      </c>
      <c r="T9" s="65">
        <v>1.4928240740740739E-3</v>
      </c>
      <c r="W9" s="64" t="s">
        <v>228</v>
      </c>
      <c r="X9" s="65">
        <v>1.6328703703703702E-3</v>
      </c>
      <c r="Y9" s="65">
        <v>1.6271990740740741E-3</v>
      </c>
      <c r="Z9" s="65">
        <v>1.6210648148148148E-3</v>
      </c>
    </row>
    <row r="10" spans="2:2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/>
      <c r="Q10" s="64" t="s">
        <v>4</v>
      </c>
      <c r="R10" s="65">
        <v>1.6688657407407407E-3</v>
      </c>
      <c r="S10" s="65">
        <v>1.6509259259259257E-3</v>
      </c>
      <c r="T10" s="65">
        <v>1.6315972222222222E-3</v>
      </c>
      <c r="W10" s="64" t="s">
        <v>230</v>
      </c>
      <c r="X10" s="65">
        <v>1.8101851851851853E-3</v>
      </c>
      <c r="Y10" s="65">
        <v>1.7979166666666666E-3</v>
      </c>
      <c r="Z10" s="65">
        <v>1.784722222222222E-3</v>
      </c>
    </row>
    <row r="12" spans="2:27" x14ac:dyDescent="0.45">
      <c r="B12" t="s">
        <v>232</v>
      </c>
      <c r="H12" t="s">
        <v>232</v>
      </c>
      <c r="Q12" t="s">
        <v>241</v>
      </c>
      <c r="W12" t="s">
        <v>241</v>
      </c>
    </row>
    <row r="13" spans="2:2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  <c r="Q13" s="63" t="s">
        <v>224</v>
      </c>
      <c r="R13" s="72" t="s">
        <v>238</v>
      </c>
      <c r="S13" s="72" t="s">
        <v>239</v>
      </c>
      <c r="T13" s="72" t="s">
        <v>240</v>
      </c>
      <c r="W13" s="63" t="s">
        <v>224</v>
      </c>
      <c r="X13" s="72" t="s">
        <v>238</v>
      </c>
      <c r="Y13" s="72" t="s">
        <v>239</v>
      </c>
      <c r="Z13" s="72" t="s">
        <v>240</v>
      </c>
    </row>
    <row r="14" spans="2:27" x14ac:dyDescent="0.45">
      <c r="B14" s="64" t="s">
        <v>0</v>
      </c>
      <c r="C14" s="65">
        <f>C5*$F14</f>
        <v>4.5795717592592589E-4</v>
      </c>
      <c r="D14" s="65">
        <f t="shared" ref="D14:E14" si="0">D5*$F14</f>
        <v>4.5356192129629631E-4</v>
      </c>
      <c r="E14" s="65">
        <f t="shared" si="0"/>
        <v>4.4859953703703707E-4</v>
      </c>
      <c r="F14">
        <v>1.2250000000000001</v>
      </c>
      <c r="H14" s="64" t="s">
        <v>0</v>
      </c>
      <c r="I14" s="65">
        <f>I5*$L14</f>
        <v>5.7677083333333332E-4</v>
      </c>
      <c r="J14" s="65">
        <f t="shared" ref="J14:K14" si="1">J5*$L14</f>
        <v>5.6613715277777782E-4</v>
      </c>
      <c r="K14" s="65">
        <f t="shared" si="1"/>
        <v>5.5493634259259266E-4</v>
      </c>
      <c r="L14">
        <v>1.2250000000000001</v>
      </c>
      <c r="Q14" s="64" t="s">
        <v>0</v>
      </c>
      <c r="R14" s="65">
        <f>R5*$U14</f>
        <v>4.4861111111111105E-4</v>
      </c>
      <c r="S14" s="65">
        <f t="shared" ref="S14:T14" si="2">S5*$U14</f>
        <v>4.4430555555555553E-4</v>
      </c>
      <c r="T14" s="65">
        <f t="shared" si="2"/>
        <v>4.3944444444444445E-4</v>
      </c>
      <c r="U14">
        <v>1.2</v>
      </c>
      <c r="W14" s="64" t="s">
        <v>0</v>
      </c>
      <c r="X14" s="65">
        <f>X5*$AA14</f>
        <v>5.6499999999999996E-4</v>
      </c>
      <c r="Y14" s="65">
        <f t="shared" ref="Y14:Z14" si="3">Y5*$AA14</f>
        <v>5.5458333333333336E-4</v>
      </c>
      <c r="Z14" s="65">
        <f t="shared" si="3"/>
        <v>5.4361111111111114E-4</v>
      </c>
      <c r="AA14">
        <v>1.2</v>
      </c>
    </row>
    <row r="15" spans="2:27" x14ac:dyDescent="0.45">
      <c r="B15" s="64" t="s">
        <v>225</v>
      </c>
      <c r="C15" s="65">
        <f t="shared" ref="C15:E15" si="4">C6*$F15</f>
        <v>9.9105902777777799E-4</v>
      </c>
      <c r="D15" s="65">
        <f t="shared" si="4"/>
        <v>9.7801504629629649E-4</v>
      </c>
      <c r="E15" s="65">
        <f t="shared" si="4"/>
        <v>9.6397858796296292E-4</v>
      </c>
      <c r="F15">
        <v>1.2250000000000001</v>
      </c>
      <c r="H15" s="64" t="s">
        <v>225</v>
      </c>
      <c r="I15" s="65">
        <f t="shared" ref="I15:K15" si="5">I6*$L15</f>
        <v>1.1684288194444446E-3</v>
      </c>
      <c r="J15" s="65">
        <f t="shared" si="5"/>
        <v>1.1497135416666669E-3</v>
      </c>
      <c r="K15" s="65">
        <f t="shared" si="5"/>
        <v>1.1294386574074073E-3</v>
      </c>
      <c r="L15">
        <v>1.2250000000000001</v>
      </c>
      <c r="Q15" s="64" t="s">
        <v>225</v>
      </c>
      <c r="R15" s="65">
        <f t="shared" ref="R15:T15" si="6">R6*$U15</f>
        <v>9.7083333333333342E-4</v>
      </c>
      <c r="S15" s="65">
        <f t="shared" si="6"/>
        <v>9.5805555555555553E-4</v>
      </c>
      <c r="T15" s="65">
        <f t="shared" si="6"/>
        <v>9.4430555555555544E-4</v>
      </c>
      <c r="U15">
        <v>1.2</v>
      </c>
      <c r="W15" s="64" t="s">
        <v>225</v>
      </c>
      <c r="X15" s="65">
        <f t="shared" ref="X15:Z15" si="7">X6*$AA15</f>
        <v>1.1445833333333332E-3</v>
      </c>
      <c r="Y15" s="65">
        <f t="shared" si="7"/>
        <v>1.1262500000000001E-3</v>
      </c>
      <c r="Z15" s="65">
        <f t="shared" si="7"/>
        <v>1.1063888888888887E-3</v>
      </c>
      <c r="AA15">
        <v>1.2</v>
      </c>
    </row>
    <row r="16" spans="2:27" x14ac:dyDescent="0.45">
      <c r="B16" s="64" t="s">
        <v>226</v>
      </c>
      <c r="C16" s="65">
        <f t="shared" ref="C16:E16" si="8">C7*$F16</f>
        <v>7.2309027777777779E-4</v>
      </c>
      <c r="D16" s="65">
        <f t="shared" si="8"/>
        <v>7.1656828703703715E-4</v>
      </c>
      <c r="E16" s="65">
        <f t="shared" si="8"/>
        <v>7.096209490740741E-4</v>
      </c>
      <c r="F16">
        <v>1.2250000000000001</v>
      </c>
      <c r="H16" s="64" t="s">
        <v>226</v>
      </c>
      <c r="I16" s="65">
        <f t="shared" ref="I16:K16" si="9">I7*$L16</f>
        <v>8.5338831018518522E-4</v>
      </c>
      <c r="J16" s="65">
        <f t="shared" si="9"/>
        <v>8.4459780092592605E-4</v>
      </c>
      <c r="K16" s="65">
        <f t="shared" si="9"/>
        <v>8.3509837962962965E-4</v>
      </c>
      <c r="L16">
        <v>1.2250000000000001</v>
      </c>
      <c r="Q16" s="64" t="s">
        <v>226</v>
      </c>
      <c r="R16" s="65">
        <f t="shared" ref="R16:T16" si="10">R7*$U16</f>
        <v>7.0833333333333328E-4</v>
      </c>
      <c r="S16" s="65">
        <f t="shared" si="10"/>
        <v>7.0194444444444449E-4</v>
      </c>
      <c r="T16" s="65">
        <f t="shared" si="10"/>
        <v>6.951388888888888E-4</v>
      </c>
      <c r="U16">
        <v>1.2</v>
      </c>
      <c r="W16" s="64" t="s">
        <v>226</v>
      </c>
      <c r="X16" s="65">
        <f t="shared" ref="X16:Z16" si="11">X7*$AA16</f>
        <v>8.3597222222222222E-4</v>
      </c>
      <c r="Y16" s="65">
        <f t="shared" si="11"/>
        <v>8.2736111111111118E-4</v>
      </c>
      <c r="Z16" s="65">
        <f t="shared" si="11"/>
        <v>8.1805555555555548E-4</v>
      </c>
      <c r="AA16">
        <v>1.2</v>
      </c>
    </row>
    <row r="17" spans="2:27" ht="14.25" customHeight="1" x14ac:dyDescent="0.45">
      <c r="B17" s="64" t="s">
        <v>227</v>
      </c>
      <c r="C17" s="65">
        <f t="shared" ref="C17:E17" si="12">C8*$F17</f>
        <v>8.4190393518518533E-4</v>
      </c>
      <c r="D17" s="65">
        <f t="shared" si="12"/>
        <v>8.2588252314814829E-4</v>
      </c>
      <c r="E17" s="65">
        <f t="shared" si="12"/>
        <v>8.0844328703703709E-4</v>
      </c>
      <c r="F17">
        <v>1.2250000000000001</v>
      </c>
      <c r="H17" s="64" t="s">
        <v>227</v>
      </c>
      <c r="I17" s="65">
        <f t="shared" ref="I17:K17" si="13">I8*$L17</f>
        <v>9.5362847222222236E-4</v>
      </c>
      <c r="J17" s="65">
        <f t="shared" si="13"/>
        <v>9.411516203703703E-4</v>
      </c>
      <c r="K17" s="65">
        <f t="shared" si="13"/>
        <v>9.2754050925925925E-4</v>
      </c>
      <c r="L17">
        <v>1.2250000000000001</v>
      </c>
      <c r="Q17" s="64" t="s">
        <v>227</v>
      </c>
      <c r="R17" s="65">
        <f t="shared" ref="R17:T17" si="14">R8*$U17</f>
        <v>8.2472222222222224E-4</v>
      </c>
      <c r="S17" s="65">
        <f t="shared" si="14"/>
        <v>8.0902777777777776E-4</v>
      </c>
      <c r="T17" s="65">
        <f t="shared" si="14"/>
        <v>7.919444444444444E-4</v>
      </c>
      <c r="U17">
        <v>1.2</v>
      </c>
      <c r="W17" s="64" t="s">
        <v>227</v>
      </c>
      <c r="X17" s="65">
        <f t="shared" ref="X17:Z17" si="15">X8*$AA17</f>
        <v>9.341666666666667E-4</v>
      </c>
      <c r="Y17" s="65">
        <f t="shared" si="15"/>
        <v>9.2194444444444431E-4</v>
      </c>
      <c r="Z17" s="65">
        <f t="shared" si="15"/>
        <v>9.0861111111111101E-4</v>
      </c>
      <c r="AA17">
        <v>1.2</v>
      </c>
    </row>
    <row r="18" spans="2:27" x14ac:dyDescent="0.45">
      <c r="B18" s="64" t="s">
        <v>228</v>
      </c>
      <c r="C18" s="65">
        <f t="shared" ref="C18:E18" si="16">C9*$F18</f>
        <v>1.8701099537037039E-3</v>
      </c>
      <c r="D18" s="65">
        <f t="shared" si="16"/>
        <v>1.8502604166666667E-3</v>
      </c>
      <c r="E18" s="65">
        <f t="shared" si="16"/>
        <v>1.8287094907407408E-3</v>
      </c>
      <c r="F18">
        <v>1.2250000000000001</v>
      </c>
      <c r="H18" s="64" t="s">
        <v>228</v>
      </c>
      <c r="I18" s="65">
        <f t="shared" ref="I18:K18" si="17">I9*$L18</f>
        <v>2.0002662037037038E-3</v>
      </c>
      <c r="J18" s="65">
        <f t="shared" si="17"/>
        <v>1.9933188657407408E-3</v>
      </c>
      <c r="K18" s="65">
        <f t="shared" si="17"/>
        <v>1.9858043981481484E-3</v>
      </c>
      <c r="L18">
        <v>1.2250000000000001</v>
      </c>
      <c r="Q18" s="64" t="s">
        <v>228</v>
      </c>
      <c r="R18" s="65">
        <f t="shared" ref="R18:T18" si="18">R9*$U18</f>
        <v>1.8319444444444444E-3</v>
      </c>
      <c r="S18" s="65">
        <f t="shared" si="18"/>
        <v>1.8124999999999999E-3</v>
      </c>
      <c r="T18" s="65">
        <f t="shared" si="18"/>
        <v>1.7913888888888886E-3</v>
      </c>
      <c r="U18">
        <v>1.2</v>
      </c>
      <c r="W18" s="64" t="s">
        <v>228</v>
      </c>
      <c r="X18" s="65">
        <f t="shared" ref="X18:Z18" si="19">X9*$AA18</f>
        <v>1.9594444444444442E-3</v>
      </c>
      <c r="Y18" s="65">
        <f t="shared" si="19"/>
        <v>1.9526388888888887E-3</v>
      </c>
      <c r="Z18" s="65">
        <f t="shared" si="19"/>
        <v>1.9452777777777775E-3</v>
      </c>
      <c r="AA18">
        <v>1.2</v>
      </c>
    </row>
    <row r="19" spans="2:27" x14ac:dyDescent="0.45">
      <c r="B19" s="64" t="s">
        <v>4</v>
      </c>
      <c r="C19" s="65">
        <f t="shared" ref="C19:E19" si="20">C10*$F19</f>
        <v>2.0443605324074075E-3</v>
      </c>
      <c r="D19" s="65">
        <f t="shared" si="20"/>
        <v>2.0223842592592589E-3</v>
      </c>
      <c r="E19" s="65">
        <f t="shared" si="20"/>
        <v>1.9987065972222225E-3</v>
      </c>
      <c r="F19">
        <v>1.2250000000000001</v>
      </c>
      <c r="H19" s="64" t="s">
        <v>4</v>
      </c>
      <c r="I19" s="65">
        <f t="shared" ref="I19:K19" si="21">I10*$L19</f>
        <v>2.217476851851852E-3</v>
      </c>
      <c r="J19" s="65">
        <f t="shared" si="21"/>
        <v>2.2024479166666668E-3</v>
      </c>
      <c r="K19" s="65">
        <f t="shared" si="21"/>
        <v>2.1862847222222223E-3</v>
      </c>
      <c r="L19">
        <v>1.2250000000000001</v>
      </c>
      <c r="Q19" s="64" t="s">
        <v>4</v>
      </c>
      <c r="R19" s="65">
        <f t="shared" ref="R19:T19" si="22">R10*$U19</f>
        <v>2.0026388888888889E-3</v>
      </c>
      <c r="S19" s="65">
        <f t="shared" si="22"/>
        <v>1.9811111111111106E-3</v>
      </c>
      <c r="T19" s="65">
        <f t="shared" si="22"/>
        <v>1.9579166666666664E-3</v>
      </c>
      <c r="U19">
        <v>1.2</v>
      </c>
      <c r="W19" s="64" t="s">
        <v>4</v>
      </c>
      <c r="X19" s="65">
        <f t="shared" ref="X19:Z19" si="23">X10*$AA19</f>
        <v>2.1722222222222221E-3</v>
      </c>
      <c r="Y19" s="65">
        <f t="shared" si="23"/>
        <v>2.1574999999999997E-3</v>
      </c>
      <c r="Z19" s="65">
        <f t="shared" si="23"/>
        <v>2.1416666666666663E-3</v>
      </c>
      <c r="AA19">
        <v>1.2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9" t="s">
        <v>14</v>
      </c>
      <c r="B14" s="69"/>
      <c r="C14" s="69"/>
      <c r="D14" s="69"/>
      <c r="E14" s="69"/>
      <c r="F14" s="69"/>
      <c r="G14"/>
      <c r="H14" s="71" t="s">
        <v>35</v>
      </c>
      <c r="I14" s="71"/>
      <c r="J14" s="71"/>
      <c r="L14" s="71" t="s">
        <v>36</v>
      </c>
      <c r="M14"/>
      <c r="N14"/>
    </row>
    <row r="15" spans="1:14" ht="15" customHeight="1" x14ac:dyDescent="0.45">
      <c r="A15" s="69"/>
      <c r="B15" s="69"/>
      <c r="C15" s="69"/>
      <c r="D15" s="69"/>
      <c r="E15" s="69"/>
      <c r="F15" s="69"/>
      <c r="G15"/>
      <c r="H15" s="71"/>
      <c r="I15" s="71"/>
      <c r="J15" s="71"/>
      <c r="L15" s="71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2026-01-22T22:08:45Z</dcterms:modified>
</cp:coreProperties>
</file>