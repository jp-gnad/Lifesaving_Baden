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375ECEE-E765-477F-BAC4-BAC47CDEC745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" i="13" l="1"/>
  <c r="Q8" i="13"/>
  <c r="P8" i="13"/>
  <c r="O8" i="13"/>
  <c r="N8" i="13"/>
  <c r="R7" i="13"/>
  <c r="Q7" i="13"/>
  <c r="P7" i="13"/>
  <c r="O7" i="13"/>
  <c r="N7" i="13"/>
  <c r="M7" i="13"/>
  <c r="M8" i="13"/>
  <c r="K19" i="14"/>
  <c r="J19" i="14"/>
  <c r="I19" i="14"/>
  <c r="K18" i="14"/>
  <c r="J18" i="14"/>
  <c r="I18" i="14"/>
  <c r="K17" i="14"/>
  <c r="J17" i="14"/>
  <c r="I17" i="14"/>
  <c r="K16" i="14"/>
  <c r="J16" i="14"/>
  <c r="I16" i="14"/>
  <c r="K15" i="14"/>
  <c r="J15" i="14"/>
  <c r="I15" i="14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<sst xmlns="http://schemas.openxmlformats.org/spreadsheetml/2006/main" count="662" uniqueCount="236">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</sst>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"/>
  <sheetViews>
    <sheetView tabSelected="1" topLeftCell="H1" workbookViewId="0">
      <selection activeCell="M9" sqref="M9:R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17</v>
      </c>
      <c r="D4" s="59">
        <v>17</v>
      </c>
      <c r="E4" s="61">
        <v>45658</v>
      </c>
      <c r="F4" s="61">
        <v>46022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4.0282407407407411E-4</v>
      </c>
      <c r="N4" s="62">
        <f>Tabelle1!E16</f>
        <v>6.3721064814814814E-4</v>
      </c>
      <c r="O4" s="62">
        <f>Tabelle1!E15</f>
        <v>8.6561342592592593E-4</v>
      </c>
      <c r="P4" s="62">
        <f>Tabelle1!E17</f>
        <v>7.2594907407407417E-4</v>
      </c>
      <c r="Q4" s="62">
        <f>Tabelle1!E19</f>
        <v>1.7947569444444445E-3</v>
      </c>
      <c r="R4" s="62">
        <f>Tabelle1!E18</f>
        <v>1.6421064814814814E-3</v>
      </c>
      <c r="S4" s="62"/>
      <c r="T4" s="62"/>
      <c r="U4" s="62"/>
      <c r="V4" s="62"/>
      <c r="W4" s="62"/>
      <c r="X4" s="62"/>
    </row>
    <row r="5" spans="1:24" x14ac:dyDescent="0.45">
      <c r="A5" s="59" t="s">
        <v>231</v>
      </c>
      <c r="B5" s="59" t="s">
        <v>182</v>
      </c>
      <c r="C5" s="59">
        <v>16</v>
      </c>
      <c r="D5" s="59">
        <v>16</v>
      </c>
      <c r="E5" s="61">
        <v>45658</v>
      </c>
      <c r="F5" s="61">
        <v>46022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4.072800925925926E-4</v>
      </c>
      <c r="N5" s="62">
        <f>Tabelle1!D16</f>
        <v>6.4344907407407417E-4</v>
      </c>
      <c r="O5" s="62">
        <f>Tabelle1!D15</f>
        <v>8.7821759259259276E-4</v>
      </c>
      <c r="P5" s="62">
        <f>Tabelle1!D17</f>
        <v>7.4160879629629642E-4</v>
      </c>
      <c r="Q5" s="62">
        <f>Tabelle1!D19</f>
        <v>1.8160185185185185E-3</v>
      </c>
      <c r="R5" s="62">
        <f>Tabelle1!D18</f>
        <v>1.6614583333333334E-3</v>
      </c>
      <c r="S5" s="62"/>
      <c r="T5" s="62"/>
      <c r="U5" s="62"/>
      <c r="V5" s="62"/>
      <c r="W5" s="62"/>
      <c r="X5" s="62"/>
    </row>
    <row r="6" spans="1:24" x14ac:dyDescent="0.45">
      <c r="A6" s="59" t="s">
        <v>231</v>
      </c>
      <c r="B6" s="59" t="s">
        <v>182</v>
      </c>
      <c r="C6" s="59">
        <v>12</v>
      </c>
      <c r="D6" s="59">
        <v>15</v>
      </c>
      <c r="E6" s="61">
        <v>45658</v>
      </c>
      <c r="F6" s="61">
        <v>46022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4.1122685185185186E-4</v>
      </c>
      <c r="N6" s="62">
        <f>Tabelle1!C16</f>
        <v>6.4930555555555564E-4</v>
      </c>
      <c r="O6" s="62">
        <f>Tabelle1!C15</f>
        <v>8.899305555555557E-4</v>
      </c>
      <c r="P6" s="62">
        <f>Tabelle1!C17</f>
        <v>7.5599537037037052E-4</v>
      </c>
      <c r="Q6" s="62">
        <f>Tabelle1!C19</f>
        <v>1.835752314814815E-3</v>
      </c>
      <c r="R6" s="62">
        <f>Tabelle1!C18</f>
        <v>1.6792824074074075E-3</v>
      </c>
      <c r="S6" s="62"/>
      <c r="T6" s="62"/>
      <c r="U6" s="62"/>
      <c r="V6" s="62"/>
      <c r="W6" s="62"/>
      <c r="X6" s="62"/>
    </row>
    <row r="7" spans="1:24" x14ac:dyDescent="0.45">
      <c r="A7" s="59" t="s">
        <v>235</v>
      </c>
      <c r="B7" s="59" t="s">
        <v>164</v>
      </c>
      <c r="C7" s="59">
        <v>17</v>
      </c>
      <c r="D7" s="59">
        <v>17</v>
      </c>
      <c r="E7" s="61">
        <v>45658</v>
      </c>
      <c r="F7" s="61">
        <v>46022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/>
      <c r="T7" s="62"/>
      <c r="U7" s="62"/>
      <c r="V7" s="62"/>
      <c r="W7" s="62"/>
      <c r="X7" s="62"/>
    </row>
    <row r="8" spans="1:24" x14ac:dyDescent="0.45">
      <c r="A8" s="59" t="s">
        <v>235</v>
      </c>
      <c r="B8" s="59" t="s">
        <v>164</v>
      </c>
      <c r="C8" s="59">
        <v>16</v>
      </c>
      <c r="D8" s="59">
        <v>16</v>
      </c>
      <c r="E8" s="61">
        <v>45658</v>
      </c>
      <c r="F8" s="61">
        <v>46022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/>
      <c r="T8" s="62"/>
      <c r="U8" s="62"/>
      <c r="V8" s="62"/>
      <c r="W8" s="62"/>
      <c r="X8" s="62"/>
    </row>
    <row r="9" spans="1:24" x14ac:dyDescent="0.45">
      <c r="A9" s="59" t="s">
        <v>235</v>
      </c>
      <c r="B9" s="59" t="s">
        <v>164</v>
      </c>
      <c r="C9" s="59">
        <v>12</v>
      </c>
      <c r="D9" s="59">
        <v>15</v>
      </c>
      <c r="E9" s="61">
        <v>45658</v>
      </c>
      <c r="F9" s="61">
        <v>46022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v>5.1791666666666663E-4</v>
      </c>
      <c r="N9" s="62">
        <v>7.6630787037037043E-4</v>
      </c>
      <c r="O9" s="62">
        <v>1.049201388888889E-3</v>
      </c>
      <c r="P9" s="62">
        <v>8.563194444444446E-4</v>
      </c>
      <c r="Q9" s="62">
        <v>1.9912037037037038E-3</v>
      </c>
      <c r="R9" s="62">
        <v>1.7961574074074073E-3</v>
      </c>
      <c r="S9" s="62"/>
      <c r="T9" s="62"/>
      <c r="U9" s="62"/>
      <c r="V9" s="62"/>
      <c r="W9" s="62"/>
      <c r="X9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13" sqref="H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1.1000000000000001</v>
      </c>
      <c r="H12" t="s">
        <v>234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4.1122685185185186E-4</v>
      </c>
      <c r="D14" s="65">
        <f t="shared" ref="D14:E14" si="0">D5*$F$12</f>
        <v>4.072800925925926E-4</v>
      </c>
      <c r="E14" s="65">
        <f t="shared" si="0"/>
        <v>4.0282407407407411E-4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8.899305555555557E-4</v>
      </c>
      <c r="D15" s="65">
        <f t="shared" si="2"/>
        <v>8.7821759259259276E-4</v>
      </c>
      <c r="E15" s="65">
        <f t="shared" si="2"/>
        <v>8.6561342592592593E-4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6.4930555555555564E-4</v>
      </c>
      <c r="D16" s="65">
        <f t="shared" si="4"/>
        <v>6.4344907407407417E-4</v>
      </c>
      <c r="E16" s="65">
        <f t="shared" si="4"/>
        <v>6.3721064814814814E-4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7.5599537037037052E-4</v>
      </c>
      <c r="D17" s="65">
        <f t="shared" si="6"/>
        <v>7.4160879629629642E-4</v>
      </c>
      <c r="E17" s="65">
        <f t="shared" si="6"/>
        <v>7.2594907407407417E-4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1.6792824074074075E-3</v>
      </c>
      <c r="D18" s="65">
        <f t="shared" si="8"/>
        <v>1.6614583333333334E-3</v>
      </c>
      <c r="E18" s="65">
        <f t="shared" si="8"/>
        <v>1.6421064814814814E-3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1.835752314814815E-3</v>
      </c>
      <c r="D19" s="65">
        <f t="shared" si="8"/>
        <v>1.8160185185185185E-3</v>
      </c>
      <c r="E19" s="65">
        <f t="shared" si="8"/>
        <v>1.7947569444444445E-3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7" t="s">
        <v>14</v>
      </c>
      <c r="B14" s="67"/>
      <c r="C14" s="67"/>
      <c r="D14" s="67"/>
      <c r="E14" s="67"/>
      <c r="F14" s="67"/>
      <c r="G14"/>
      <c r="H14" s="69" t="s">
        <v>35</v>
      </c>
      <c r="I14" s="69"/>
      <c r="J14" s="69"/>
      <c r="L14" s="69" t="s">
        <v>36</v>
      </c>
      <c r="M14"/>
      <c r="N14"/>
    </row>
    <row r="15" spans="1:14" ht="15" customHeight="1" x14ac:dyDescent="0.45">
      <c r="A15" s="67"/>
      <c r="B15" s="67"/>
      <c r="C15" s="67"/>
      <c r="D15" s="67"/>
      <c r="E15" s="67"/>
      <c r="F15" s="67"/>
      <c r="G15"/>
      <c r="H15" s="69"/>
      <c r="I15" s="69"/>
      <c r="J15" s="69"/>
      <c r="L15" s="69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7" t="s">
        <v>14</v>
      </c>
      <c r="B14" s="67"/>
      <c r="C14" s="67"/>
      <c r="D14" s="67"/>
      <c r="E14" s="67"/>
      <c r="F14" s="67"/>
      <c r="H14" s="69" t="s">
        <v>35</v>
      </c>
      <c r="I14" s="69"/>
      <c r="J14" s="69"/>
      <c r="L14" s="69" t="s">
        <v>36</v>
      </c>
      <c r="M14"/>
    </row>
    <row r="15" spans="1:14" x14ac:dyDescent="0.45">
      <c r="A15" s="67"/>
      <c r="B15" s="67"/>
      <c r="C15" s="67"/>
      <c r="D15" s="67"/>
      <c r="E15" s="67"/>
      <c r="F15" s="67"/>
      <c r="H15" s="69"/>
      <c r="I15" s="69"/>
      <c r="J15" s="69"/>
      <c r="L15" s="69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8" t="s">
        <v>13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</row>
    <row r="8" spans="1:14" x14ac:dyDescent="0.45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7" t="s">
        <v>14</v>
      </c>
      <c r="B14" s="67"/>
      <c r="C14" s="67"/>
      <c r="D14" s="67"/>
      <c r="E14" s="67"/>
      <c r="F14" s="67"/>
      <c r="H14" s="69" t="s">
        <v>35</v>
      </c>
      <c r="I14" s="69"/>
      <c r="J14" s="69"/>
      <c r="L14" s="69" t="s">
        <v>36</v>
      </c>
      <c r="M14"/>
    </row>
    <row r="15" spans="1:14" x14ac:dyDescent="0.45">
      <c r="A15" s="67"/>
      <c r="B15" s="67"/>
      <c r="C15" s="67"/>
      <c r="D15" s="67"/>
      <c r="E15" s="67"/>
      <c r="F15" s="67"/>
      <c r="H15" s="69"/>
      <c r="I15" s="69"/>
      <c r="J15" s="69"/>
      <c r="L15" s="69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2026-01-20T04:22:25Z</dcterms:modified>
</cp:coreProperties>
</file>