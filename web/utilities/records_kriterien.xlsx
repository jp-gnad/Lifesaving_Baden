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A0489CCE-582F-484D-8CE0-9B1CBC53C743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Tabelle1" sheetId="14" r:id="rId8"/>
    <sheet name="2024" sheetId="6" r:id="rId9"/>
    <sheet name="2025" sheetId="5" r:id="rId10"/>
    <sheet name="2026" sheetId="8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9" i="13" l="1"/>
  <c r="P9" i="13"/>
  <c r="N9" i="13"/>
  <c r="M9" i="13"/>
  <c r="O7" i="13"/>
  <c r="M7" i="13"/>
  <c r="M8" i="13"/>
  <c r="K19" i="14"/>
  <c r="Q7" i="13" s="1"/>
  <c r="J19" i="14"/>
  <c r="Q8" i="13" s="1"/>
  <c r="I19" i="14"/>
  <c r="K18" i="14"/>
  <c r="R7" i="13" s="1"/>
  <c r="J18" i="14"/>
  <c r="R8" i="13" s="1"/>
  <c r="I18" i="14"/>
  <c r="R9" i="13" s="1"/>
  <c r="K17" i="14"/>
  <c r="P7" i="13" s="1"/>
  <c r="J17" i="14"/>
  <c r="P8" i="13" s="1"/>
  <c r="I17" i="14"/>
  <c r="K16" i="14"/>
  <c r="N7" i="13" s="1"/>
  <c r="J16" i="14"/>
  <c r="N8" i="13" s="1"/>
  <c r="I16" i="14"/>
  <c r="K15" i="14"/>
  <c r="J15" i="14"/>
  <c r="O8" i="13" s="1"/>
  <c r="I15" i="14"/>
  <c r="O9" i="13" s="1"/>
  <c r="K14" i="14"/>
  <c r="J14" i="14"/>
  <c r="I14" i="14"/>
  <c r="O6" i="13"/>
  <c r="E19" i="14"/>
  <c r="Q4" i="13" s="1"/>
  <c r="D19" i="14"/>
  <c r="Q5" i="13" s="1"/>
  <c r="C19" i="14"/>
  <c r="Q6" i="13" s="1"/>
  <c r="P4" i="13"/>
  <c r="C15" i="14"/>
  <c r="D15" i="14"/>
  <c r="O5" i="13" s="1"/>
  <c r="E15" i="14"/>
  <c r="O4" i="13" s="1"/>
  <c r="C16" i="14"/>
  <c r="N6" i="13" s="1"/>
  <c r="D16" i="14"/>
  <c r="N5" i="13" s="1"/>
  <c r="E16" i="14"/>
  <c r="N4" i="13" s="1"/>
  <c r="C17" i="14"/>
  <c r="P6" i="13" s="1"/>
  <c r="D17" i="14"/>
  <c r="P5" i="13" s="1"/>
  <c r="E17" i="14"/>
  <c r="C18" i="14"/>
  <c r="R6" i="13" s="1"/>
  <c r="D18" i="14"/>
  <c r="R5" i="13" s="1"/>
  <c r="E18" i="14"/>
  <c r="R4" i="13" s="1"/>
  <c r="D14" i="14"/>
  <c r="M5" i="13" s="1"/>
  <c r="E14" i="14"/>
  <c r="M4" i="13" s="1"/>
  <c r="C14" i="14"/>
  <c r="M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<sst xmlns="http://schemas.openxmlformats.org/spreadsheetml/2006/main" count="662" uniqueCount="236">
  <si>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</si>
  <si>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</si>
  <si>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</si>
  <si>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</si>
  <si>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</si>
  <si>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</si>
  <si>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</si>
  <si>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</si>
  <si>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</si>
  <si>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</si>
  <si>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</si>
  <si>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</si>
  <si>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</si>
  <si>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</si>
  <si>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</si>
  <si>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</si>
  <si>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</si>
  <si>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</si>
  <si>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</si>
  <si>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</si>
  <si>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</si>
  <si>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</si>
  <si>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</si>
  <si>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</si>
  <si>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</si>
  <si>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</si>
  <si>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</si>
  <si>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</si>
  <si>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</si>
  <si>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</si>
  <si>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</si>
  <si>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</si>
  <si>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</si>
  <si>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</si>
  <si>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</si>
  <si>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</si>
  <si>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</si>
  <si>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</si>
  <si>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</si>
  <si>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</si>
  <si>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</si>
  <si>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</si>
  <si>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</si>
  <si>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</si>
  <si>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</si>
  <si>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</si>
  <si>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</si>
  <si>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</si>
  <si>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</si>
  <si>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</si>
  <si>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</si>
  <si>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</si>
  <si>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</si>
  <si>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</si>
  <si>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</si>
  <si>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</si>
  <si>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</si>
  <si>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</si>
  <si>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</si>
  <si>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</si>
  <si>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</si>
  <si>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</si>
  <si>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</si>
  <si>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</si>
  <si>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</si>
  <si>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</si>
  <si>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</si>
  <si>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</si>
  <si>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</si>
  <si>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</si>
  <si>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</si>
  <si>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</si>
  <si>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</si>
  <si>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</si>
  <si>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</si>
  <si>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</si>
  <si>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</si>
  <si>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</si>
  <si>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</si>
  <si>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</si>
  <si>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</si>
  <si>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</si>
  <si>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</si>
  <si>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</si>
  <si>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</si>
  <si>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</si>
  <si>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</si>
  <si>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</si>
  <si>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</si>
  <si>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</si>
  <si>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</si>
  <si>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</si>
  <si>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</si>
  <si>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</si>
  <si>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</si>
  <si>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</si>
  <si>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</si>
  <si>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</si>
  <si>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</si>
  <si>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</si>
  <si>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</si>
  <si>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</si>
  <si>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</si>
  <si>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</si>
  <si>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</si>
  <si>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</si>
  <si>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</si>
  <si>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</si>
  <si>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</si>
  <si>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</si>
  <si>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</si>
  <si>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</si>
  <si>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</si>
  <si>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</si>
  <si>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</si>
  <si>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</si>
  <si>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</si>
  <si>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</si>
  <si>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</si>
  <si>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</si>
  <si>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</si>
  <si>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</si>
  <si>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</si>
  <si>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</si>
  <si>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</si>
  <si>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</si>
  <si>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</si>
  <si>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</si>
  <si>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</si>
  <si>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</si>
  <si>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</si>
  <si>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</si>
  <si>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</si>
  <si>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</si>
  <si>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</si>
  <si>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</si>
  <si>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</si>
  <si>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</si>
  <si>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</si>
  <si>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</si>
  <si>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</si>
  <si>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</si>
  <si>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</si>
  <si>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</si>
  <si>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</si>
  <si>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</si>
  <si>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</si>
  <si>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</si>
  <si>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</si>
  <si>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</si>
  <si>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</si>
  <si>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</si>
  <si>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</si>
  <si>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</si>
  <si>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</si>
  <si>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</si>
  <si>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</si>
  <si>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</si>
  <si>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</si>
  <si>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</si>
  <si>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</si>
  <si>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</si>
  <si>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</si>
  <si>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</si>
  <si>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</si>
  <si>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</si>
  <si>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</si>
  <si>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</si>
  <si>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</si>
  <si>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</si>
  <si>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</si>
  <si>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</si>
  <si>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</si>
  <si>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</si>
  <si>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</si>
  <si>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</si>
  <si>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</si>
  <si>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</si>
  <si>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</si>
  <si>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</si>
  <si>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</si>
  <si>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</si>
  <si>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</si>
  <si>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</si>
  <si>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</si>
  <si>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</si>
  <si>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</si>
  <si>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</si>
  <si>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1.1.Jahr - 1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</si>
  <si>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</si>
  <si>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</si>
  <si>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</si>
  <si>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</si>
  <si>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</si>
  <si>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</si>
  <si>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</si>
  <si>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</si>
  <si>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26.7.Jahr - 1</t>
  </si>
  <si>
    <t>1.1.Jahr</t>
  </si>
  <si>
    <t>Weiblich (2026 findet kein DP statt)</t>
  </si>
  <si>
    <t>Männlich (2026 findet kein DP statt)</t>
  </si>
  <si>
    <t>Lara Ramackers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</si>
  <si>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</si>
  <si>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</si>
  <si>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</si>
  <si>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</si>
  <si>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</si>
  <si>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</si>
  <si>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</si>
  <si>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</si>
  <si>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</si>
  <si>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</si>
  <si>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</si>
  <si>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</si>
  <si>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</si>
  <si>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</t>
  </si>
  <si>
    <t>Männlich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</si>
  <si>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</si>
  <si>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</si>
  <si>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</si>
  <si>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</si>
  <si>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</si>
  <si>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</si>
  <si>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</si>
  <si>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</si>
  <si>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</si>
  <si>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</si>
  <si>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</si>
  <si>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</si>
  <si>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</si>
  <si>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NK2 +10% M</t>
  </si>
  <si>
    <t>NK2-M (10%Test)</t>
  </si>
  <si>
    <t>200m Super Lifesaver</t>
  </si>
  <si>
    <t>NK2 Orginal W</t>
  </si>
  <si>
    <t>NK2 +10% W</t>
  </si>
  <si>
    <t>NK2-W (10%Test)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</si>
</sst>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194"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3" headerRowBorderDxfId="192" tableBorderDxfId="191">
  <autoFilter ref="A4:AW31" xr:uid="{2C5E83EE-6B6F-478A-9C90-A846A1A76536}"/>
  <tableColumns count="49">
    <tableColumn id="1" xr3:uid="{7C0C4105-A61A-4B8D-9129-EDC4F18765AF}" name="WR-Open" dataDxfId="190">
      <calculatedColumnFormula>A4+1</calculatedColumnFormula>
    </tableColumn>
    <tableColumn id="2" xr3:uid="{516F5612-F85F-413F-9012-E235F415E34B}" name="50m Retten - offen - W" dataDxfId="189"/>
    <tableColumn id="3" xr3:uid="{BC9ACAC9-0D45-42FD-B596-D19FBE3A4D83}" name="100m Retten - offen - W" dataDxfId="188"/>
    <tableColumn id="4" xr3:uid="{CB6DBE59-EB65-43F0-93E7-0BDC3F82832B}" name="100m Kombi - offen - W" dataDxfId="187"/>
    <tableColumn id="5" xr3:uid="{AA603C60-6831-4C14-A8CD-0AA050DA7551}" name="100m Lifesaver - offen - W" dataDxfId="186"/>
    <tableColumn id="6" xr3:uid="{7920F147-7717-4582-940A-2610F7D310CA}" name="200m Superlifesaver - offen - W" dataDxfId="185"/>
    <tableColumn id="7" xr3:uid="{04E21F1D-AC8D-4A1B-9B43-59B8F7901673}" name="200m Hindernis - offen - W" dataDxfId="184"/>
    <tableColumn id="8" xr3:uid="{40E8A083-653A-48A8-9B37-0A2D850B7829}" name="50m Retten - offen - M" dataDxfId="183"/>
    <tableColumn id="9" xr3:uid="{863824A9-134F-4189-BB14-225AE224FC44}" name="100m Retten - offen - M" dataDxfId="182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1"/>
    <tableColumn id="14" xr3:uid="{FA907992-7FCE-4CAD-8CF2-F5BEBC9B3756}" name="50m Retten - 17/18 - W" dataDxfId="180"/>
    <tableColumn id="15" xr3:uid="{76B63DC0-CB67-48F4-9B5A-D22902F59334}" name="100m Retten - 17/18 - W" dataDxfId="179"/>
    <tableColumn id="16" xr3:uid="{614A2419-51B1-44C0-8469-ADBFB078B81A}" name="100m Kombi -17/18 - W" dataDxfId="178"/>
    <tableColumn id="17" xr3:uid="{2EC953EE-367D-4524-A25E-8DE3B8168E34}" name="100m Lifesaver - 17/18 - W" dataDxfId="177"/>
    <tableColumn id="18" xr3:uid="{25711867-9BD7-4197-9094-A21392411249}" name="200m Superlifesaver - 17/18 - W" dataDxfId="176"/>
    <tableColumn id="19" xr3:uid="{262DB142-CFB1-45C3-9332-7273CACD1B62}" name="200m Hindernis - 17/18 - W" dataDxfId="175"/>
    <tableColumn id="20" xr3:uid="{938BA45A-8244-4637-8A14-DF49CD91A945}" name="50m Retten - 17/18 - M" dataDxfId="174"/>
    <tableColumn id="21" xr3:uid="{737E28D8-900F-4A98-95FE-EE7B0AFDEE90}" name="100m Retten - 17/18 - M" dataDxfId="173"/>
    <tableColumn id="22" xr3:uid="{330BD3A8-061C-45E2-ADDB-40C2F346772F}" name="100m Kombi - 17/18 - M" dataDxfId="172"/>
    <tableColumn id="23" xr3:uid="{0CADDE90-A167-4E1D-8D33-8624E5E1A4E2}" name="100m Lifesaver - 17/18 - M" dataDxfId="171"/>
    <tableColumn id="24" xr3:uid="{FCF9F42C-1291-4985-9D37-B9DE2DAA5DCB}" name="200m Superlifesaver - 17/18 - M" dataDxfId="170"/>
    <tableColumn id="25" xr3:uid="{4E5397B2-F924-4F48-AE69-AF6D650AF88D}" name="200m Hindernis - 17/18 - M" dataDxfId="169"/>
    <tableColumn id="26" xr3:uid="{0A78315A-BFDC-43EE-A66F-48B301F66508}" name="50m Retten - 15/16 - W" dataDxfId="168"/>
    <tableColumn id="27" xr3:uid="{D3FCF8BD-6C76-450D-80C0-CC0519A79731}" name="100m Retten - 15/16 - W" dataDxfId="167"/>
    <tableColumn id="28" xr3:uid="{6BE7937E-D62D-47CD-95DE-1730304B0DF3}" name="100m Kombi - 15/16 - W" dataDxfId="166"/>
    <tableColumn id="29" xr3:uid="{098BA5BE-5AF6-4187-89B6-534498F24C51}" name="100m Lifesaver -  15/16 - W" dataDxfId="165"/>
    <tableColumn id="30" xr3:uid="{2A6822CF-143C-4BF7-A440-5777527BE512}" name="200m Superlifesaver -  15/16 - W" dataDxfId="164"/>
    <tableColumn id="31" xr3:uid="{541C7145-CDEA-4E4E-9E7A-A4F05BA6C3E5}" name="200m Hindernis -  15/16 - W" dataDxfId="163"/>
    <tableColumn id="32" xr3:uid="{342C4488-8C61-42E6-87A9-C75BD8EB7452}" name="50m Retten - 15/16 - M" dataDxfId="162"/>
    <tableColumn id="33" xr3:uid="{857B1D46-7D20-47F7-AB9B-732D50346E32}" name="100m Retten - 15/16 - M" dataDxfId="161"/>
    <tableColumn id="34" xr3:uid="{4C8A2EB4-804B-45F1-A768-9A6958957F8B}" name="100m Kombi -15/16 - M" dataDxfId="160"/>
    <tableColumn id="35" xr3:uid="{26C75B4F-21EC-4EB0-A9A9-54BC80140672}" name="100m Lifesaver - 15/16 - M" dataDxfId="159"/>
    <tableColumn id="36" xr3:uid="{DBBB2A23-1A06-429A-A5D1-A547EF5EC16F}" name="200m Superlifesaver - 15/16 - M" dataDxfId="158"/>
    <tableColumn id="37" xr3:uid="{84061231-CAE5-427A-87F5-6DDBA99F77D2}" name="200m Hindernis - 15/16 - M" dataDxfId="157"/>
    <tableColumn id="38" xr3:uid="{878CCA80-A742-4B3C-90C9-E93BB814201B}" name="50m Retten - 13/14 - W" dataDxfId="156"/>
    <tableColumn id="39" xr3:uid="{A1F57102-61CF-4784-8DE2-0B8F32D5D699}" name="50m Retten mit Flossen - 13/14 - W" dataDxfId="155"/>
    <tableColumn id="40" xr3:uid="{0F6BAF78-3D79-42A9-9FED-E6D0E335A920}" name="100m Hindernis - 13/14 - W" dataDxfId="154"/>
    <tableColumn id="41" xr3:uid="{EB748A68-E10D-4D76-B315-8FDB3AC33C8D}" name="50m Retten - 13/14 - M" dataDxfId="153"/>
    <tableColumn id="42" xr3:uid="{C7B04167-6430-40F0-9A0F-D0D0BE2F9C77}" name="50m Retten mit Flossen - 13/14 - M" dataDxfId="152"/>
    <tableColumn id="43" xr3:uid="{48704BB7-A853-445A-8CDC-8D8F86C2B66A}" name="100m Hindernis - 13/14 - M" dataDxfId="151"/>
    <tableColumn id="44" xr3:uid="{9605FE9A-F41C-4A5F-A59C-B7A9D45C460F}" name="50m Flossen - 12 - W" dataDxfId="150"/>
    <tableColumn id="45" xr3:uid="{4C9DBF61-35B1-4BC2-8272-526E0AFAAFFB}" name="50m komb. Schwimmen - 12 - W" dataDxfId="149"/>
    <tableColumn id="46" xr3:uid="{CF433C95-C272-48F9-98CD-7E3C8DBB6F2C}" name="50m Hindernis - 12 - W" dataDxfId="148"/>
    <tableColumn id="47" xr3:uid="{FADB7411-DB43-4B14-B9E8-D74CA1BA18B8}" name="50m Flossen - 12 - M" dataDxfId="147"/>
    <tableColumn id="48" xr3:uid="{02936F84-1D82-48AC-8D7C-6D2954D68A06}" name="50m komb. Schwimmen - 12 - M" dataDxfId="146"/>
    <tableColumn id="49" xr3:uid="{7FD9BD11-0597-4E07-8DA5-DB53384197F5}" name="50m Hindernis - 12 - M" dataDxfId="145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44" dataDxfId="142" headerRowBorderDxfId="143" tableBorderDxfId="141">
  <autoFilter ref="A4:M32" xr:uid="{4234D44E-A2BE-4790-B589-1A8CC19B714E}"/>
  <tableColumns count="13">
    <tableColumn id="1" xr3:uid="{848E691A-41B0-42DD-B122-FB6DF43CB3EF}" name="WR-Youth" dataDxfId="140"/>
    <tableColumn id="2" xr3:uid="{2FE43F18-485B-46A9-8946-FBC5FDAE5A8E}" name="50m Retten" dataDxfId="139"/>
    <tableColumn id="3" xr3:uid="{CA5C3ABF-02E6-442B-868B-95B293B231D3}" name="100m Retten" dataDxfId="138"/>
    <tableColumn id="4" xr3:uid="{7A6BBA52-2145-464D-8C04-B2CCFC1A90DC}" name="100m Kombi" dataDxfId="137"/>
    <tableColumn id="5" xr3:uid="{21F420C9-E788-49EE-88F6-E37963ED31CF}" name="100m Lifesaver" dataDxfId="136"/>
    <tableColumn id="6" xr3:uid="{CB87B7CD-8A9C-4775-A4D7-4D267F43FD1A}" name="200m Superlifesaver" dataDxfId="135"/>
    <tableColumn id="7" xr3:uid="{2DC7F290-B564-4851-85AE-D211DA701B32}" name="200m Hindernis" dataDxfId="134"/>
    <tableColumn id="8" xr3:uid="{8112783D-8796-4D6A-8414-AC675D745697}" name="50m Retten2" dataDxfId="133"/>
    <tableColumn id="9" xr3:uid="{4E818CD4-8725-495D-9D1D-1AFCED9181F5}" name="100m Retten2" dataDxfId="132"/>
    <tableColumn id="10" xr3:uid="{28C05A91-E302-40A9-B50A-ECF997F129FC}" name="100m Kombi2" dataDxfId="131"/>
    <tableColumn id="11" xr3:uid="{D56FB9F2-45BF-4EC9-A84C-8A5FB59F2F05}" name="100m Lifesaver2" dataDxfId="130"/>
    <tableColumn id="12" xr3:uid="{540169C0-2A40-4794-A872-F7DF8A887BF2}" name="200m Superlifesaver2" dataDxfId="129"/>
    <tableColumn id="13" xr3:uid="{D104CB67-B55A-4C81-87E5-0AC758DD22A4}" name="200m Hindernis2" dataDxfId="128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27" headerRowBorderDxfId="126" tableBorderDxfId="125">
  <autoFilter ref="A4:M32" xr:uid="{E2D2F97B-7645-4066-8AB3-F35CF6E035EB}"/>
  <tableColumns count="13">
    <tableColumn id="1" xr3:uid="{AE73402B-B27E-4B29-8DCF-30B7FC1855EF}" name="WR-Open" dataDxfId="124">
      <calculatedColumnFormula>A4+1</calculatedColumnFormula>
    </tableColumn>
    <tableColumn id="2" xr3:uid="{EA3EAC1F-184E-4A28-B3E3-08DE12F138EF}" name="50m Retten" dataDxfId="123"/>
    <tableColumn id="3" xr3:uid="{E0305A3F-6087-4F8C-8B64-153E1ACAA32E}" name="100m Retten" dataDxfId="122"/>
    <tableColumn id="4" xr3:uid="{F0B7AC37-315E-49AA-855C-7955D2B43A76}" name="100m Kombi" dataDxfId="121"/>
    <tableColumn id="5" xr3:uid="{B5E690AB-DB7D-4864-8916-89D2A68C4128}" name="100m Lifesaver" dataDxfId="120"/>
    <tableColumn id="6" xr3:uid="{D89BAF4D-36AE-4C73-9320-9C5736F02F8A}" name="200m Superlifesaver" dataDxfId="119"/>
    <tableColumn id="7" xr3:uid="{58AE7517-1A90-459F-A7D2-B95265D217E7}" name="200m Hindernis" dataDxfId="118"/>
    <tableColumn id="8" xr3:uid="{13A189FB-E897-4A1F-A001-525F61E9CFFF}" name="50m Retten2" dataDxfId="117"/>
    <tableColumn id="9" xr3:uid="{36418AC5-46B8-400F-BD2E-D329CF4F92CD}" name="100m Retten2" dataDxfId="116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15" dataDxfId="114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3"/>
    <tableColumn id="2" xr3:uid="{2F302F6C-F8AF-4FDE-AB08-6F30F9671015}" name="Geschlecht" dataDxfId="112"/>
    <tableColumn id="3" xr3:uid="{4D91FBF9-386D-43DD-90D0-B49823FDB629}" name="Mindest alter" dataDxfId="111"/>
    <tableColumn id="4" xr3:uid="{4126AAC6-AF2F-446C-B4EA-D86ACFD9FAC2}" name="Maximales Alter" dataDxfId="110"/>
    <tableColumn id="5" xr3:uid="{8A10890A-A299-4B09-AC72-0E9AE9238AF3}" name="Qualizeitraum anfang" dataDxfId="109"/>
    <tableColumn id="6" xr3:uid="{FBCD1C13-FC82-429B-8DE1-0C5A455FDAB8}" name="Qualizeitraum Ende" dataDxfId="108"/>
    <tableColumn id="7" xr3:uid="{1DCCAC9B-BC46-468E-A3CE-57576C2FF11D}" name="Letzter Wettkampf am" dataDxfId="107"/>
    <tableColumn id="8" xr3:uid="{9A6E47EE-ABD8-4A1E-87D3-9D286E4C124F}" name="Wertung" dataDxfId="106"/>
    <tableColumn id="9" xr3:uid="{09E848D2-ED17-49C7-9775-CBF17D20DFC0}" name="Landesverband" dataDxfId="105"/>
    <tableColumn id="10" xr3:uid="{70ABB713-23F6-4FCF-920E-3CB0CD451446}" name="OMS" dataDxfId="104"/>
    <tableColumn id="11" xr3:uid="{9C108A1C-E6AB-4C13-9C1D-0FA8944A39A3}" name="Pool-Länge" dataDxfId="103"/>
    <tableColumn id="12" xr3:uid="{087948DD-430D-48F1-906D-4F4EF4B46053}" name="Regelwerk" dataDxfId="102"/>
    <tableColumn id="13" xr3:uid="{BF42D9C0-F77D-4971-A67E-32B0246C72C3}" name="Referenz" dataDxfId="101"/>
    <tableColumn id="19" xr3:uid="{AFFB84E8-B398-4E99-805B-9A247071A040}" name="Referenz Jahr" dataDxfId="100"/>
    <tableColumn id="20" xr3:uid="{0A59A474-DFBB-4437-8EFF-70284AFD9934}" name="Mindest Punktzahl" dataDxfId="99"/>
    <tableColumn id="21" xr3:uid="{198BD231-EEF3-43C9-AD9B-39B4B7E9B337}" name="Mindest Disziplinen" dataDxfId="98"/>
    <tableColumn id="14" xr3:uid="{443CD4F6-A2B2-480B-BB35-DCEEBC531727}" name="3-Kampf Regel" dataDxfId="97"/>
    <tableColumn id="15" xr3:uid="{70116160-7666-42B1-92AC-FAC2620E6A60}" name="Anzahl Nominierte" dataDxfId="96"/>
    <tableColumn id="16" xr3:uid="{0EFD0A46-D12B-4AB0-907C-08E5D9F282E0}" name="Anzahl Nachrücker" dataDxfId="95"/>
    <tableColumn id="17" xr3:uid="{AA5430A0-8ED8-40E8-B7F8-DA25E4E8790F}" name="Seiten Anzahl" dataDxfId="94"/>
    <tableColumn id="18" xr3:uid="{16F699D9-2741-43F3-AD5F-826A568EFEAC}" name="Absagen" dataDxfId="9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2" dataDxfId="91">
  <autoFilter ref="A1:U7" xr:uid="{CDBF6724-48A1-41AB-94B5-CC35C54BB15C}"/>
  <tableColumns count="21">
    <tableColumn id="1" xr3:uid="{E1FB3D0C-B874-4874-BACC-6872CF171957}" name="Tabellen Name" dataDxfId="90"/>
    <tableColumn id="2" xr3:uid="{FFDD2777-2097-450C-B020-F133CF643855}" name="Geschlecht" dataDxfId="89"/>
    <tableColumn id="3" xr3:uid="{8CF52BE2-8020-48BD-A36D-63F13A1878DE}" name="Mindest alter" dataDxfId="88"/>
    <tableColumn id="4" xr3:uid="{FD3A030F-CD97-4B6F-8E8C-BC2E67D79F1D}" name="Maximales Alter" dataDxfId="87"/>
    <tableColumn id="5" xr3:uid="{3E22B645-D77C-4509-B031-9914FCB91599}" name="Qualizeitraum anfang" dataDxfId="86"/>
    <tableColumn id="6" xr3:uid="{AE299324-3C1C-4063-ADF9-54555A161734}" name="Qualizeitraum Ende" dataDxfId="85"/>
    <tableColumn id="7" xr3:uid="{DCC178B3-11FC-4C53-BBC6-C2FDA2C89857}" name="Letzter Wettkampf am" dataDxfId="84"/>
    <tableColumn id="8" xr3:uid="{2811DB01-60A5-4BE4-B6F9-A806398A602A}" name="Wertung" dataDxfId="83"/>
    <tableColumn id="9" xr3:uid="{0C16DAFE-847D-4E9E-9604-3A7D9FE924D0}" name="Landesverband" dataDxfId="82"/>
    <tableColumn id="10" xr3:uid="{7A8A4101-A553-4BD5-9116-9AA5876B9401}" name="OMS" dataDxfId="81"/>
    <tableColumn id="11" xr3:uid="{9807C9BD-6499-45F6-ACE0-4D13D64EF675}" name="Pool-Länge" dataDxfId="80"/>
    <tableColumn id="12" xr3:uid="{13D336DD-650F-4F2C-836F-361CA1528F6D}" name="Regelwerk" dataDxfId="79"/>
    <tableColumn id="13" xr3:uid="{66660E2D-ADF2-4FB5-8A13-004F826EE908}" name="Referenz" dataDxfId="78"/>
    <tableColumn id="19" xr3:uid="{D72EDF8B-ECC3-4FF7-ABE6-B60BCE4A5E26}" name="Referenz Jahr" dataDxfId="77"/>
    <tableColumn id="20" xr3:uid="{7B18E667-70F7-4BC1-AB1B-21C019F2AA89}" name="Mindest Punktzahl" dataDxfId="76"/>
    <tableColumn id="21" xr3:uid="{FC185946-681B-42A6-AB1A-FC1EABB668C5}" name="Mindest Disziplinen" dataDxfId="75"/>
    <tableColumn id="14" xr3:uid="{6A2676FD-2EC7-4C41-A35E-A1597A38F932}" name="3-Kampf Regel" dataDxfId="74"/>
    <tableColumn id="15" xr3:uid="{718E0917-4F83-4A2B-832F-EBB16D5E21BF}" name="Anzahl Nominierte" dataDxfId="73"/>
    <tableColumn id="16" xr3:uid="{5C66A461-D647-4E00-A81C-FD7AD44D7CC2}" name="Anzahl Nachrücker" dataDxfId="72"/>
    <tableColumn id="17" xr3:uid="{D434BDEC-293B-4B4E-A5E9-479438960A03}" name="Seiten Anzahl" dataDxfId="71"/>
    <tableColumn id="18" xr3:uid="{80908229-9247-473F-81C0-9C9D4C12FF06}" name="Absagen" dataDxfId="70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69" dataDxfId="68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67"/>
    <tableColumn id="2" xr3:uid="{6346FF3B-B334-4CD8-8B23-F2347E29C536}" name="Geschlecht" dataDxfId="66"/>
    <tableColumn id="3" xr3:uid="{E793B48A-BC8A-439F-8AAF-6FD08104A619}" name="Mindest Alter" dataDxfId="65"/>
    <tableColumn id="4" xr3:uid="{01A62C29-2F75-4107-A431-F69230BCCD0C}" name="Maximales Alter" dataDxfId="64"/>
    <tableColumn id="5" xr3:uid="{B7E4DE90-7856-4A0C-9063-61414D7F227C}" name="Qualizeitraum anfang" dataDxfId="63"/>
    <tableColumn id="6" xr3:uid="{B00F7CD1-82CB-42B9-A396-89F79EF419CA}" name="Qualizeitraum Ende" dataDxfId="62"/>
    <tableColumn id="7" xr3:uid="{9E50DDE5-12E3-4BCB-801C-FBABCE309F0E}" name="Letzter Wettkampf am" dataDxfId="61"/>
    <tableColumn id="8" xr3:uid="{57E68247-0FF2-48D8-8ACD-AB057E576A21}" name="Landesverband" dataDxfId="60"/>
    <tableColumn id="9" xr3:uid="{EBAA439D-F69A-4C2A-8193-9AE08F1E57B8}" name="OMS" dataDxfId="59"/>
    <tableColumn id="10" xr3:uid="{BBD11E7F-3DDF-428A-B005-4A40E6FA78DC}" name="Pool-Länge" dataDxfId="58"/>
    <tableColumn id="11" xr3:uid="{6AE38DCA-A084-4F3D-A6A4-4E76E3E2CBC6}" name="Regelwerk" dataDxfId="57"/>
    <tableColumn id="12" xr3:uid="{7F7470AD-5502-4CEE-BB4C-44BA308E61D7}" name="Seiten Anzahl" dataDxfId="56"/>
    <tableColumn id="13" xr3:uid="{F416CBFA-4C9D-45CD-9BA7-E4BC57A08BC2}" name="PZ1 - 50m Retten" dataDxfId="55"/>
    <tableColumn id="14" xr3:uid="{7117DBCA-0DA7-462C-84FE-0DC7E33B124C}" name="PZ1 - 100m Retten" dataDxfId="54"/>
    <tableColumn id="15" xr3:uid="{E8630E91-DC30-4822-9E53-6D65487C3670}" name="PZ1 - 100m Kombi" dataDxfId="53"/>
    <tableColumn id="16" xr3:uid="{4B3AA225-E042-430F-8259-D176887B4528}" name="PZ1 - 100m Lifesaver" dataDxfId="52"/>
    <tableColumn id="17" xr3:uid="{798674BD-98CE-4531-BDFF-6AB06253AD7C}" name="PZ1 - 200m Super-Lifesaver" dataDxfId="51"/>
    <tableColumn id="18" xr3:uid="{8809BB71-D58B-4E8B-A442-D0EB9A65A25D}" name="PZ1 - 200m Hindernis" dataDxfId="50"/>
    <tableColumn id="19" xr3:uid="{93DCF463-806B-4117-B4E3-1FFAE976B37C}" name="PZ2 - 50m Retten" dataDxfId="49"/>
    <tableColumn id="20" xr3:uid="{A514C961-559E-462F-B143-BA30974C0129}" name="PZ2 - 100m Retten" dataDxfId="48"/>
    <tableColumn id="21" xr3:uid="{F1CF6143-45FE-498D-93D6-36F26D2F3C0B}" name="PZ2 - 100m Kombi" dataDxfId="47"/>
    <tableColumn id="22" xr3:uid="{E90962FC-C214-467F-841F-40DF60E41456}" name="PZ2 - 100m Lifesaver" dataDxfId="46"/>
    <tableColumn id="23" xr3:uid="{7FBC6334-C4C8-4B38-9F59-30ED95A44379}" name="PZ2 - 200m Super-Lifesaver" dataDxfId="45"/>
    <tableColumn id="24" xr3:uid="{231BFF86-8F3A-4BA1-B25E-28175D9EDFA9}" name="PZ2 - 200m Hindernis" dataDxfId="44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9" totalsRowShown="0" headerRowDxfId="43" dataDxfId="42">
  <autoFilter ref="A1:X9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1"/>
    <tableColumn id="2" xr3:uid="{733C1722-A9C9-4830-A9E2-FE62E96BCD98}" name="Geschlecht" dataDxfId="40"/>
    <tableColumn id="3" xr3:uid="{80C0BF46-0E43-4947-BF86-B808C324772A}" name="Mindest Alter" dataDxfId="39"/>
    <tableColumn id="4" xr3:uid="{DBA2A923-EEB7-43F9-A1A3-E78624448FB9}" name="Maximales Alter" dataDxfId="38"/>
    <tableColumn id="5" xr3:uid="{3FDEE18A-328D-45AE-907D-69A916A93345}" name="Qualizeitraum anfang" dataDxfId="37"/>
    <tableColumn id="6" xr3:uid="{BE002D7F-575F-4B60-9251-C71D93F59045}" name="Qualizeitraum Ende" dataDxfId="36"/>
    <tableColumn id="7" xr3:uid="{208ABD57-DE4B-41D6-B9FC-93F2D8966E8D}" name="Letzter Wettkampf am" dataDxfId="35"/>
    <tableColumn id="8" xr3:uid="{30C9697C-6550-4996-ADDB-7FEE5325B794}" name="Landesverband" dataDxfId="34"/>
    <tableColumn id="9" xr3:uid="{ED2DAB77-EF46-4D8B-B8E4-90412E32E277}" name="OMS" dataDxfId="33"/>
    <tableColumn id="10" xr3:uid="{AD534940-A91B-4A6E-9606-E3F3E517D401}" name="Pool-Länge" dataDxfId="32"/>
    <tableColumn id="11" xr3:uid="{11F9D5D5-72FE-42CA-8624-01D513B4140F}" name="Regelwerk" dataDxfId="31"/>
    <tableColumn id="12" xr3:uid="{3907872B-5438-4FBF-A045-3EF9EAACFC47}" name="Seiten Anzahl" dataDxfId="30"/>
    <tableColumn id="13" xr3:uid="{FC821324-3638-40C0-BA1E-069B44E23C7A}" name="PZ1 - 50m Retten" dataDxfId="29"/>
    <tableColumn id="14" xr3:uid="{70529619-443E-40D3-88C1-3E0F00BB2A50}" name="PZ1 - 100m Retten" dataDxfId="28"/>
    <tableColumn id="15" xr3:uid="{EFA92FD2-C23F-42B3-83DC-5036513F19AF}" name="PZ1 - 100m Kombi" dataDxfId="27"/>
    <tableColumn id="16" xr3:uid="{03309E52-8CF3-4E90-9EE6-A818901C3B32}" name="PZ1 - 100m Lifesaver" dataDxfId="26"/>
    <tableColumn id="17" xr3:uid="{00B22013-AA11-4C17-9250-22060AE4B0A8}" name="PZ1 - 200m Super-Lifesaver" dataDxfId="25"/>
    <tableColumn id="18" xr3:uid="{7E3508A9-0422-4561-A23E-53E613259B24}" name="PZ1 - 200m Hindernis" dataDxfId="24"/>
    <tableColumn id="19" xr3:uid="{5CEA435F-F34B-4D8D-88D0-F5EBFF18B713}" name="PZ2 - 50m Retten" dataDxfId="23"/>
    <tableColumn id="20" xr3:uid="{8585BE62-F7C4-4D5D-B287-052B43B08610}" name="PZ2 - 100m Retten" dataDxfId="22"/>
    <tableColumn id="21" xr3:uid="{D981758B-ADAD-4E36-B787-0B0FDA808CA2}" name="PZ2 - 100m Kombi" dataDxfId="21"/>
    <tableColumn id="22" xr3:uid="{1D4970A8-D22F-4962-934C-AEA295ED687A}" name="PZ2 - 100m Lifesaver" dataDxfId="20"/>
    <tableColumn id="23" xr3:uid="{BE394430-C58F-4690-9615-44475E5AF9F8}" name="PZ2 - 200m Super-Lifesaver" dataDxfId="19"/>
    <tableColumn id="24" xr3:uid="{A7036B1A-99CE-4F7C-AAB8-12E8B2696202}" name="PZ2 - 200m Hinderni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7" priority="15">
      <formula>B5&lt;&gt;B4</formula>
    </cfRule>
  </conditionalFormatting>
  <conditionalFormatting sqref="H5:M31">
    <cfRule type="expression" dxfId="16" priority="14">
      <formula>H5&lt;&gt;H4</formula>
    </cfRule>
  </conditionalFormatting>
  <conditionalFormatting sqref="N5:S31">
    <cfRule type="expression" dxfId="15" priority="13">
      <formula>N5&lt;&gt;N4</formula>
    </cfRule>
  </conditionalFormatting>
  <conditionalFormatting sqref="T5:Y31">
    <cfRule type="expression" dxfId="14" priority="12">
      <formula>T5&lt;&gt;T4</formula>
    </cfRule>
  </conditionalFormatting>
  <conditionalFormatting sqref="Z5:AE31">
    <cfRule type="expression" dxfId="13" priority="9">
      <formula>Z5&lt;&gt;Z4</formula>
    </cfRule>
  </conditionalFormatting>
  <conditionalFormatting sqref="AF5:AK31">
    <cfRule type="expression" dxfId="12" priority="8">
      <formula>AF5&lt;&gt;AF4</formula>
    </cfRule>
  </conditionalFormatting>
  <conditionalFormatting sqref="AL5:AN31">
    <cfRule type="expression" dxfId="11" priority="6">
      <formula>AL5&lt;&gt;AL4</formula>
    </cfRule>
  </conditionalFormatting>
  <conditionalFormatting sqref="AO5:AQ31">
    <cfRule type="expression" dxfId="10" priority="5">
      <formula>AO5&lt;&gt;AO4</formula>
    </cfRule>
  </conditionalFormatting>
  <conditionalFormatting sqref="AR5:AT31">
    <cfRule type="expression" dxfId="9" priority="2">
      <formula>AR5&lt;&gt;AR4</formula>
    </cfRule>
  </conditionalFormatting>
  <conditionalFormatting sqref="AU5:AW31">
    <cfRule type="expression" dxfId="8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7" priority="20">
      <formula>B6&lt;&gt;B4</formula>
    </cfRule>
  </conditionalFormatting>
  <conditionalFormatting sqref="B7:G32">
    <cfRule type="expression" dxfId="6" priority="1">
      <formula>B7&lt;&gt;B6</formula>
    </cfRule>
  </conditionalFormatting>
  <conditionalFormatting sqref="H6:M6">
    <cfRule type="expression" dxfId="5" priority="22">
      <formula>H6&lt;&gt;H4</formula>
    </cfRule>
  </conditionalFormatting>
  <conditionalFormatting sqref="H7:M32">
    <cfRule type="expression" dxfId="4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3" priority="19">
      <formula>B6&lt;&gt;B4</formula>
    </cfRule>
  </conditionalFormatting>
  <conditionalFormatting sqref="B7:G32">
    <cfRule type="expression" dxfId="2" priority="2">
      <formula>B7&lt;&gt;B6</formula>
    </cfRule>
  </conditionalFormatting>
  <conditionalFormatting sqref="H6:M6">
    <cfRule type="expression" dxfId="1" priority="20">
      <formula>H6&lt;&gt;H4</formula>
    </cfRule>
  </conditionalFormatting>
  <conditionalFormatting sqref="H7:M32">
    <cfRule type="expression" dxfId="0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H1" workbookViewId="0">
      <selection activeCell="M4" sqref="M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199</v>
      </c>
      <c r="B2" s="59" t="s">
        <v>164</v>
      </c>
      <c r="C2" s="59">
        <v>15</v>
      </c>
      <c r="D2" s="59">
        <v>50</v>
      </c>
      <c r="E2" s="59" t="s">
        <v>222</v>
      </c>
      <c r="F2" s="59" t="s">
        <v>223</v>
      </c>
      <c r="G2" s="59" t="s">
        <v>198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221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200</v>
      </c>
      <c r="B3" s="59" t="s">
        <v>182</v>
      </c>
      <c r="C3" s="59">
        <v>15</v>
      </c>
      <c r="D3" s="59">
        <v>50</v>
      </c>
      <c r="E3" s="59" t="s">
        <v>222</v>
      </c>
      <c r="F3" s="59" t="s">
        <v>223</v>
      </c>
      <c r="G3" s="59" t="s">
        <v>198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221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topLeftCell="H1" workbookViewId="0">
      <selection activeCell="K5" sqref="K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189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190</v>
      </c>
      <c r="B2" s="59" t="s">
        <v>164</v>
      </c>
      <c r="C2" s="59">
        <v>19</v>
      </c>
      <c r="D2" s="59">
        <v>50</v>
      </c>
      <c r="E2" s="59" t="s">
        <v>188</v>
      </c>
      <c r="F2" s="59" t="s">
        <v>196</v>
      </c>
      <c r="G2" s="59" t="s">
        <v>197</v>
      </c>
      <c r="H2" s="59" t="s">
        <v>177</v>
      </c>
      <c r="I2" s="59" t="s">
        <v>178</v>
      </c>
      <c r="J2" s="59" t="s">
        <v>179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191</v>
      </c>
      <c r="B3" s="59" t="s">
        <v>182</v>
      </c>
      <c r="C3" s="59">
        <v>19</v>
      </c>
      <c r="D3" s="59">
        <v>50</v>
      </c>
      <c r="E3" s="59" t="s">
        <v>188</v>
      </c>
      <c r="F3" s="59" t="s">
        <v>196</v>
      </c>
      <c r="G3" s="59" t="s">
        <v>197</v>
      </c>
      <c r="H3" s="59" t="s">
        <v>177</v>
      </c>
      <c r="I3" s="59" t="s">
        <v>178</v>
      </c>
      <c r="J3" s="59" t="s">
        <v>179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192</v>
      </c>
      <c r="B4" s="59" t="s">
        <v>164</v>
      </c>
      <c r="C4" s="59">
        <v>17</v>
      </c>
      <c r="D4" s="59">
        <v>18</v>
      </c>
      <c r="E4" s="59" t="s">
        <v>188</v>
      </c>
      <c r="F4" s="59" t="s">
        <v>196</v>
      </c>
      <c r="G4" s="59" t="s">
        <v>197</v>
      </c>
      <c r="H4" s="59" t="s">
        <v>177</v>
      </c>
      <c r="I4" s="59" t="s">
        <v>178</v>
      </c>
      <c r="J4" s="59" t="s">
        <v>179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201</v>
      </c>
    </row>
    <row r="5" spans="1:21" x14ac:dyDescent="0.45">
      <c r="A5" s="59" t="s">
        <v>193</v>
      </c>
      <c r="B5" s="59" t="s">
        <v>182</v>
      </c>
      <c r="C5" s="59">
        <v>17</v>
      </c>
      <c r="D5" s="59">
        <v>18</v>
      </c>
      <c r="E5" s="59" t="s">
        <v>188</v>
      </c>
      <c r="F5" s="59" t="s">
        <v>196</v>
      </c>
      <c r="G5" s="59" t="s">
        <v>197</v>
      </c>
      <c r="H5" s="59" t="s">
        <v>177</v>
      </c>
      <c r="I5" s="59" t="s">
        <v>178</v>
      </c>
      <c r="J5" s="59" t="s">
        <v>179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194</v>
      </c>
      <c r="B6" s="59" t="s">
        <v>164</v>
      </c>
      <c r="C6" s="59">
        <v>15</v>
      </c>
      <c r="D6" s="59">
        <v>16</v>
      </c>
      <c r="E6" s="59" t="s">
        <v>188</v>
      </c>
      <c r="F6" s="59" t="s">
        <v>196</v>
      </c>
      <c r="G6" s="59" t="s">
        <v>197</v>
      </c>
      <c r="H6" s="59" t="s">
        <v>177</v>
      </c>
      <c r="I6" s="59" t="s">
        <v>178</v>
      </c>
      <c r="J6" s="59" t="s">
        <v>179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195</v>
      </c>
      <c r="B7" s="59" t="s">
        <v>182</v>
      </c>
      <c r="C7" s="59">
        <v>15</v>
      </c>
      <c r="D7" s="59">
        <v>16</v>
      </c>
      <c r="E7" s="59" t="s">
        <v>188</v>
      </c>
      <c r="F7" s="59" t="s">
        <v>196</v>
      </c>
      <c r="G7" s="59" t="s">
        <v>197</v>
      </c>
      <c r="H7" s="59" t="s">
        <v>177</v>
      </c>
      <c r="I7" s="59" t="s">
        <v>178</v>
      </c>
      <c r="J7" s="59" t="s">
        <v>179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L6" sqref="A1:X7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217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218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219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220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190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191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2"/>
  <sheetViews>
    <sheetView tabSelected="1" workbookViewId="0">
      <selection activeCell="R10" sqref="R10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202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203</v>
      </c>
      <c r="N1" s="59" t="s">
        <v>204</v>
      </c>
      <c r="O1" s="59" t="s">
        <v>205</v>
      </c>
      <c r="P1" s="59" t="s">
        <v>208</v>
      </c>
      <c r="Q1" s="59" t="s">
        <v>207</v>
      </c>
      <c r="R1" s="59" t="s">
        <v>206</v>
      </c>
      <c r="S1" s="59" t="s">
        <v>209</v>
      </c>
      <c r="T1" s="59" t="s">
        <v>210</v>
      </c>
      <c r="U1" s="59" t="s">
        <v>211</v>
      </c>
      <c r="V1" s="59" t="s">
        <v>212</v>
      </c>
      <c r="W1" s="59" t="s">
        <v>213</v>
      </c>
      <c r="X1" s="59" t="s">
        <v>214</v>
      </c>
    </row>
    <row r="2" spans="1:24" x14ac:dyDescent="0.45">
      <c r="A2" s="59" t="s">
        <v>215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216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231</v>
      </c>
      <c r="B4" s="59" t="s">
        <v>182</v>
      </c>
      <c r="C4" s="59">
        <v>18</v>
      </c>
      <c r="D4" s="59">
        <v>18</v>
      </c>
      <c r="E4" s="61">
        <v>45658</v>
      </c>
      <c r="F4" s="61">
        <v>46387</v>
      </c>
      <c r="G4" s="61">
        <v>45658</v>
      </c>
      <c r="H4" s="59" t="s">
        <v>178</v>
      </c>
      <c r="I4" s="59" t="s">
        <v>179</v>
      </c>
      <c r="J4" s="59"/>
      <c r="K4" s="59"/>
      <c r="L4" s="59">
        <v>10</v>
      </c>
      <c r="M4" s="62">
        <f>Tabelle1!E14</f>
        <v>4.3944444444444445E-4</v>
      </c>
      <c r="N4" s="62">
        <f>Tabelle1!E16</f>
        <v>6.951388888888888E-4</v>
      </c>
      <c r="O4" s="62">
        <f>Tabelle1!E15</f>
        <v>9.4430555555555544E-4</v>
      </c>
      <c r="P4" s="62">
        <f>Tabelle1!E17</f>
        <v>7.919444444444444E-4</v>
      </c>
      <c r="Q4" s="62">
        <f>Tabelle1!E19</f>
        <v>1.9579166666666664E-3</v>
      </c>
      <c r="R4" s="62">
        <f>Tabelle1!E18</f>
        <v>1.7913888888888886E-3</v>
      </c>
      <c r="S4" s="62"/>
      <c r="T4" s="62"/>
      <c r="U4" s="62"/>
      <c r="V4" s="62"/>
      <c r="W4" s="62"/>
      <c r="X4" s="62"/>
    </row>
    <row r="5" spans="1:24" x14ac:dyDescent="0.45">
      <c r="A5" s="59" t="s">
        <v>231</v>
      </c>
      <c r="B5" s="59" t="s">
        <v>182</v>
      </c>
      <c r="C5" s="59">
        <v>17</v>
      </c>
      <c r="D5" s="59">
        <v>17</v>
      </c>
      <c r="E5" s="61">
        <v>45658</v>
      </c>
      <c r="F5" s="61">
        <v>46387</v>
      </c>
      <c r="G5" s="61">
        <v>45658</v>
      </c>
      <c r="H5" s="59" t="s">
        <v>178</v>
      </c>
      <c r="I5" s="59" t="s">
        <v>179</v>
      </c>
      <c r="J5" s="59"/>
      <c r="K5" s="59"/>
      <c r="L5" s="59">
        <v>10</v>
      </c>
      <c r="M5" s="62">
        <f>Tabelle1!D14</f>
        <v>4.4430555555555553E-4</v>
      </c>
      <c r="N5" s="62">
        <f>Tabelle1!D16</f>
        <v>7.0194444444444449E-4</v>
      </c>
      <c r="O5" s="62">
        <f>Tabelle1!D15</f>
        <v>9.5805555555555553E-4</v>
      </c>
      <c r="P5" s="62">
        <f>Tabelle1!D17</f>
        <v>8.0902777777777776E-4</v>
      </c>
      <c r="Q5" s="62">
        <f>Tabelle1!D19</f>
        <v>1.9811111111111106E-3</v>
      </c>
      <c r="R5" s="62">
        <f>Tabelle1!D18</f>
        <v>1.8124999999999999E-3</v>
      </c>
      <c r="S5" s="62"/>
      <c r="T5" s="62"/>
      <c r="U5" s="62"/>
      <c r="V5" s="62"/>
      <c r="W5" s="62"/>
      <c r="X5" s="62"/>
    </row>
    <row r="6" spans="1:24" x14ac:dyDescent="0.45">
      <c r="A6" s="59" t="s">
        <v>231</v>
      </c>
      <c r="B6" s="59" t="s">
        <v>182</v>
      </c>
      <c r="C6" s="59">
        <v>12</v>
      </c>
      <c r="D6" s="59">
        <v>16</v>
      </c>
      <c r="E6" s="61">
        <v>45658</v>
      </c>
      <c r="F6" s="61">
        <v>46387</v>
      </c>
      <c r="G6" s="61">
        <v>45658</v>
      </c>
      <c r="H6" s="59" t="s">
        <v>178</v>
      </c>
      <c r="I6" s="59" t="s">
        <v>179</v>
      </c>
      <c r="J6" s="59"/>
      <c r="K6" s="59"/>
      <c r="L6" s="59">
        <v>10</v>
      </c>
      <c r="M6" s="62">
        <f>Tabelle1!C14</f>
        <v>4.4861111111111105E-4</v>
      </c>
      <c r="N6" s="62">
        <f>Tabelle1!C16</f>
        <v>7.0833333333333328E-4</v>
      </c>
      <c r="O6" s="62">
        <f>Tabelle1!C15</f>
        <v>9.7083333333333342E-4</v>
      </c>
      <c r="P6" s="62">
        <f>Tabelle1!C17</f>
        <v>8.2472222222222224E-4</v>
      </c>
      <c r="Q6" s="62">
        <f>Tabelle1!C19</f>
        <v>2.0026388888888889E-3</v>
      </c>
      <c r="R6" s="62">
        <f>Tabelle1!C18</f>
        <v>1.8319444444444444E-3</v>
      </c>
      <c r="S6" s="62"/>
      <c r="T6" s="62"/>
      <c r="U6" s="62"/>
      <c r="V6" s="62"/>
      <c r="W6" s="62"/>
      <c r="X6" s="62"/>
    </row>
    <row r="7" spans="1:24" x14ac:dyDescent="0.45">
      <c r="A7" s="59" t="s">
        <v>235</v>
      </c>
      <c r="B7" s="59" t="s">
        <v>164</v>
      </c>
      <c r="C7" s="59">
        <v>18</v>
      </c>
      <c r="D7" s="59">
        <v>18</v>
      </c>
      <c r="E7" s="61">
        <v>45658</v>
      </c>
      <c r="F7" s="61">
        <v>46387</v>
      </c>
      <c r="G7" s="61">
        <v>45658</v>
      </c>
      <c r="H7" s="59" t="s">
        <v>178</v>
      </c>
      <c r="I7" s="59" t="s">
        <v>179</v>
      </c>
      <c r="J7" s="59"/>
      <c r="K7" s="59"/>
      <c r="L7" s="59">
        <v>10</v>
      </c>
      <c r="M7" s="62">
        <f>Tabelle1!K14</f>
        <v>5.4361111111111114E-4</v>
      </c>
      <c r="N7" s="62">
        <f>Tabelle1!K16</f>
        <v>8.1805555555555548E-4</v>
      </c>
      <c r="O7" s="62">
        <f>Tabelle1!K15</f>
        <v>1.1063888888888887E-3</v>
      </c>
      <c r="P7" s="62">
        <f>Tabelle1!K17</f>
        <v>9.0861111111111101E-4</v>
      </c>
      <c r="Q7" s="62">
        <f>Tabelle1!K19</f>
        <v>2.1416666666666663E-3</v>
      </c>
      <c r="R7" s="62">
        <f>Tabelle1!K18</f>
        <v>1.9452777777777775E-3</v>
      </c>
      <c r="S7" s="62"/>
      <c r="T7" s="62"/>
      <c r="U7" s="62"/>
      <c r="V7" s="62"/>
      <c r="W7" s="62"/>
      <c r="X7" s="62"/>
    </row>
    <row r="8" spans="1:24" x14ac:dyDescent="0.45">
      <c r="A8" s="59" t="s">
        <v>235</v>
      </c>
      <c r="B8" s="59" t="s">
        <v>164</v>
      </c>
      <c r="C8" s="59">
        <v>17</v>
      </c>
      <c r="D8" s="59">
        <v>17</v>
      </c>
      <c r="E8" s="61">
        <v>45658</v>
      </c>
      <c r="F8" s="61">
        <v>46387</v>
      </c>
      <c r="G8" s="61">
        <v>45658</v>
      </c>
      <c r="H8" s="59" t="s">
        <v>178</v>
      </c>
      <c r="I8" s="59" t="s">
        <v>179</v>
      </c>
      <c r="J8" s="59"/>
      <c r="K8" s="59"/>
      <c r="L8" s="59">
        <v>10</v>
      </c>
      <c r="M8" s="62">
        <f>Tabelle1!J14</f>
        <v>5.5458333333333336E-4</v>
      </c>
      <c r="N8" s="62">
        <f>Tabelle1!J16</f>
        <v>8.2736111111111118E-4</v>
      </c>
      <c r="O8" s="62">
        <f>Tabelle1!J15</f>
        <v>1.1262500000000001E-3</v>
      </c>
      <c r="P8" s="62">
        <f>Tabelle1!J17</f>
        <v>9.2194444444444431E-4</v>
      </c>
      <c r="Q8" s="62">
        <f>Tabelle1!J19</f>
        <v>2.1574999999999997E-3</v>
      </c>
      <c r="R8" s="62">
        <f>Tabelle1!J18</f>
        <v>1.9526388888888887E-3</v>
      </c>
      <c r="S8" s="62"/>
      <c r="T8" s="62"/>
      <c r="U8" s="62"/>
      <c r="V8" s="62"/>
      <c r="W8" s="62"/>
      <c r="X8" s="62"/>
    </row>
    <row r="9" spans="1:24" x14ac:dyDescent="0.45">
      <c r="A9" s="59" t="s">
        <v>235</v>
      </c>
      <c r="B9" s="59" t="s">
        <v>164</v>
      </c>
      <c r="C9" s="59">
        <v>12</v>
      </c>
      <c r="D9" s="59">
        <v>16</v>
      </c>
      <c r="E9" s="61">
        <v>45658</v>
      </c>
      <c r="F9" s="61">
        <v>46387</v>
      </c>
      <c r="G9" s="61">
        <v>45658</v>
      </c>
      <c r="H9" s="59" t="s">
        <v>178</v>
      </c>
      <c r="I9" s="59" t="s">
        <v>179</v>
      </c>
      <c r="J9" s="59"/>
      <c r="K9" s="59"/>
      <c r="L9" s="59">
        <v>10</v>
      </c>
      <c r="M9" s="62">
        <f>Tabelle1!I14</f>
        <v>5.6499999999999996E-4</v>
      </c>
      <c r="N9" s="62">
        <f>Tabelle1!I16</f>
        <v>8.3597222222222222E-4</v>
      </c>
      <c r="O9" s="62">
        <f>Tabelle1!I15</f>
        <v>1.1445833333333332E-3</v>
      </c>
      <c r="P9" s="62">
        <f>Tabelle1!I17</f>
        <v>9.341666666666667E-4</v>
      </c>
      <c r="Q9" s="62">
        <f>Tabelle1!I19</f>
        <v>2.1722222222222221E-3</v>
      </c>
      <c r="R9" s="62">
        <f>Tabelle1!I18</f>
        <v>1.9594444444444442E-3</v>
      </c>
      <c r="S9" s="62"/>
      <c r="T9" s="62"/>
      <c r="U9" s="62"/>
      <c r="V9" s="62"/>
      <c r="W9" s="62"/>
      <c r="X9" s="62"/>
    </row>
    <row r="12" spans="1:24" x14ac:dyDescent="0.45">
      <c r="S12" s="67"/>
      <c r="T12" s="67"/>
      <c r="U12" s="67"/>
      <c r="V12" s="67"/>
      <c r="W12" s="67"/>
      <c r="X12" s="67"/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dimension ref="B3:L37"/>
  <sheetViews>
    <sheetView workbookViewId="0">
      <selection activeCell="L13" sqref="L13"/>
    </sheetView>
  </sheetViews>
  <sheetFormatPr baseColWidth="10" defaultRowHeight="14.25" x14ac:dyDescent="0.45"/>
  <cols>
    <col min="2" max="2" width="34.6640625" customWidth="1"/>
    <col min="8" max="8" width="39.53125" customWidth="1"/>
  </cols>
  <sheetData>
    <row r="3" spans="2:12" x14ac:dyDescent="0.45">
      <c r="B3" t="s">
        <v>229</v>
      </c>
      <c r="H3" t="s">
        <v>233</v>
      </c>
    </row>
    <row r="4" spans="2:12" x14ac:dyDescent="0.45">
      <c r="B4" s="63" t="s">
        <v>224</v>
      </c>
      <c r="C4" s="66">
        <v>2010</v>
      </c>
      <c r="D4" s="66">
        <v>2009</v>
      </c>
      <c r="E4" s="66">
        <v>2008</v>
      </c>
      <c r="H4" s="63" t="s">
        <v>224</v>
      </c>
      <c r="I4" s="66">
        <v>2010</v>
      </c>
      <c r="J4" s="66">
        <v>2009</v>
      </c>
      <c r="K4" s="66">
        <v>2008</v>
      </c>
    </row>
    <row r="5" spans="2:12" x14ac:dyDescent="0.45">
      <c r="B5" s="64" t="s">
        <v>0</v>
      </c>
      <c r="C5" s="65">
        <v>3.7384259259259255E-4</v>
      </c>
      <c r="D5" s="65">
        <v>3.7025462962962961E-4</v>
      </c>
      <c r="E5" s="65">
        <v>3.6620370370370371E-4</v>
      </c>
      <c r="H5" s="64" t="s">
        <v>0</v>
      </c>
      <c r="I5" s="65">
        <v>4.708333333333333E-4</v>
      </c>
      <c r="J5" s="65">
        <v>4.621527777777778E-4</v>
      </c>
      <c r="K5" s="65">
        <v>4.5300925925925928E-4</v>
      </c>
    </row>
    <row r="6" spans="2:12" x14ac:dyDescent="0.45">
      <c r="B6" s="64" t="s">
        <v>225</v>
      </c>
      <c r="C6" s="65">
        <v>8.0902777777777787E-4</v>
      </c>
      <c r="D6" s="65">
        <v>7.9837962962962968E-4</v>
      </c>
      <c r="E6" s="65">
        <v>7.869212962962962E-4</v>
      </c>
      <c r="H6" s="64" t="s">
        <v>225</v>
      </c>
      <c r="I6" s="65">
        <v>9.5381944444444442E-4</v>
      </c>
      <c r="J6" s="65">
        <v>9.3854166666666673E-4</v>
      </c>
      <c r="K6" s="65">
        <v>9.2199074074074069E-4</v>
      </c>
    </row>
    <row r="7" spans="2:12" x14ac:dyDescent="0.45">
      <c r="B7" s="64" t="s">
        <v>226</v>
      </c>
      <c r="C7" s="65">
        <v>5.9027777777777778E-4</v>
      </c>
      <c r="D7" s="65">
        <v>5.8495370370370374E-4</v>
      </c>
      <c r="E7" s="65">
        <v>5.7928240740740737E-4</v>
      </c>
      <c r="H7" s="64" t="s">
        <v>226</v>
      </c>
      <c r="I7" s="65">
        <v>6.9664351851851853E-4</v>
      </c>
      <c r="J7" s="65">
        <v>6.8946759259259265E-4</v>
      </c>
      <c r="K7" s="65">
        <v>6.8171296296296296E-4</v>
      </c>
    </row>
    <row r="8" spans="2:12" x14ac:dyDescent="0.45">
      <c r="B8" s="64" t="s">
        <v>227</v>
      </c>
      <c r="C8" s="65">
        <v>6.8726851851851859E-4</v>
      </c>
      <c r="D8" s="65">
        <v>6.7418981481481486E-4</v>
      </c>
      <c r="E8" s="65">
        <v>6.5995370370370372E-4</v>
      </c>
      <c r="H8" s="64" t="s">
        <v>227</v>
      </c>
      <c r="I8" s="65">
        <v>7.7847222222222228E-4</v>
      </c>
      <c r="J8" s="65">
        <v>7.6828703703703694E-4</v>
      </c>
      <c r="K8" s="65">
        <v>7.571759259259259E-4</v>
      </c>
    </row>
    <row r="9" spans="2:12" x14ac:dyDescent="0.45">
      <c r="B9" s="64" t="s">
        <v>228</v>
      </c>
      <c r="C9" s="65">
        <v>1.5266203703703705E-3</v>
      </c>
      <c r="D9" s="65">
        <v>1.5104166666666666E-3</v>
      </c>
      <c r="E9" s="65">
        <v>1.4928240740740739E-3</v>
      </c>
      <c r="H9" s="64" t="s">
        <v>228</v>
      </c>
      <c r="I9" s="65">
        <v>1.6328703703703702E-3</v>
      </c>
      <c r="J9" s="65">
        <v>1.6271990740740741E-3</v>
      </c>
      <c r="K9" s="65">
        <v>1.6210648148148148E-3</v>
      </c>
    </row>
    <row r="10" spans="2:12" x14ac:dyDescent="0.45">
      <c r="B10" s="64" t="s">
        <v>4</v>
      </c>
      <c r="C10" s="65">
        <v>1.6688657407407407E-3</v>
      </c>
      <c r="D10" s="65">
        <v>1.6509259259259257E-3</v>
      </c>
      <c r="E10" s="65">
        <v>1.6315972222222222E-3</v>
      </c>
      <c r="H10" s="64" t="s">
        <v>232</v>
      </c>
      <c r="I10" s="65">
        <v>1.8101851851851853E-3</v>
      </c>
      <c r="J10" s="65">
        <v>1.7979166666666666E-3</v>
      </c>
      <c r="K10" s="65">
        <v>1.784722222222222E-3</v>
      </c>
    </row>
    <row r="12" spans="2:12" x14ac:dyDescent="0.45">
      <c r="B12" t="s">
        <v>230</v>
      </c>
      <c r="F12">
        <v>1.2</v>
      </c>
      <c r="H12" t="s">
        <v>234</v>
      </c>
      <c r="L12">
        <v>1.2</v>
      </c>
    </row>
    <row r="13" spans="2:12" x14ac:dyDescent="0.45">
      <c r="B13" s="63" t="s">
        <v>224</v>
      </c>
      <c r="C13" s="66">
        <v>2010</v>
      </c>
      <c r="D13" s="66">
        <v>2009</v>
      </c>
      <c r="E13" s="66">
        <v>2008</v>
      </c>
      <c r="H13" s="63" t="s">
        <v>224</v>
      </c>
      <c r="I13" s="66">
        <v>2010</v>
      </c>
      <c r="J13" s="66">
        <v>2009</v>
      </c>
      <c r="K13" s="66">
        <v>2008</v>
      </c>
    </row>
    <row r="14" spans="2:12" x14ac:dyDescent="0.45">
      <c r="B14" s="64" t="s">
        <v>0</v>
      </c>
      <c r="C14" s="65">
        <f>C5*$F$12</f>
        <v>4.4861111111111105E-4</v>
      </c>
      <c r="D14" s="65">
        <f t="shared" ref="D14:E14" si="0">D5*$F$12</f>
        <v>4.4430555555555553E-4</v>
      </c>
      <c r="E14" s="65">
        <f t="shared" si="0"/>
        <v>4.3944444444444445E-4</v>
      </c>
      <c r="H14" s="64" t="s">
        <v>0</v>
      </c>
      <c r="I14" s="65">
        <f>I5*$L$12</f>
        <v>5.6499999999999996E-4</v>
      </c>
      <c r="J14" s="65">
        <f t="shared" ref="J14:K14" si="1">J5*$L$12</f>
        <v>5.5458333333333336E-4</v>
      </c>
      <c r="K14" s="65">
        <f t="shared" si="1"/>
        <v>5.4361111111111114E-4</v>
      </c>
    </row>
    <row r="15" spans="2:12" x14ac:dyDescent="0.45">
      <c r="B15" s="64" t="s">
        <v>225</v>
      </c>
      <c r="C15" s="65">
        <f t="shared" ref="C15:E15" si="2">C6*$F$12</f>
        <v>9.7083333333333342E-4</v>
      </c>
      <c r="D15" s="65">
        <f t="shared" si="2"/>
        <v>9.5805555555555553E-4</v>
      </c>
      <c r="E15" s="65">
        <f t="shared" si="2"/>
        <v>9.4430555555555544E-4</v>
      </c>
      <c r="H15" s="64" t="s">
        <v>225</v>
      </c>
      <c r="I15" s="65">
        <f t="shared" ref="I15:K15" si="3">I6*$L$12</f>
        <v>1.1445833333333332E-3</v>
      </c>
      <c r="J15" s="65">
        <f t="shared" si="3"/>
        <v>1.1262500000000001E-3</v>
      </c>
      <c r="K15" s="65">
        <f t="shared" si="3"/>
        <v>1.1063888888888887E-3</v>
      </c>
    </row>
    <row r="16" spans="2:12" x14ac:dyDescent="0.45">
      <c r="B16" s="64" t="s">
        <v>226</v>
      </c>
      <c r="C16" s="65">
        <f t="shared" ref="C16:E16" si="4">C7*$F$12</f>
        <v>7.0833333333333328E-4</v>
      </c>
      <c r="D16" s="65">
        <f t="shared" si="4"/>
        <v>7.0194444444444449E-4</v>
      </c>
      <c r="E16" s="65">
        <f t="shared" si="4"/>
        <v>6.951388888888888E-4</v>
      </c>
      <c r="H16" s="64" t="s">
        <v>226</v>
      </c>
      <c r="I16" s="65">
        <f t="shared" ref="I16:K16" si="5">I7*$L$12</f>
        <v>8.3597222222222222E-4</v>
      </c>
      <c r="J16" s="65">
        <f t="shared" si="5"/>
        <v>8.2736111111111118E-4</v>
      </c>
      <c r="K16" s="65">
        <f t="shared" si="5"/>
        <v>8.1805555555555548E-4</v>
      </c>
    </row>
    <row r="17" spans="2:11" x14ac:dyDescent="0.45">
      <c r="B17" s="64" t="s">
        <v>227</v>
      </c>
      <c r="C17" s="65">
        <f t="shared" ref="C17:E17" si="6">C8*$F$12</f>
        <v>8.2472222222222224E-4</v>
      </c>
      <c r="D17" s="65">
        <f t="shared" si="6"/>
        <v>8.0902777777777776E-4</v>
      </c>
      <c r="E17" s="65">
        <f t="shared" si="6"/>
        <v>7.919444444444444E-4</v>
      </c>
      <c r="H17" s="64" t="s">
        <v>227</v>
      </c>
      <c r="I17" s="65">
        <f t="shared" ref="I17:K17" si="7">I8*$L$12</f>
        <v>9.341666666666667E-4</v>
      </c>
      <c r="J17" s="65">
        <f t="shared" si="7"/>
        <v>9.2194444444444431E-4</v>
      </c>
      <c r="K17" s="65">
        <f t="shared" si="7"/>
        <v>9.0861111111111101E-4</v>
      </c>
    </row>
    <row r="18" spans="2:11" x14ac:dyDescent="0.45">
      <c r="B18" s="64" t="s">
        <v>228</v>
      </c>
      <c r="C18" s="65">
        <f t="shared" ref="C18:E19" si="8">C9*$F$12</f>
        <v>1.8319444444444444E-3</v>
      </c>
      <c r="D18" s="65">
        <f t="shared" si="8"/>
        <v>1.8124999999999999E-3</v>
      </c>
      <c r="E18" s="65">
        <f t="shared" si="8"/>
        <v>1.7913888888888886E-3</v>
      </c>
      <c r="H18" s="64" t="s">
        <v>228</v>
      </c>
      <c r="I18" s="65">
        <f t="shared" ref="I18:K18" si="9">I9*$L$12</f>
        <v>1.9594444444444442E-3</v>
      </c>
      <c r="J18" s="65">
        <f t="shared" si="9"/>
        <v>1.9526388888888887E-3</v>
      </c>
      <c r="K18" s="65">
        <f t="shared" si="9"/>
        <v>1.9452777777777775E-3</v>
      </c>
    </row>
    <row r="19" spans="2:11" x14ac:dyDescent="0.45">
      <c r="B19" s="64" t="s">
        <v>4</v>
      </c>
      <c r="C19" s="65">
        <f t="shared" si="8"/>
        <v>2.0026388888888889E-3</v>
      </c>
      <c r="D19" s="65">
        <f t="shared" si="8"/>
        <v>1.9811111111111106E-3</v>
      </c>
      <c r="E19" s="65">
        <f t="shared" si="8"/>
        <v>1.9579166666666664E-3</v>
      </c>
      <c r="H19" s="64" t="s">
        <v>4</v>
      </c>
      <c r="I19" s="65">
        <f t="shared" ref="I19:K19" si="10">I10*$L$12</f>
        <v>2.1722222222222221E-3</v>
      </c>
      <c r="J19" s="65">
        <f t="shared" si="10"/>
        <v>2.1574999999999997E-3</v>
      </c>
      <c r="K19" s="65">
        <f t="shared" si="10"/>
        <v>2.1416666666666663E-3</v>
      </c>
    </row>
    <row r="22" spans="2:11" x14ac:dyDescent="0.45">
      <c r="B22" s="63"/>
      <c r="C22" s="66"/>
      <c r="D22" s="66"/>
      <c r="E22" s="66"/>
    </row>
    <row r="23" spans="2:11" x14ac:dyDescent="0.45">
      <c r="B23" s="64"/>
      <c r="C23" s="65"/>
      <c r="D23" s="65"/>
      <c r="E23" s="65"/>
    </row>
    <row r="24" spans="2:11" x14ac:dyDescent="0.45">
      <c r="B24" s="64"/>
      <c r="C24" s="65"/>
      <c r="D24" s="65"/>
      <c r="E24" s="65"/>
    </row>
    <row r="25" spans="2:11" x14ac:dyDescent="0.45">
      <c r="B25" s="64"/>
      <c r="C25" s="65"/>
      <c r="D25" s="65"/>
      <c r="E25" s="65"/>
    </row>
    <row r="26" spans="2:11" x14ac:dyDescent="0.45">
      <c r="B26" s="64"/>
      <c r="C26" s="65"/>
      <c r="D26" s="65"/>
      <c r="E26" s="65"/>
    </row>
    <row r="27" spans="2:11" x14ac:dyDescent="0.45">
      <c r="B27" s="64"/>
      <c r="C27" s="65"/>
      <c r="D27" s="65"/>
      <c r="E27" s="65"/>
    </row>
    <row r="28" spans="2:11" x14ac:dyDescent="0.45">
      <c r="B28" s="64"/>
      <c r="C28" s="65"/>
      <c r="D28" s="65"/>
      <c r="E28" s="65"/>
    </row>
    <row r="31" spans="2:11" x14ac:dyDescent="0.45">
      <c r="B31" s="63"/>
      <c r="C31" s="66"/>
      <c r="D31" s="66"/>
      <c r="E31" s="66"/>
    </row>
    <row r="32" spans="2:11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68" t="s">
        <v>14</v>
      </c>
      <c r="B14" s="68"/>
      <c r="C14" s="68"/>
      <c r="D14" s="68"/>
      <c r="E14" s="68"/>
      <c r="F14" s="68"/>
      <c r="G14"/>
      <c r="H14" s="70" t="s">
        <v>35</v>
      </c>
      <c r="I14" s="70"/>
      <c r="J14" s="70"/>
      <c r="L14" s="70" t="s">
        <v>36</v>
      </c>
      <c r="M14"/>
      <c r="N14"/>
    </row>
    <row r="15" spans="1:14" ht="15" customHeight="1" x14ac:dyDescent="0.45">
      <c r="A15" s="68"/>
      <c r="B15" s="68"/>
      <c r="C15" s="68"/>
      <c r="D15" s="68"/>
      <c r="E15" s="68"/>
      <c r="F15" s="68"/>
      <c r="G15"/>
      <c r="H15" s="70"/>
      <c r="I15" s="70"/>
      <c r="J15" s="70"/>
      <c r="L15" s="70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69" t="s">
        <v>13</v>
      </c>
      <c r="B7" s="69"/>
      <c r="C7" s="69"/>
      <c r="D7" s="69"/>
      <c r="E7" s="69"/>
      <c r="F7" s="69"/>
      <c r="G7" s="69"/>
      <c r="H7" s="69"/>
      <c r="I7" s="69"/>
      <c r="J7" s="69"/>
      <c r="K7" s="69"/>
      <c r="L7" s="69"/>
      <c r="M7" s="69"/>
      <c r="N7" s="69"/>
    </row>
    <row r="8" spans="1:14" x14ac:dyDescent="0.45">
      <c r="A8" s="69"/>
      <c r="B8" s="69"/>
      <c r="C8" s="69"/>
      <c r="D8" s="69"/>
      <c r="E8" s="69"/>
      <c r="F8" s="69"/>
      <c r="G8" s="69"/>
      <c r="H8" s="69"/>
      <c r="I8" s="69"/>
      <c r="J8" s="69"/>
      <c r="K8" s="69"/>
      <c r="L8" s="69"/>
      <c r="M8" s="69"/>
      <c r="N8" s="69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68" t="s">
        <v>14</v>
      </c>
      <c r="B14" s="68"/>
      <c r="C14" s="68"/>
      <c r="D14" s="68"/>
      <c r="E14" s="68"/>
      <c r="F14" s="68"/>
      <c r="H14" s="70" t="s">
        <v>35</v>
      </c>
      <c r="I14" s="70"/>
      <c r="J14" s="70"/>
      <c r="L14" s="70" t="s">
        <v>36</v>
      </c>
      <c r="M14"/>
    </row>
    <row r="15" spans="1:14" x14ac:dyDescent="0.45">
      <c r="A15" s="68"/>
      <c r="B15" s="68"/>
      <c r="C15" s="68"/>
      <c r="D15" s="68"/>
      <c r="E15" s="68"/>
      <c r="F15" s="68"/>
      <c r="H15" s="70"/>
      <c r="I15" s="70"/>
      <c r="J15" s="70"/>
      <c r="L15" s="70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11</vt:i4>
      </vt:variant>
    </vt:vector>
  </HeadingPairs>
  <TitlesOfParts>
    <vt:vector size="11" baseType="lpstr">
      <vt:lpstr>DR</vt:lpstr>
      <vt:lpstr>WR-Youth</vt:lpstr>
      <vt:lpstr>WR-Open</vt:lpstr>
      <vt:lpstr>DP</vt:lpstr>
      <vt:lpstr>BP</vt:lpstr>
      <vt:lpstr>DEM</vt:lpstr>
      <vt:lpstr>JRP</vt:lpstr>
      <vt:lpstr>Tabelle1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2026-01-20T04:32:48Z</dcterms:modified>
</cp:coreProperties>
</file>