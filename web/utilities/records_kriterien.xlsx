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3D53B8D5-A2C9-4A93-905F-8684BD73162B}" xr6:coauthVersionLast="47" xr6:coauthVersionMax="47" xr10:uidLastSave="{00000000-0000-0000-0000-000000000000}"/>
  <bookViews>
    <workbookView xWindow="-98" yWindow="-98" windowWidth="21795" windowHeight="12975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<sst xmlns="http://schemas.openxmlformats.org/spreadsheetml/2006/main" count="774" uniqueCount="273">
  <si>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</si>
  <si>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</si>
  <si>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</si>
  <si>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</si>
  <si>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</si>
  <si>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</si>
  <si>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</si>
  <si>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</si>
  <si>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</si>
  <si>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</si>
  <si>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</si>
  <si>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</si>
  <si>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</si>
  <si>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</si>
  <si>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</si>
  <si>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</si>
  <si>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</si>
  <si>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</si>
  <si>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</si>
  <si>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</si>
  <si>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</si>
  <si>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</si>
  <si>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</si>
  <si>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</si>
  <si>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</si>
  <si>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</si>
  <si>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</si>
  <si>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</si>
  <si>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</si>
  <si>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</si>
  <si>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</si>
  <si>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</si>
  <si>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</si>
  <si>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</si>
  <si>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</si>
  <si>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</si>
  <si>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</si>
  <si>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</si>
  <si>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</si>
  <si>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</si>
  <si>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</si>
  <si>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</si>
  <si>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</si>
  <si>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</si>
  <si>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</si>
  <si>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</si>
  <si>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</si>
  <si>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</si>
  <si>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</si>
  <si>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</si>
  <si>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</si>
  <si>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</si>
  <si>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</si>
  <si>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</si>
  <si>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</si>
  <si>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</si>
  <si>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</si>
  <si>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</si>
  <si>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</si>
  <si>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</si>
  <si>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</si>
  <si>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</si>
  <si>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</si>
  <si>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</si>
  <si>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</si>
  <si>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</si>
  <si>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</si>
  <si>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</si>
  <si>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</si>
  <si>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</si>
  <si>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</si>
  <si>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</si>
  <si>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</si>
  <si>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</si>
  <si>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</si>
  <si>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</si>
  <si>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</si>
  <si>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</si>
  <si>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</si>
  <si>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</si>
  <si>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</si>
  <si>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</si>
  <si>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</si>
  <si>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</si>
  <si>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</si>
  <si>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</si>
  <si>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</si>
  <si>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</si>
  <si>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</si>
  <si>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</si>
  <si>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</si>
  <si>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</si>
  <si>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</si>
  <si>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</si>
  <si>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</si>
  <si>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</si>
  <si>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</si>
  <si>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</si>
  <si>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</si>
  <si>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</si>
  <si>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</si>
  <si>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</si>
  <si>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</si>
  <si>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</si>
  <si>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</si>
  <si>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</si>
  <si>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</si>
  <si>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</si>
  <si>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</si>
  <si>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</si>
  <si>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</si>
  <si>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</si>
  <si>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</si>
  <si>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</si>
  <si>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</si>
  <si>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</si>
  <si>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</si>
  <si>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</si>
  <si>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</si>
  <si>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</si>
  <si>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</si>
  <si>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</si>
  <si>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</si>
  <si>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</si>
  <si>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</si>
  <si>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</si>
  <si>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</si>
  <si>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</si>
  <si>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</si>
  <si>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</si>
  <si>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</si>
  <si>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</si>
  <si>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</si>
  <si>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</si>
  <si>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</si>
  <si>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</si>
  <si>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</si>
  <si>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</si>
  <si>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</si>
  <si>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</si>
  <si>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</si>
  <si>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</si>
  <si>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</si>
  <si>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</si>
  <si>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</si>
  <si>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</si>
  <si>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</si>
  <si>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</si>
  <si>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</si>
  <si>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</si>
  <si>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</si>
  <si>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</si>
  <si>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</si>
  <si>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</si>
  <si>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</si>
  <si>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</si>
  <si>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</si>
  <si>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</si>
  <si>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</si>
  <si>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</si>
  <si>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</si>
  <si>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</si>
  <si>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</si>
  <si>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</si>
  <si>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</si>
  <si>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</si>
  <si>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</si>
  <si>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</si>
  <si>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</si>
  <si>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</si>
  <si>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</si>
  <si>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</si>
  <si>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</si>
  <si>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</si>
  <si>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</si>
  <si>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</si>
  <si>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</si>
  <si>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</si>
  <si>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</si>
  <si>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</si>
  <si>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</si>
  <si>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</si>
  <si>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</si>
  <si>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</si>
  <si>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</si>
  <si>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</si>
  <si>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</si>
  <si>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</si>
  <si>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</si>
  <si>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</si>
  <si>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</si>
  <si>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</si>
  <si>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</si>
  <si>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</si>
  <si>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</si>
  <si>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</si>
  <si>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</si>
  <si>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</si>
  <si>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</si>
  <si>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</si>
  <si>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</si>
  <si>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</si>
  <si>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</si>
  <si>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</si>
  <si>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</si>
  <si>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</si>
  <si>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</si>
  <si>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</si>
  <si>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</si>
  <si>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</si>
  <si>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</si>
  <si>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</si>
  <si>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</si>
  <si>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</si>
  <si>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</si>
  <si>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</si>
  <si>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</si>
  <si>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</si>
  <si>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</si>
  <si>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</si>
  <si>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</si>
  <si>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</si>
  <si>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</si>
  <si>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</si>
  <si>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</si>
  <si>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</si>
  <si>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</si>
  <si>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</si>
  <si>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</si>
  <si>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</si>
  <si>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</si>
  <si>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+20% Frauen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</si>
  <si>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</si>
  <si>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</si>
  <si>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</si>
  <si>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</si>
  <si>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</si>
  <si>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</si>
  <si>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</si>
  <si>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</si>
  <si>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</si>
  <si>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</si>
  <si>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</si>
  <si>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</si>
  <si>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</si>
  <si>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</si>
  <si>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</si>
  <si>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</si>
  <si>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</si>
  <si>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</si>
  <si>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</si>
  <si>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</si>
  <si>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</si>
  <si>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</si>
  <si>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</si>
  <si>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</si>
  <si>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</si>
  <si>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</si>
  <si>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</si>
  <si>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</si>
  <si>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</si>
  <si>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</si>
  <si>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</si>
  <si>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</si>
  <si>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</si>
  <si>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</si>
  <si>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</si>
  <si>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NK2 +18% Mäner</t>
  </si>
  <si>
    <t>NK1 +17% Mäner</t>
  </si>
  <si>
    <t>NK1 +19% Frauen</t>
  </si>
  <si>
    <t>Warm Up, 50m Bahn, Cool Down, Theorie Lifesaver, Treffpunkt 12:10 im Foyer</t>
  </si>
  <si>
    <t>20.7.Jahr - 1</t>
  </si>
  <si>
    <t>Lara Ramackers, Lina Weidmann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</si>
</sst>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alignment horizontal="center" vertical="bottom" textRotation="0" wrapText="0" indent="0" justifyLastLine="0" shrinkToFit="0" readingOrder="0"/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0"/>
    <tableColumn id="8" xr3:uid="{2811DB01-60A5-4BE4-B6F9-A806398A602A}" name="Wertung" dataDxfId="90"/>
    <tableColumn id="9" xr3:uid="{0C16DAFE-847D-4E9E-9604-3A7D9FE924D0}" name="Landesverband" dataDxfId="89"/>
    <tableColumn id="10" xr3:uid="{7A8A4101-A553-4BD5-9116-9AA5876B9401}" name="OMS" dataDxfId="88"/>
    <tableColumn id="11" xr3:uid="{9807C9BD-6499-45F6-ACE0-4D13D64EF675}" name="Pool-Länge" dataDxfId="87"/>
    <tableColumn id="12" xr3:uid="{13D336DD-650F-4F2C-836F-361CA1528F6D}" name="Regelwerk" dataDxfId="86"/>
    <tableColumn id="13" xr3:uid="{66660E2D-ADF2-4FB5-8A13-004F826EE908}" name="Referenz" dataDxfId="85"/>
    <tableColumn id="19" xr3:uid="{D72EDF8B-ECC3-4FF7-ABE6-B60BCE4A5E26}" name="Referenz Jahr" dataDxfId="84"/>
    <tableColumn id="20" xr3:uid="{7B18E667-70F7-4BC1-AB1B-21C019F2AA89}" name="Mindest Punktzahl" dataDxfId="83"/>
    <tableColumn id="21" xr3:uid="{FC185946-681B-42A6-AB1A-FC1EABB668C5}" name="Mindest Disziplinen" dataDxfId="82"/>
    <tableColumn id="14" xr3:uid="{6A2676FD-2EC7-4C41-A35E-A1597A38F932}" name="3-Kampf Regel" dataDxfId="81"/>
    <tableColumn id="15" xr3:uid="{718E0917-4F83-4A2B-832F-EBB16D5E21BF}" name="Anzahl Nominierte" dataDxfId="80"/>
    <tableColumn id="16" xr3:uid="{5C66A461-D647-4E00-A81C-FD7AD44D7CC2}" name="Anzahl Nachrücker" dataDxfId="79"/>
    <tableColumn id="17" xr3:uid="{D434BDEC-293B-4B4E-A5E9-479438960A03}" name="Seiten Anzahl" dataDxfId="78"/>
    <tableColumn id="18" xr3:uid="{80908229-9247-473F-81C0-9C9D4C12FF06}" name="Absagen" dataDxfId="7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6" dataDxfId="75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4"/>
    <tableColumn id="2" xr3:uid="{6346FF3B-B334-4CD8-8B23-F2347E29C536}" name="Geschlecht" dataDxfId="73"/>
    <tableColumn id="3" xr3:uid="{E793B48A-BC8A-439F-8AAF-6FD08104A619}" name="Mindest Alter" dataDxfId="72"/>
    <tableColumn id="4" xr3:uid="{01A62C29-2F75-4107-A431-F69230BCCD0C}" name="Maximales Alter" dataDxfId="71"/>
    <tableColumn id="5" xr3:uid="{B7E4DE90-7856-4A0C-9063-61414D7F227C}" name="Qualizeitraum anfang" dataDxfId="70"/>
    <tableColumn id="6" xr3:uid="{B00F7CD1-82CB-42B9-A396-89F79EF419CA}" name="Qualizeitraum Ende" dataDxfId="69"/>
    <tableColumn id="7" xr3:uid="{9E50DDE5-12E3-4BCB-801C-FBABCE309F0E}" name="Letzter Wettkampf am" dataDxfId="68"/>
    <tableColumn id="8" xr3:uid="{57E68247-0FF2-48D8-8ACD-AB057E576A21}" name="Landesverband" dataDxfId="67"/>
    <tableColumn id="9" xr3:uid="{EBAA439D-F69A-4C2A-8193-9AE08F1E57B8}" name="OMS" dataDxfId="66"/>
    <tableColumn id="10" xr3:uid="{BBD11E7F-3DDF-428A-B005-4A40E6FA78DC}" name="Pool-Länge" dataDxfId="65"/>
    <tableColumn id="11" xr3:uid="{6AE38DCA-A084-4F3D-A6A4-4E76E3E2CBC6}" name="Regelwerk" dataDxfId="64"/>
    <tableColumn id="12" xr3:uid="{7F7470AD-5502-4CEE-BB4C-44BA308E61D7}" name="Seiten Anzahl" dataDxfId="63"/>
    <tableColumn id="13" xr3:uid="{F416CBFA-4C9D-45CD-9BA7-E4BC57A08BC2}" name="PZ1 - 50m Retten" dataDxfId="62"/>
    <tableColumn id="14" xr3:uid="{7117DBCA-0DA7-462C-84FE-0DC7E33B124C}" name="PZ1 - 100m Retten" dataDxfId="61"/>
    <tableColumn id="15" xr3:uid="{E8630E91-DC30-4822-9E53-6D65487C3670}" name="PZ1 - 100m Kombi" dataDxfId="60"/>
    <tableColumn id="16" xr3:uid="{4B3AA225-E042-430F-8259-D176887B4528}" name="PZ1 - 100m Lifesaver" dataDxfId="59"/>
    <tableColumn id="17" xr3:uid="{798674BD-98CE-4531-BDFF-6AB06253AD7C}" name="PZ1 - 200m Super-Lifesaver" dataDxfId="58"/>
    <tableColumn id="18" xr3:uid="{8809BB71-D58B-4E8B-A442-D0EB9A65A25D}" name="PZ1 - 200m Hindernis" dataDxfId="57"/>
    <tableColumn id="19" xr3:uid="{93DCF463-806B-4117-B4E3-1FFAE976B37C}" name="PZ2 - 50m Retten" dataDxfId="56"/>
    <tableColumn id="20" xr3:uid="{A514C961-559E-462F-B143-BA30974C0129}" name="PZ2 - 100m Retten" dataDxfId="55"/>
    <tableColumn id="21" xr3:uid="{F1CF6143-45FE-498D-93D6-36F26D2F3C0B}" name="PZ2 - 100m Kombi" dataDxfId="54"/>
    <tableColumn id="22" xr3:uid="{E90962FC-C214-467F-841F-40DF60E41456}" name="PZ2 - 100m Lifesaver" dataDxfId="53"/>
    <tableColumn id="23" xr3:uid="{7FBC6334-C4C8-4B38-9F59-30ED95A44379}" name="PZ2 - 200m Super-Lifesaver" dataDxfId="52"/>
    <tableColumn id="24" xr3:uid="{231BFF86-8F3A-4BA1-B25E-28175D9EDFA9}" name="PZ2 - 200m Hindernis" dataDxfId="5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50" dataDxfId="49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8"/>
    <tableColumn id="2" xr3:uid="{733C1722-A9C9-4830-A9E2-FE62E96BCD98}" name="Geschlecht" dataDxfId="47"/>
    <tableColumn id="3" xr3:uid="{80C0BF46-0E43-4947-BF86-B808C324772A}" name="Mindest Alter" dataDxfId="46"/>
    <tableColumn id="4" xr3:uid="{DBA2A923-EEB7-43F9-A1A3-E78624448FB9}" name="Maximales Alter" dataDxfId="45"/>
    <tableColumn id="5" xr3:uid="{3FDEE18A-328D-45AE-907D-69A916A93345}" name="Qualizeitraum anfang" dataDxfId="44"/>
    <tableColumn id="6" xr3:uid="{BE002D7F-575F-4B60-9251-C71D93F59045}" name="Qualizeitraum Ende" dataDxfId="43"/>
    <tableColumn id="7" xr3:uid="{208ABD57-DE4B-41D6-B9FC-93F2D8966E8D}" name="Letzter Wettkampf am" dataDxfId="42"/>
    <tableColumn id="8" xr3:uid="{30C9697C-6550-4996-ADDB-7FEE5325B794}" name="Landesverband" dataDxfId="41"/>
    <tableColumn id="9" xr3:uid="{ED2DAB77-EF46-4D8B-B8E4-90412E32E277}" name="OMS" dataDxfId="40"/>
    <tableColumn id="10" xr3:uid="{AD534940-A91B-4A6E-9606-E3F3E517D401}" name="Pool-Länge" dataDxfId="39"/>
    <tableColumn id="11" xr3:uid="{11F9D5D5-72FE-42CA-8624-01D513B4140F}" name="Regelwerk" dataDxfId="38"/>
    <tableColumn id="12" xr3:uid="{3907872B-5438-4FBF-A045-3EF9EAACFC47}" name="Seiten Anzahl" dataDxfId="37"/>
    <tableColumn id="13" xr3:uid="{FC821324-3638-40C0-BA1E-069B44E23C7A}" name="PZ1 - 50m Retten" dataDxfId="36"/>
    <tableColumn id="14" xr3:uid="{70529619-443E-40D3-88C1-3E0F00BB2A50}" name="PZ1 - 100m Retten" dataDxfId="35"/>
    <tableColumn id="15" xr3:uid="{EFA92FD2-C23F-42B3-83DC-5036513F19AF}" name="PZ1 - 100m Kombi" dataDxfId="34"/>
    <tableColumn id="16" xr3:uid="{03309E52-8CF3-4E90-9EE6-A818901C3B32}" name="PZ1 - 100m Lifesaver" dataDxfId="33"/>
    <tableColumn id="17" xr3:uid="{00B22013-AA11-4C17-9250-22060AE4B0A8}" name="PZ1 - 200m Super-Lifesaver" dataDxfId="32"/>
    <tableColumn id="18" xr3:uid="{7E3508A9-0422-4561-A23E-53E613259B24}" name="PZ1 - 200m Hindernis" dataDxfId="31"/>
    <tableColumn id="19" xr3:uid="{5CEA435F-F34B-4D8D-88D0-F5EBFF18B713}" name="PZ2 - 50m Retten" dataDxfId="30"/>
    <tableColumn id="20" xr3:uid="{8585BE62-F7C4-4D5D-B287-052B43B08610}" name="PZ2 - 100m Retten" dataDxfId="29"/>
    <tableColumn id="21" xr3:uid="{D981758B-ADAD-4E36-B787-0B0FDA808CA2}" name="PZ2 - 100m Kombi" dataDxfId="28"/>
    <tableColumn id="22" xr3:uid="{1D4970A8-D22F-4962-934C-AEA295ED687A}" name="PZ2 - 100m Lifesaver" dataDxfId="27"/>
    <tableColumn id="23" xr3:uid="{BE394430-C58F-4690-9615-44475E5AF9F8}" name="PZ2 - 200m Super-Lifesaver" dataDxfId="26"/>
    <tableColumn id="24" xr3:uid="{A7036B1A-99CE-4F7C-AAB8-12E8B2696202}" name="PZ2 - 200m Hindernis" dataDxfId="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4"/>
    <tableColumn id="2" xr3:uid="{38211212-0A92-428C-895C-E4CA68F52818}" name="datum bis"/>
    <tableColumn id="3" xr3:uid="{66E541C6-0A5E-4B2D-9B89-5E52F449A4A6}" name="uhrzeit von" dataDxfId="23"/>
    <tableColumn id="4" xr3:uid="{D93C06A2-29AD-4073-8E3C-A685B4474CC8}" name="uhrzeit bis" dataDxfId="22"/>
    <tableColumn id="5" xr3:uid="{C5C3979C-B528-44E8-A5A6-36F020A6034F}" name="titel" dataDxfId="21"/>
    <tableColumn id="6" xr3:uid="{9DC09E1D-44FD-40ED-9EBE-86A8E61C38B2}" name="meta" dataDxfId="20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9" priority="15">
      <formula>B5&lt;&gt;B4</formula>
    </cfRule>
  </conditionalFormatting>
  <conditionalFormatting sqref="H5:M31">
    <cfRule type="expression" dxfId="18" priority="14">
      <formula>H5&lt;&gt;H4</formula>
    </cfRule>
  </conditionalFormatting>
  <conditionalFormatting sqref="N5:S31">
    <cfRule type="expression" dxfId="17" priority="13">
      <formula>N5&lt;&gt;N4</formula>
    </cfRule>
  </conditionalFormatting>
  <conditionalFormatting sqref="T5:Y31">
    <cfRule type="expression" dxfId="16" priority="12">
      <formula>T5&lt;&gt;T4</formula>
    </cfRule>
  </conditionalFormatting>
  <conditionalFormatting sqref="Z5:AE31">
    <cfRule type="expression" dxfId="15" priority="9">
      <formula>Z5&lt;&gt;Z4</formula>
    </cfRule>
  </conditionalFormatting>
  <conditionalFormatting sqref="AF5:AK31">
    <cfRule type="expression" dxfId="14" priority="8">
      <formula>AF5&lt;&gt;AF4</formula>
    </cfRule>
  </conditionalFormatting>
  <conditionalFormatting sqref="AL5:AN31">
    <cfRule type="expression" dxfId="13" priority="6">
      <formula>AL5&lt;&gt;AL4</formula>
    </cfRule>
  </conditionalFormatting>
  <conditionalFormatting sqref="AO5:AQ31">
    <cfRule type="expression" dxfId="12" priority="5">
      <formula>AO5&lt;&gt;AO4</formula>
    </cfRule>
  </conditionalFormatting>
  <conditionalFormatting sqref="AR5:AT31">
    <cfRule type="expression" dxfId="11" priority="2">
      <formula>AR5&lt;&gt;AR4</formula>
    </cfRule>
  </conditionalFormatting>
  <conditionalFormatting sqref="AU5:AW31">
    <cfRule type="expression" dxfId="10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9" priority="20">
      <formula>B6&lt;&gt;B4</formula>
    </cfRule>
  </conditionalFormatting>
  <conditionalFormatting sqref="B7:G32">
    <cfRule type="expression" dxfId="8" priority="1">
      <formula>B7&lt;&gt;B6</formula>
    </cfRule>
  </conditionalFormatting>
  <conditionalFormatting sqref="H6:M6">
    <cfRule type="expression" dxfId="7" priority="22">
      <formula>H6&lt;&gt;H4</formula>
    </cfRule>
  </conditionalFormatting>
  <conditionalFormatting sqref="H7:M32">
    <cfRule type="expression" dxfId="6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5" priority="19">
      <formula>B6&lt;&gt;B4</formula>
    </cfRule>
  </conditionalFormatting>
  <conditionalFormatting sqref="B7:G32">
    <cfRule type="expression" dxfId="4" priority="2">
      <formula>B7&lt;&gt;B6</formula>
    </cfRule>
  </conditionalFormatting>
  <conditionalFormatting sqref="H6:M6">
    <cfRule type="expression" dxfId="3" priority="20">
      <formula>H6&lt;&gt;H4</formula>
    </cfRule>
  </conditionalFormatting>
  <conditionalFormatting sqref="H7:M32">
    <cfRule type="expression" dxfId="2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abSelected="1"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271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271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271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272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271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271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271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232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233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267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4.4045138888888888E-4</v>
      </c>
      <c r="N4" s="62">
        <f>NK!E16</f>
        <v>6.9557175925925928E-4</v>
      </c>
      <c r="O4" s="62">
        <f>NK!E15</f>
        <v>9.4522916666666681E-4</v>
      </c>
      <c r="P4" s="62">
        <f>NK!E17</f>
        <v>7.884421296296295E-4</v>
      </c>
      <c r="Q4" s="62">
        <f>NK!E19</f>
        <v>1.961340277777778E-3</v>
      </c>
      <c r="R4" s="62">
        <f>NK!E18</f>
        <v>1.7914421296296294E-3</v>
      </c>
      <c r="S4" s="62">
        <f>M4</f>
        <v>4.4045138888888888E-4</v>
      </c>
      <c r="T4" s="62">
        <f t="shared" ref="T4:T9" si="0">N4</f>
        <v>6.9557175925925928E-4</v>
      </c>
      <c r="U4" s="62">
        <f t="shared" ref="U4:U9" si="1">O4</f>
        <v>9.4522916666666681E-4</v>
      </c>
      <c r="V4" s="62">
        <f t="shared" ref="V4:V9" si="2">P4</f>
        <v>7.884421296296295E-4</v>
      </c>
      <c r="W4" s="62">
        <f t="shared" ref="W4:W9" si="3">Q4</f>
        <v>1.961340277777778E-3</v>
      </c>
      <c r="X4" s="62">
        <f t="shared" ref="X4:X9" si="4">R4</f>
        <v>1.7914421296296294E-3</v>
      </c>
    </row>
    <row r="5" spans="1:24" x14ac:dyDescent="0.45">
      <c r="A5" s="59" t="s">
        <v>267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4.5424537037037037E-4</v>
      </c>
      <c r="N5" s="62">
        <f>NK!D16</f>
        <v>7.1551157407407403E-4</v>
      </c>
      <c r="O5" s="62">
        <f>NK!D15</f>
        <v>9.8333333333333324E-4</v>
      </c>
      <c r="P5" s="62">
        <f>NK!D17</f>
        <v>8.1876157407407407E-4</v>
      </c>
      <c r="Q5" s="62">
        <f>NK!D19</f>
        <v>2.0244374999999998E-3</v>
      </c>
      <c r="R5" s="62">
        <f>NK!D18</f>
        <v>1.8460717592592589E-3</v>
      </c>
      <c r="S5" s="62">
        <f t="shared" ref="S5:S9" si="5">M5</f>
        <v>4.5424537037037037E-4</v>
      </c>
      <c r="T5" s="62">
        <f t="shared" si="0"/>
        <v>7.1551157407407403E-4</v>
      </c>
      <c r="U5" s="62">
        <f t="shared" si="1"/>
        <v>9.8333333333333324E-4</v>
      </c>
      <c r="V5" s="62">
        <f t="shared" si="2"/>
        <v>8.1876157407407407E-4</v>
      </c>
      <c r="W5" s="62">
        <f t="shared" si="3"/>
        <v>2.0244374999999998E-3</v>
      </c>
      <c r="X5" s="62">
        <f t="shared" si="4"/>
        <v>1.8460717592592589E-3</v>
      </c>
    </row>
    <row r="6" spans="1:24" x14ac:dyDescent="0.45">
      <c r="A6" s="59" t="s">
        <v>267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4.6353240740740735E-4</v>
      </c>
      <c r="N6" s="62">
        <f>NK!C16</f>
        <v>7.2916898148148146E-4</v>
      </c>
      <c r="O6" s="62">
        <f>NK!C15</f>
        <v>1.0006782407407406E-3</v>
      </c>
      <c r="P6" s="62">
        <f>NK!C17</f>
        <v>8.3952083333333329E-4</v>
      </c>
      <c r="Q6" s="62">
        <f>NK!C19</f>
        <v>2.067458333333333E-3</v>
      </c>
      <c r="R6" s="62">
        <f>NK!C18</f>
        <v>1.8833564814814815E-3</v>
      </c>
      <c r="S6" s="62">
        <f t="shared" si="5"/>
        <v>4.6353240740740735E-4</v>
      </c>
      <c r="T6" s="62">
        <f t="shared" si="0"/>
        <v>7.2916898148148146E-4</v>
      </c>
      <c r="U6" s="62">
        <f t="shared" si="1"/>
        <v>1.0006782407407406E-3</v>
      </c>
      <c r="V6" s="62">
        <f t="shared" si="2"/>
        <v>8.3952083333333329E-4</v>
      </c>
      <c r="W6" s="62">
        <f t="shared" si="3"/>
        <v>2.067458333333333E-3</v>
      </c>
      <c r="X6" s="62">
        <f t="shared" si="4"/>
        <v>1.8833564814814815E-3</v>
      </c>
    </row>
    <row r="7" spans="1:24" x14ac:dyDescent="0.45">
      <c r="A7" s="59" t="s">
        <v>231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5.4694444444444441E-4</v>
      </c>
      <c r="N7" s="62">
        <f>NK!K16</f>
        <v>8.2777777777777786E-4</v>
      </c>
      <c r="O7" s="62">
        <f>NK!K15</f>
        <v>1.1216666666666666E-3</v>
      </c>
      <c r="P7" s="62">
        <f>NK!K17</f>
        <v>9.1791666666666671E-4</v>
      </c>
      <c r="Q7" s="62">
        <f>NK!K19</f>
        <v>2.1695833333333333E-3</v>
      </c>
      <c r="R7" s="62">
        <f>NK!K18</f>
        <v>1.9655555555555555E-3</v>
      </c>
      <c r="S7" s="62">
        <f t="shared" si="5"/>
        <v>5.4694444444444441E-4</v>
      </c>
      <c r="T7" s="62">
        <f t="shared" si="0"/>
        <v>8.2777777777777786E-4</v>
      </c>
      <c r="U7" s="62">
        <f t="shared" si="1"/>
        <v>1.1216666666666666E-3</v>
      </c>
      <c r="V7" s="62">
        <f t="shared" si="2"/>
        <v>9.1791666666666671E-4</v>
      </c>
      <c r="W7" s="62">
        <f t="shared" si="3"/>
        <v>2.1695833333333333E-3</v>
      </c>
      <c r="X7" s="62">
        <f t="shared" si="4"/>
        <v>1.9655555555555555E-3</v>
      </c>
    </row>
    <row r="8" spans="1:24" x14ac:dyDescent="0.45">
      <c r="A8" s="59" t="s">
        <v>231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5.6041666666666664E-4</v>
      </c>
      <c r="N8" s="62">
        <f>NK!J16</f>
        <v>8.4444444444444443E-4</v>
      </c>
      <c r="O8" s="62">
        <f>NK!J15</f>
        <v>1.1630555555555554E-3</v>
      </c>
      <c r="P8" s="62">
        <f>NK!J17</f>
        <v>9.3833333333333334E-4</v>
      </c>
      <c r="Q8" s="62">
        <f>NK!J19</f>
        <v>2.2183333333333334E-3</v>
      </c>
      <c r="R8" s="62">
        <f>NK!J18</f>
        <v>1.995416666666667E-3</v>
      </c>
      <c r="S8" s="62">
        <f t="shared" si="5"/>
        <v>5.6041666666666664E-4</v>
      </c>
      <c r="T8" s="62">
        <f t="shared" si="0"/>
        <v>8.4444444444444443E-4</v>
      </c>
      <c r="U8" s="62">
        <f t="shared" si="1"/>
        <v>1.1630555555555554E-3</v>
      </c>
      <c r="V8" s="62">
        <f t="shared" si="2"/>
        <v>9.3833333333333334E-4</v>
      </c>
      <c r="W8" s="62">
        <f t="shared" si="3"/>
        <v>2.2183333333333334E-3</v>
      </c>
      <c r="X8" s="62">
        <f t="shared" si="4"/>
        <v>1.995416666666667E-3</v>
      </c>
    </row>
    <row r="9" spans="1:24" x14ac:dyDescent="0.45">
      <c r="A9" s="59" t="s">
        <v>231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5.7291666666666667E-4</v>
      </c>
      <c r="N9" s="62">
        <f>NK!I16</f>
        <v>8.5972222222222222E-4</v>
      </c>
      <c r="O9" s="62">
        <f>NK!I15</f>
        <v>1.2043055555555557E-3</v>
      </c>
      <c r="P9" s="62">
        <f>NK!I17</f>
        <v>9.5722222222222226E-4</v>
      </c>
      <c r="Q9" s="62">
        <f>NK!I19</f>
        <v>2.2669444444444443E-3</v>
      </c>
      <c r="R9" s="62">
        <f>NK!I18</f>
        <v>2.0254166666666663E-3</v>
      </c>
      <c r="S9" s="62">
        <f t="shared" si="5"/>
        <v>5.7291666666666667E-4</v>
      </c>
      <c r="T9" s="62">
        <f t="shared" si="0"/>
        <v>8.5972222222222222E-4</v>
      </c>
      <c r="U9" s="62">
        <f t="shared" si="1"/>
        <v>1.2043055555555557E-3</v>
      </c>
      <c r="V9" s="62">
        <f t="shared" si="2"/>
        <v>9.5722222222222226E-4</v>
      </c>
      <c r="W9" s="62">
        <f t="shared" si="3"/>
        <v>2.2669444444444443E-3</v>
      </c>
      <c r="X9" s="62">
        <f t="shared" si="4"/>
        <v>2.0254166666666663E-3</v>
      </c>
    </row>
    <row r="10" spans="1:24" x14ac:dyDescent="0.45">
      <c r="A10" s="59" t="s">
        <v>268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4.2249999999999997E-4</v>
      </c>
      <c r="N10" s="62">
        <f>NK!$R$16</f>
        <v>6.6895833333333325E-4</v>
      </c>
      <c r="O10" s="62">
        <f>NK!$R$15</f>
        <v>9.0309374999999993E-4</v>
      </c>
      <c r="P10" s="62">
        <f>NK!$R$17</f>
        <v>7.5034374999999982E-4</v>
      </c>
      <c r="Q10" s="62">
        <f>NK!$R$19</f>
        <v>1.8793124999999999E-3</v>
      </c>
      <c r="R10" s="62">
        <f>NK!$R$18</f>
        <v>1.7196562499999998E-3</v>
      </c>
      <c r="S10" s="62">
        <f>M10</f>
        <v>4.2249999999999997E-4</v>
      </c>
      <c r="T10" s="62">
        <f t="shared" ref="T10:T15" si="6">N10</f>
        <v>6.6895833333333325E-4</v>
      </c>
      <c r="U10" s="62">
        <f t="shared" ref="U10:U15" si="7">O10</f>
        <v>9.0309374999999993E-4</v>
      </c>
      <c r="V10" s="62">
        <f t="shared" ref="V10:V15" si="8">P10</f>
        <v>7.5034374999999982E-4</v>
      </c>
      <c r="W10" s="62">
        <f t="shared" ref="W10:W15" si="9">Q10</f>
        <v>1.8793124999999999E-3</v>
      </c>
      <c r="X10" s="62">
        <f t="shared" ref="X10:X15" si="10">R10</f>
        <v>1.7196562499999998E-3</v>
      </c>
    </row>
    <row r="11" spans="1:24" x14ac:dyDescent="0.45">
      <c r="A11" s="59" t="s">
        <v>268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4.1044791666666665E-4</v>
      </c>
      <c r="N11" s="62">
        <f>NK!$S$16</f>
        <v>6.5121875E-4</v>
      </c>
      <c r="O11" s="62">
        <f>NK!$S$15</f>
        <v>8.7438541666666654E-4</v>
      </c>
      <c r="P11" s="62">
        <f>NK!$S$17</f>
        <v>7.2407291666666659E-4</v>
      </c>
      <c r="Q11" s="62">
        <f>NK!$S$19</f>
        <v>1.8610312499999998E-3</v>
      </c>
      <c r="R11" s="62">
        <f>NK!$S$18</f>
        <v>1.6714479166666668E-3</v>
      </c>
      <c r="S11" s="62">
        <f t="shared" ref="S11:S15" si="11">M11</f>
        <v>4.1044791666666665E-4</v>
      </c>
      <c r="T11" s="62">
        <f t="shared" si="6"/>
        <v>6.5121875E-4</v>
      </c>
      <c r="U11" s="62">
        <f t="shared" si="7"/>
        <v>8.7438541666666654E-4</v>
      </c>
      <c r="V11" s="62">
        <f t="shared" si="8"/>
        <v>7.2407291666666659E-4</v>
      </c>
      <c r="W11" s="62">
        <f t="shared" si="9"/>
        <v>1.8610312499999998E-3</v>
      </c>
      <c r="X11" s="62">
        <f t="shared" si="10"/>
        <v>1.6714479166666668E-3</v>
      </c>
    </row>
    <row r="12" spans="1:24" x14ac:dyDescent="0.45">
      <c r="A12" s="59" t="s">
        <v>268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3.9663541666666666E-4</v>
      </c>
      <c r="N12" s="62">
        <f>NK!$T$16</f>
        <v>6.3104166666666658E-4</v>
      </c>
      <c r="O12" s="62">
        <f>NK!$T$15</f>
        <v>8.4147916666666659E-4</v>
      </c>
      <c r="P12" s="62">
        <f>NK!$T$17</f>
        <v>6.9401041666666656E-4</v>
      </c>
      <c r="Q12" s="62">
        <f>NK!$T$19</f>
        <v>1.8044270833333334E-3</v>
      </c>
      <c r="R12" s="62">
        <f>NK!$T$18</f>
        <v>1.6164687499999999E-3</v>
      </c>
      <c r="S12" s="62">
        <f t="shared" si="11"/>
        <v>3.9663541666666666E-4</v>
      </c>
      <c r="T12" s="62">
        <f t="shared" si="6"/>
        <v>6.3104166666666658E-4</v>
      </c>
      <c r="U12" s="62">
        <f t="shared" si="7"/>
        <v>8.4147916666666659E-4</v>
      </c>
      <c r="V12" s="62">
        <f t="shared" si="8"/>
        <v>6.9401041666666656E-4</v>
      </c>
      <c r="W12" s="62">
        <f t="shared" si="9"/>
        <v>1.8044270833333334E-3</v>
      </c>
      <c r="X12" s="62">
        <f t="shared" si="10"/>
        <v>1.6164687499999999E-3</v>
      </c>
    </row>
    <row r="13" spans="1:24" x14ac:dyDescent="0.45">
      <c r="A13" s="59" t="s">
        <v>269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5.2475694444444445E-4</v>
      </c>
      <c r="N13" s="62">
        <f>NK!$X$16</f>
        <v>7.9925578703703712E-4</v>
      </c>
      <c r="O13" s="62">
        <f>NK!$X$15</f>
        <v>1.0714131944444443E-3</v>
      </c>
      <c r="P13" s="62">
        <f>NK!$X$17</f>
        <v>8.8368518518518505E-4</v>
      </c>
      <c r="Q13" s="62">
        <f>NK!$X$19</f>
        <v>2.103159722222222E-3</v>
      </c>
      <c r="R13" s="62">
        <f>NK!$X$18</f>
        <v>1.9194259259259262E-3</v>
      </c>
      <c r="S13" s="62">
        <f t="shared" si="11"/>
        <v>5.2475694444444445E-4</v>
      </c>
      <c r="T13" s="62">
        <f t="shared" si="6"/>
        <v>7.9925578703703712E-4</v>
      </c>
      <c r="U13" s="62">
        <f t="shared" si="7"/>
        <v>1.0714131944444443E-3</v>
      </c>
      <c r="V13" s="62">
        <f t="shared" si="8"/>
        <v>8.8368518518518505E-4</v>
      </c>
      <c r="W13" s="62">
        <f t="shared" si="9"/>
        <v>2.103159722222222E-3</v>
      </c>
      <c r="X13" s="62">
        <f t="shared" si="10"/>
        <v>1.9194259259259262E-3</v>
      </c>
    </row>
    <row r="14" spans="1:24" x14ac:dyDescent="0.45">
      <c r="A14" s="59" t="s">
        <v>269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5.0037847222222215E-4</v>
      </c>
      <c r="N14" s="62">
        <f>NK!$Y$16</f>
        <v>7.6867939814814811E-4</v>
      </c>
      <c r="O14" s="62">
        <f>NK!$Y$15</f>
        <v>1.0229317129629629E-3</v>
      </c>
      <c r="P14" s="62">
        <f>NK!$Y$17</f>
        <v>8.4649768518518516E-4</v>
      </c>
      <c r="Q14" s="62">
        <f>NK!$Y$19</f>
        <v>2.0437974537037035E-3</v>
      </c>
      <c r="R14" s="62">
        <f>NK!$Y$18</f>
        <v>1.8822384259259259E-3</v>
      </c>
      <c r="S14" s="62">
        <f t="shared" si="11"/>
        <v>5.0037847222222215E-4</v>
      </c>
      <c r="T14" s="62">
        <f t="shared" si="6"/>
        <v>7.6867939814814811E-4</v>
      </c>
      <c r="U14" s="62">
        <f t="shared" si="7"/>
        <v>1.0229317129629629E-3</v>
      </c>
      <c r="V14" s="62">
        <f t="shared" si="8"/>
        <v>8.4649768518518516E-4</v>
      </c>
      <c r="W14" s="62">
        <f t="shared" si="9"/>
        <v>2.0437974537037035E-3</v>
      </c>
      <c r="X14" s="62">
        <f t="shared" si="10"/>
        <v>1.8822384259259259E-3</v>
      </c>
    </row>
    <row r="15" spans="1:24" x14ac:dyDescent="0.45">
      <c r="A15" s="59" t="s">
        <v>269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4.8247337962962957E-4</v>
      </c>
      <c r="N15" s="62">
        <f>NK!$Z$16</f>
        <v>7.4636689814814813E-4</v>
      </c>
      <c r="O15" s="62">
        <f>NK!$Z$15</f>
        <v>9.8739699074074073E-4</v>
      </c>
      <c r="P15" s="62">
        <f>NK!$Z$17</f>
        <v>8.192268518518518E-4</v>
      </c>
      <c r="Q15" s="62">
        <f>NK!$Z$19</f>
        <v>2.0004120370370371E-3</v>
      </c>
      <c r="R15" s="62">
        <f>NK!$Z$18</f>
        <v>1.8551053240740739E-3</v>
      </c>
      <c r="S15" s="62">
        <f t="shared" si="11"/>
        <v>4.8247337962962957E-4</v>
      </c>
      <c r="T15" s="62">
        <f t="shared" si="6"/>
        <v>7.4636689814814813E-4</v>
      </c>
      <c r="U15" s="62">
        <f t="shared" si="7"/>
        <v>9.8739699074074073E-4</v>
      </c>
      <c r="V15" s="62">
        <f t="shared" si="8"/>
        <v>8.192268518518518E-4</v>
      </c>
      <c r="W15" s="62">
        <f t="shared" si="9"/>
        <v>2.0004120370370371E-3</v>
      </c>
      <c r="X15" s="62">
        <f t="shared" si="10"/>
        <v>1.8551053240740739E-3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237</v>
      </c>
      <c r="B1" t="s">
        <v>238</v>
      </c>
      <c r="C1" t="s">
        <v>239</v>
      </c>
      <c r="D1" t="s">
        <v>240</v>
      </c>
      <c r="E1" t="s">
        <v>241</v>
      </c>
      <c r="F1" t="s">
        <v>247</v>
      </c>
      <c r="G1" t="s">
        <v>243</v>
      </c>
      <c r="H1" t="s">
        <v>242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244</v>
      </c>
      <c r="F2" s="72" t="s">
        <v>248</v>
      </c>
      <c r="G2" t="s">
        <v>245</v>
      </c>
      <c r="H2" t="s">
        <v>246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249</v>
      </c>
      <c r="F3" s="72" t="s">
        <v>270</v>
      </c>
      <c r="G3" t="s">
        <v>245</v>
      </c>
      <c r="H3" t="s">
        <v>250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244</v>
      </c>
      <c r="F4" s="72" t="s">
        <v>248</v>
      </c>
      <c r="G4" t="s">
        <v>245</v>
      </c>
      <c r="H4" t="s">
        <v>246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249</v>
      </c>
      <c r="F5" s="72" t="s">
        <v>251</v>
      </c>
      <c r="G5" t="s">
        <v>245</v>
      </c>
      <c r="H5" t="s">
        <v>250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249</v>
      </c>
      <c r="F6" s="72" t="s">
        <v>252</v>
      </c>
      <c r="G6" t="s">
        <v>253</v>
      </c>
      <c r="H6" t="s">
        <v>250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244</v>
      </c>
      <c r="F7" s="72" t="s">
        <v>254</v>
      </c>
      <c r="G7" t="s">
        <v>245</v>
      </c>
      <c r="H7" t="s">
        <v>246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255</v>
      </c>
      <c r="F8" s="72" t="s">
        <v>256</v>
      </c>
      <c r="G8" t="s">
        <v>257</v>
      </c>
      <c r="H8" t="s">
        <v>250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258</v>
      </c>
      <c r="F9" s="72" t="s">
        <v>259</v>
      </c>
      <c r="G9" t="s">
        <v>260</v>
      </c>
      <c r="H9" t="s">
        <v>261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262</v>
      </c>
      <c r="F10" s="72" t="s">
        <v>263</v>
      </c>
      <c r="G10" t="s">
        <v>264</v>
      </c>
      <c r="H10" t="s">
        <v>265</v>
      </c>
    </row>
  </sheetData>
  <conditionalFormatting sqref="A2:H10">
    <cfRule type="expression" dxfId="1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opLeftCell="N5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234</v>
      </c>
      <c r="S4" s="69" t="s">
        <v>235</v>
      </c>
      <c r="T4" s="69" t="s">
        <v>236</v>
      </c>
      <c r="W4" s="63" t="s">
        <v>219</v>
      </c>
      <c r="X4" s="69" t="s">
        <v>234</v>
      </c>
      <c r="Y4" s="69" t="s">
        <v>235</v>
      </c>
      <c r="Z4" s="69" t="s">
        <v>236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227</v>
      </c>
      <c r="Q12" t="s">
        <v>230</v>
      </c>
      <c r="W12" t="s">
        <v>266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234</v>
      </c>
      <c r="S13" s="69" t="s">
        <v>235</v>
      </c>
      <c r="T13" s="69" t="s">
        <v>236</v>
      </c>
      <c r="W13" s="63" t="s">
        <v>219</v>
      </c>
      <c r="X13" s="69" t="s">
        <v>234</v>
      </c>
      <c r="Y13" s="69" t="s">
        <v>235</v>
      </c>
      <c r="Z13" s="69" t="s">
        <v>236</v>
      </c>
    </row>
    <row r="14" spans="2:27" x14ac:dyDescent="0.45">
      <c r="B14" s="64" t="s">
        <v>0</v>
      </c>
      <c r="C14" s="65">
        <f>C5*$F14</f>
        <v>4.6353240740740735E-4</v>
      </c>
      <c r="D14" s="65">
        <f t="shared" ref="D14:E14" si="0">D5*$F14</f>
        <v>4.5424537037037037E-4</v>
      </c>
      <c r="E14" s="65">
        <f t="shared" si="0"/>
        <v>4.4045138888888888E-4</v>
      </c>
      <c r="F14">
        <v>1.18</v>
      </c>
      <c r="H14" s="64" t="s">
        <v>0</v>
      </c>
      <c r="I14" s="65">
        <f>I5*$L14</f>
        <v>5.7291666666666667E-4</v>
      </c>
      <c r="J14" s="65">
        <f t="shared" ref="J14:K14" si="1">J5*$L14</f>
        <v>5.6041666666666664E-4</v>
      </c>
      <c r="K14" s="65">
        <f t="shared" si="1"/>
        <v>5.4694444444444441E-4</v>
      </c>
      <c r="L14">
        <v>1.2</v>
      </c>
      <c r="Q14" s="64" t="s">
        <v>0</v>
      </c>
      <c r="R14" s="65">
        <f t="shared" ref="R14:T19" si="2">R5*$U14</f>
        <v>4.2249999999999997E-4</v>
      </c>
      <c r="S14" s="65">
        <f t="shared" si="2"/>
        <v>4.1044791666666665E-4</v>
      </c>
      <c r="T14" s="65">
        <f t="shared" si="2"/>
        <v>3.9663541666666666E-4</v>
      </c>
      <c r="U14">
        <v>1.17</v>
      </c>
      <c r="W14" s="64" t="s">
        <v>0</v>
      </c>
      <c r="X14" s="65">
        <f>X5*$AA14</f>
        <v>5.2475694444444445E-4</v>
      </c>
      <c r="Y14" s="65">
        <f t="shared" ref="Y14:Z14" si="3">Y5*$AA14</f>
        <v>5.0037847222222215E-4</v>
      </c>
      <c r="Z14" s="65">
        <f t="shared" si="3"/>
        <v>4.8247337962962957E-4</v>
      </c>
      <c r="AA14">
        <v>1.19</v>
      </c>
    </row>
    <row r="15" spans="2:27" x14ac:dyDescent="0.45">
      <c r="B15" s="64" t="s">
        <v>220</v>
      </c>
      <c r="C15" s="65">
        <f t="shared" ref="C15:E15" si="4">C6*$F15</f>
        <v>1.0006782407407406E-3</v>
      </c>
      <c r="D15" s="65">
        <f t="shared" si="4"/>
        <v>9.8333333333333324E-4</v>
      </c>
      <c r="E15" s="65">
        <f t="shared" si="4"/>
        <v>9.4522916666666681E-4</v>
      </c>
      <c r="F15">
        <v>1.18</v>
      </c>
      <c r="H15" s="64" t="s">
        <v>220</v>
      </c>
      <c r="I15" s="65">
        <f t="shared" ref="I15:K15" si="5">I6*$L15</f>
        <v>1.2043055555555557E-3</v>
      </c>
      <c r="J15" s="65">
        <f t="shared" si="5"/>
        <v>1.1630555555555554E-3</v>
      </c>
      <c r="K15" s="65">
        <f t="shared" si="5"/>
        <v>1.1216666666666666E-3</v>
      </c>
      <c r="L15">
        <v>1.2</v>
      </c>
      <c r="Q15" s="64" t="s">
        <v>220</v>
      </c>
      <c r="R15" s="65">
        <f t="shared" si="2"/>
        <v>9.0309374999999993E-4</v>
      </c>
      <c r="S15" s="65">
        <f t="shared" si="2"/>
        <v>8.7438541666666654E-4</v>
      </c>
      <c r="T15" s="65">
        <f t="shared" si="2"/>
        <v>8.4147916666666659E-4</v>
      </c>
      <c r="U15">
        <v>1.17</v>
      </c>
      <c r="W15" s="64" t="s">
        <v>220</v>
      </c>
      <c r="X15" s="65">
        <f t="shared" ref="X15:Z15" si="6">X6*$AA15</f>
        <v>1.0714131944444443E-3</v>
      </c>
      <c r="Y15" s="65">
        <f t="shared" si="6"/>
        <v>1.0229317129629629E-3</v>
      </c>
      <c r="Z15" s="65">
        <f t="shared" si="6"/>
        <v>9.8739699074074073E-4</v>
      </c>
      <c r="AA15">
        <v>1.19</v>
      </c>
    </row>
    <row r="16" spans="2:27" x14ac:dyDescent="0.45">
      <c r="B16" s="64" t="s">
        <v>221</v>
      </c>
      <c r="C16" s="65">
        <f t="shared" ref="C16:E16" si="7">C7*$F16</f>
        <v>7.2916898148148146E-4</v>
      </c>
      <c r="D16" s="65">
        <f t="shared" si="7"/>
        <v>7.1551157407407403E-4</v>
      </c>
      <c r="E16" s="65">
        <f t="shared" si="7"/>
        <v>6.9557175925925928E-4</v>
      </c>
      <c r="F16">
        <v>1.18</v>
      </c>
      <c r="H16" s="64" t="s">
        <v>221</v>
      </c>
      <c r="I16" s="65">
        <f t="shared" ref="I16:K16" si="8">I7*$L16</f>
        <v>8.5972222222222222E-4</v>
      </c>
      <c r="J16" s="65">
        <f t="shared" si="8"/>
        <v>8.4444444444444443E-4</v>
      </c>
      <c r="K16" s="65">
        <f t="shared" si="8"/>
        <v>8.2777777777777786E-4</v>
      </c>
      <c r="L16">
        <v>1.2</v>
      </c>
      <c r="Q16" s="64" t="s">
        <v>221</v>
      </c>
      <c r="R16" s="65">
        <f t="shared" si="2"/>
        <v>6.6895833333333325E-4</v>
      </c>
      <c r="S16" s="65">
        <f t="shared" si="2"/>
        <v>6.5121875E-4</v>
      </c>
      <c r="T16" s="65">
        <f t="shared" si="2"/>
        <v>6.3104166666666658E-4</v>
      </c>
      <c r="U16">
        <v>1.17</v>
      </c>
      <c r="W16" s="64" t="s">
        <v>221</v>
      </c>
      <c r="X16" s="65">
        <f t="shared" ref="X16:Z16" si="9">X7*$AA16</f>
        <v>7.9925578703703712E-4</v>
      </c>
      <c r="Y16" s="65">
        <f>Y7*$AA16</f>
        <v>7.6867939814814811E-4</v>
      </c>
      <c r="Z16" s="65">
        <f t="shared" si="9"/>
        <v>7.4636689814814813E-4</v>
      </c>
      <c r="AA16">
        <v>1.19</v>
      </c>
    </row>
    <row r="17" spans="2:27" ht="14.25" customHeight="1" x14ac:dyDescent="0.45">
      <c r="B17" s="64" t="s">
        <v>222</v>
      </c>
      <c r="C17" s="65">
        <f t="shared" ref="C17:E17" si="10">C8*$F17</f>
        <v>8.3952083333333329E-4</v>
      </c>
      <c r="D17" s="65">
        <f t="shared" si="10"/>
        <v>8.1876157407407407E-4</v>
      </c>
      <c r="E17" s="65">
        <f t="shared" si="10"/>
        <v>7.884421296296295E-4</v>
      </c>
      <c r="F17">
        <v>1.18</v>
      </c>
      <c r="H17" s="64" t="s">
        <v>222</v>
      </c>
      <c r="I17" s="65">
        <f t="shared" ref="I17:K17" si="11">I8*$L17</f>
        <v>9.5722222222222226E-4</v>
      </c>
      <c r="J17" s="65">
        <f t="shared" si="11"/>
        <v>9.3833333333333334E-4</v>
      </c>
      <c r="K17" s="65">
        <f t="shared" si="11"/>
        <v>9.1791666666666671E-4</v>
      </c>
      <c r="L17">
        <v>1.2</v>
      </c>
      <c r="Q17" s="64" t="s">
        <v>222</v>
      </c>
      <c r="R17" s="65">
        <f t="shared" si="2"/>
        <v>7.5034374999999982E-4</v>
      </c>
      <c r="S17" s="65">
        <f t="shared" si="2"/>
        <v>7.2407291666666659E-4</v>
      </c>
      <c r="T17" s="65">
        <f t="shared" si="2"/>
        <v>6.9401041666666656E-4</v>
      </c>
      <c r="U17">
        <v>1.17</v>
      </c>
      <c r="W17" s="64" t="s">
        <v>222</v>
      </c>
      <c r="X17" s="65">
        <f t="shared" ref="X17:Z17" si="12">X8*$AA17</f>
        <v>8.8368518518518505E-4</v>
      </c>
      <c r="Y17" s="65">
        <f>Y8*$AA17</f>
        <v>8.4649768518518516E-4</v>
      </c>
      <c r="Z17" s="65">
        <f t="shared" si="12"/>
        <v>8.192268518518518E-4</v>
      </c>
      <c r="AA17">
        <v>1.19</v>
      </c>
    </row>
    <row r="18" spans="2:27" x14ac:dyDescent="0.45">
      <c r="B18" s="64" t="s">
        <v>223</v>
      </c>
      <c r="C18" s="65">
        <f t="shared" ref="C18:E18" si="13">C9*$F18</f>
        <v>1.8833564814814815E-3</v>
      </c>
      <c r="D18" s="65">
        <f t="shared" si="13"/>
        <v>1.8460717592592589E-3</v>
      </c>
      <c r="E18" s="65">
        <f t="shared" si="13"/>
        <v>1.7914421296296294E-3</v>
      </c>
      <c r="F18">
        <v>1.18</v>
      </c>
      <c r="H18" s="64" t="s">
        <v>223</v>
      </c>
      <c r="I18" s="65">
        <f t="shared" ref="I18:K18" si="14">I9*$L18</f>
        <v>2.0254166666666663E-3</v>
      </c>
      <c r="J18" s="65">
        <f t="shared" si="14"/>
        <v>1.995416666666667E-3</v>
      </c>
      <c r="K18" s="65">
        <f t="shared" si="14"/>
        <v>1.9655555555555555E-3</v>
      </c>
      <c r="L18">
        <v>1.2</v>
      </c>
      <c r="Q18" s="64" t="s">
        <v>223</v>
      </c>
      <c r="R18" s="65">
        <f t="shared" si="2"/>
        <v>1.7196562499999998E-3</v>
      </c>
      <c r="S18" s="65">
        <f t="shared" si="2"/>
        <v>1.6714479166666668E-3</v>
      </c>
      <c r="T18" s="65">
        <f t="shared" si="2"/>
        <v>1.6164687499999999E-3</v>
      </c>
      <c r="U18">
        <v>1.17</v>
      </c>
      <c r="W18" s="64" t="s">
        <v>223</v>
      </c>
      <c r="X18" s="65">
        <f t="shared" ref="X18:Z18" si="15">X9*$AA18</f>
        <v>1.9194259259259262E-3</v>
      </c>
      <c r="Y18" s="65">
        <f t="shared" si="15"/>
        <v>1.8822384259259259E-3</v>
      </c>
      <c r="Z18" s="65">
        <f t="shared" si="15"/>
        <v>1.8551053240740739E-3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2.067458333333333E-3</v>
      </c>
      <c r="D19" s="65">
        <f t="shared" si="16"/>
        <v>2.0244374999999998E-3</v>
      </c>
      <c r="E19" s="65">
        <f t="shared" si="16"/>
        <v>1.961340277777778E-3</v>
      </c>
      <c r="F19">
        <v>1.18</v>
      </c>
      <c r="H19" s="64" t="s">
        <v>4</v>
      </c>
      <c r="I19" s="65">
        <f t="shared" ref="I19:K19" si="17">I10*$L19</f>
        <v>2.2669444444444443E-3</v>
      </c>
      <c r="J19" s="65">
        <f t="shared" si="17"/>
        <v>2.2183333333333334E-3</v>
      </c>
      <c r="K19" s="65">
        <f t="shared" si="17"/>
        <v>2.1695833333333333E-3</v>
      </c>
      <c r="L19">
        <v>1.2</v>
      </c>
      <c r="Q19" s="64" t="s">
        <v>4</v>
      </c>
      <c r="R19" s="65">
        <f t="shared" si="2"/>
        <v>1.8793124999999999E-3</v>
      </c>
      <c r="S19" s="65">
        <f t="shared" si="2"/>
        <v>1.8610312499999998E-3</v>
      </c>
      <c r="T19" s="65">
        <f t="shared" si="2"/>
        <v>1.8044270833333334E-3</v>
      </c>
      <c r="U19">
        <v>1.17</v>
      </c>
      <c r="W19" s="64" t="s">
        <v>4</v>
      </c>
      <c r="X19" s="65">
        <f t="shared" ref="X19:Z19" si="18">X10*$AA19</f>
        <v>2.103159722222222E-3</v>
      </c>
      <c r="Y19" s="65">
        <f t="shared" si="18"/>
        <v>2.0437974537037035E-3</v>
      </c>
      <c r="Z19" s="65">
        <f t="shared" si="18"/>
        <v>2.0004120370370371E-3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2026-02-08T16:27:29Z</dcterms:modified>
</cp:coreProperties>
</file>