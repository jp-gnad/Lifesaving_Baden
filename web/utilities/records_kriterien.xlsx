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A57B646E-2661-477F-B272-DB53D473297C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4" l="1"/>
  <c r="P10" i="14"/>
  <c r="Q9" i="14"/>
  <c r="P9" i="14"/>
  <c r="Q8" i="14"/>
  <c r="P8" i="14"/>
  <c r="Q7" i="14"/>
  <c r="P7" i="14"/>
  <c r="Q6" i="14"/>
  <c r="P6" i="14"/>
  <c r="Q5" i="14"/>
  <c r="P5" i="14"/>
  <c r="N10" i="14"/>
  <c r="N9" i="14"/>
  <c r="N8" i="14"/>
  <c r="N7" i="14"/>
  <c r="N6" i="14"/>
  <c r="N5" i="14"/>
  <c r="M10" i="14"/>
  <c r="M9" i="14"/>
  <c r="M8" i="14"/>
  <c r="M7" i="14"/>
  <c r="M6" i="14"/>
  <c r="M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E17" i="14"/>
  <c r="D17" i="14"/>
  <c r="C17" i="14"/>
  <c r="E16" i="14"/>
  <c r="N4" i="13" s="1"/>
  <c r="T4" i="13" s="1"/>
  <c r="D16" i="14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V8" i="13"/>
  <c r="Q7" i="13"/>
  <c r="W7" i="13" s="1"/>
  <c r="Q8" i="13"/>
  <c r="W8" i="13" s="1"/>
  <c r="P8" i="13"/>
  <c r="P9" i="13"/>
  <c r="V9" i="13" s="1"/>
  <c r="N6" i="13"/>
  <c r="T6" i="13" s="1"/>
  <c r="N5" i="13"/>
  <c r="T5" i="13" s="1"/>
  <c r="P6" i="13"/>
  <c r="V6" i="13" s="1"/>
  <c r="P5" i="13"/>
  <c r="V5" i="13" s="1"/>
  <c r="P4" i="13"/>
  <c r="V4" i="13" s="1"/>
  <c r="R6" i="13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<sst xmlns="http://schemas.openxmlformats.org/spreadsheetml/2006/main" count="662" uniqueCount="235">
  <si>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</si>
  <si>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</si>
  <si>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</si>
  <si>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</si>
  <si>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</si>
  <si>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</si>
  <si>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</si>
  <si>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</si>
  <si>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</si>
  <si>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</si>
  <si>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</si>
  <si>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</si>
  <si>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</si>
  <si>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</si>
  <si>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</si>
  <si>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</si>
  <si>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</si>
  <si>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</si>
  <si>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</si>
  <si>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</si>
  <si>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</si>
  <si>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</si>
  <si>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</si>
  <si>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</si>
  <si>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</si>
  <si>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</si>
  <si>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</si>
  <si>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</si>
  <si>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</si>
  <si>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</si>
  <si>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</si>
  <si>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</si>
  <si>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</si>
  <si>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</si>
  <si>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</si>
  <si>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</si>
  <si>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</si>
  <si>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</si>
  <si>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</si>
  <si>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</si>
  <si>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</si>
  <si>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</si>
  <si>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</si>
  <si>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</si>
  <si>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</si>
  <si>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</si>
  <si>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</si>
  <si>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</si>
  <si>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</si>
  <si>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</si>
  <si>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</si>
  <si>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</si>
  <si>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</si>
  <si>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</si>
  <si>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</si>
  <si>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</si>
  <si>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</si>
  <si>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</si>
  <si>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</si>
  <si>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</si>
  <si>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</si>
  <si>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</si>
  <si>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</si>
  <si>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</si>
  <si>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</si>
  <si>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</si>
  <si>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</si>
  <si>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</si>
  <si>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</si>
  <si>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</si>
  <si>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</si>
  <si>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</si>
  <si>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</si>
  <si>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</si>
  <si>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</si>
  <si>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</si>
  <si>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</si>
  <si>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</si>
  <si>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</si>
  <si>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</si>
  <si>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</si>
  <si>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</si>
  <si>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</si>
  <si>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</si>
  <si>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</si>
  <si>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</si>
  <si>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</si>
  <si>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</si>
  <si>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</si>
  <si>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</si>
  <si>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</si>
  <si>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</si>
  <si>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</si>
  <si>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</si>
  <si>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</si>
  <si>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</si>
  <si>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</si>
  <si>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</si>
  <si>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</si>
  <si>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</si>
  <si>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</si>
  <si>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</si>
  <si>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</si>
  <si>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</si>
  <si>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</si>
  <si>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</si>
  <si>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</si>
  <si>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</si>
  <si>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</si>
  <si>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</si>
  <si>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</si>
  <si>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</si>
  <si>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</si>
  <si>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</si>
  <si>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</si>
  <si>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</si>
  <si>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</si>
  <si>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</si>
  <si>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</si>
  <si>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</si>
  <si>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</si>
  <si>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</si>
  <si>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</si>
  <si>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</si>
  <si>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</si>
  <si>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</si>
  <si>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</si>
  <si>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</si>
  <si>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</si>
  <si>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</si>
  <si>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</si>
  <si>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</si>
  <si>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</si>
  <si>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</si>
  <si>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</si>
  <si>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</si>
  <si>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</si>
  <si>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</si>
  <si>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</si>
  <si>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</si>
  <si>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</si>
  <si>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</si>
  <si>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</si>
  <si>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</si>
  <si>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</si>
  <si>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</si>
  <si>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</si>
  <si>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</si>
  <si>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</si>
  <si>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</si>
  <si>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</si>
  <si>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</si>
  <si>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</si>
  <si>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</si>
  <si>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</si>
  <si>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</si>
  <si>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</si>
  <si>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</si>
  <si>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</si>
  <si>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</si>
  <si>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</si>
  <si>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</si>
  <si>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</si>
  <si>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</si>
  <si>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</si>
  <si>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</si>
  <si>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</si>
  <si>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</si>
  <si>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</si>
  <si>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</si>
  <si>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</si>
  <si>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</si>
  <si>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</si>
  <si>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</si>
  <si>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</si>
  <si>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</si>
  <si>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</si>
  <si>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</si>
  <si>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</si>
  <si>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</si>
  <si>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</si>
  <si>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</si>
  <si>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</si>
  <si>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</si>
  <si>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</si>
  <si>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</si>
  <si>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</si>
  <si>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</si>
  <si>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</si>
  <si>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</si>
  <si>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</si>
  <si>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</si>
  <si>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</si>
  <si>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</si>
  <si>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</si>
  <si>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</si>
  <si>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</si>
  <si>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</si>
  <si>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</si>
  <si>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</si>
  <si>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</si>
  <si>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</si>
  <si>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</si>
  <si>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</si>
  <si>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</si>
  <si>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</si>
  <si>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</si>
  <si>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</si>
  <si>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</si>
  <si>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</si>
  <si>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</si>
  <si>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</si>
  <si>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</si>
  <si>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</si>
  <si>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</si>
  <si>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</si>
  <si>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</si>
  <si>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</si>
  <si>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</si>
  <si>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</si>
  <si>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</si>
  <si>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</si>
  <si>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</si>
  <si>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</si>
  <si>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</si>
  <si>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</si>
  <si>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</si>
  <si>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</si>
  <si>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</si>
  <si>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</si>
  <si>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</si>
  <si>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</si>
  <si>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</si>
  <si>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(10-20%) ind</t>
  </si>
  <si>
    <t>NK2-W (10-20%) 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</si>
</sst>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2" fontId="0" fillId="0" borderId="0" xfId="0" applyNumberFormat="1" applyFont="1"/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0"/>
  <sheetViews>
    <sheetView tabSelected="1" workbookViewId="0">
      <selection activeCell="A9" sqref="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1.8763368055555554E-3</v>
      </c>
      <c r="R4" s="62">
        <f>Tabelle1!E18</f>
        <v>1.7167476851851849E-3</v>
      </c>
      <c r="S4" s="62">
        <f>M4</f>
        <v>4.3944444444444445E-4</v>
      </c>
      <c r="T4" s="62">
        <f t="shared" ref="T4:T9" si="0">N4</f>
        <v>6.951388888888888E-4</v>
      </c>
      <c r="U4" s="62">
        <f t="shared" ref="U4:U9" si="1">O4</f>
        <v>9.4430555555555544E-4</v>
      </c>
      <c r="V4" s="62">
        <f t="shared" ref="V4:V9" si="2">P4</f>
        <v>7.919444444444444E-4</v>
      </c>
      <c r="W4" s="62">
        <f t="shared" ref="W4:W9" si="3">Q4</f>
        <v>1.8763368055555554E-3</v>
      </c>
      <c r="X4" s="62">
        <f t="shared" ref="X4:X9" si="4">R4</f>
        <v>1.7167476851851849E-3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1.8985648148148143E-3</v>
      </c>
      <c r="R5" s="62">
        <f>Tabelle1!D18</f>
        <v>1.7369791666666664E-3</v>
      </c>
      <c r="S5" s="62">
        <f t="shared" ref="S5:S9" si="5">M5</f>
        <v>4.4430555555555553E-4</v>
      </c>
      <c r="T5" s="62">
        <f t="shared" si="0"/>
        <v>7.0194444444444449E-4</v>
      </c>
      <c r="U5" s="62">
        <f t="shared" si="1"/>
        <v>9.5805555555555553E-4</v>
      </c>
      <c r="V5" s="62">
        <f t="shared" si="2"/>
        <v>8.0902777777777776E-4</v>
      </c>
      <c r="W5" s="62">
        <f t="shared" si="3"/>
        <v>1.8985648148148143E-3</v>
      </c>
      <c r="X5" s="62">
        <f t="shared" si="4"/>
        <v>1.7369791666666664E-3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1.9191956018518516E-3</v>
      </c>
      <c r="R6" s="62">
        <f>Tabelle1!C18</f>
        <v>1.7556134259259259E-3</v>
      </c>
      <c r="S6" s="62">
        <f t="shared" si="5"/>
        <v>4.4861111111111105E-4</v>
      </c>
      <c r="T6" s="62">
        <f t="shared" si="0"/>
        <v>7.0833333333333328E-4</v>
      </c>
      <c r="U6" s="62">
        <f t="shared" si="1"/>
        <v>9.7083333333333342E-4</v>
      </c>
      <c r="V6" s="62">
        <f t="shared" si="2"/>
        <v>8.2472222222222224E-4</v>
      </c>
      <c r="W6" s="62">
        <f t="shared" si="3"/>
        <v>1.9191956018518516E-3</v>
      </c>
      <c r="X6" s="62">
        <f t="shared" si="4"/>
        <v>1.7556134259259259E-3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8.1805555555555548E-4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2.0345833333333331E-3</v>
      </c>
      <c r="R7" s="62">
        <f>Tabelle1!K18</f>
        <v>1.9047511574074075E-3</v>
      </c>
      <c r="S7" s="62">
        <f t="shared" si="5"/>
        <v>4.9831018518518529E-4</v>
      </c>
      <c r="T7" s="62">
        <f t="shared" si="0"/>
        <v>8.1805555555555548E-4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2.0345833333333331E-3</v>
      </c>
      <c r="X7" s="62">
        <f t="shared" si="4"/>
        <v>1.9047511574074075E-3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8.2736111111111118E-4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2.0496249999999998E-3</v>
      </c>
      <c r="R8" s="62">
        <f>Tabelle1!J18</f>
        <v>1.9119589120370371E-3</v>
      </c>
      <c r="S8" s="62">
        <f t="shared" si="5"/>
        <v>5.0836805555555563E-4</v>
      </c>
      <c r="T8" s="62">
        <f t="shared" si="0"/>
        <v>8.2736111111111118E-4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2.0496249999999998E-3</v>
      </c>
      <c r="X8" s="62">
        <f t="shared" si="4"/>
        <v>1.9119589120370371E-3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8.3597222222222222E-4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2.0636111111111111E-3</v>
      </c>
      <c r="R9" s="62">
        <f>Tabelle1!I18</f>
        <v>1.9186226851851851E-3</v>
      </c>
      <c r="S9" s="62">
        <f t="shared" si="5"/>
        <v>5.1791666666666663E-4</v>
      </c>
      <c r="T9" s="62">
        <f t="shared" si="0"/>
        <v>8.3597222222222222E-4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2.0636111111111111E-3</v>
      </c>
      <c r="X9" s="62">
        <f t="shared" si="4"/>
        <v>1.9186226851851851E-3</v>
      </c>
    </row>
    <row r="10" spans="1:24" x14ac:dyDescent="0.45">
      <c r="S10" s="67"/>
      <c r="T10" s="67"/>
      <c r="U10" s="67"/>
      <c r="V10" s="67"/>
      <c r="W10" s="67"/>
      <c r="X10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workbookViewId="0">
      <selection activeCell="L19" sqref="L1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>
        <f>I5-J5</f>
        <v>8.680555555555503E-6</v>
      </c>
      <c r="N5" s="67">
        <f t="shared" ref="N5:N10" si="0">J5-K5</f>
        <v>9.1435185185185174E-6</v>
      </c>
      <c r="P5" s="71">
        <f>(100-100/I5*J5)</f>
        <v>1.8436578171091327</v>
      </c>
      <c r="Q5" s="71">
        <f t="shared" ref="Q5:Q10" si="1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>
        <f t="shared" ref="M6:M10" si="2">I6-J6</f>
        <v>1.5277777777777685E-5</v>
      </c>
      <c r="N6" s="67">
        <f t="shared" si="0"/>
        <v>1.6550925925926043E-5</v>
      </c>
      <c r="P6" s="71">
        <f t="shared" ref="P6:P10" si="3">(100-100/I6*J6)</f>
        <v>1.6017473607571873</v>
      </c>
      <c r="Q6" s="71">
        <f t="shared" si="1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>
        <f t="shared" si="2"/>
        <v>7.1759259259258825E-6</v>
      </c>
      <c r="N7" s="67">
        <f t="shared" si="0"/>
        <v>7.7546296296296911E-6</v>
      </c>
      <c r="P7" s="71">
        <f t="shared" si="3"/>
        <v>1.0300714404386042</v>
      </c>
      <c r="Q7" s="71">
        <f t="shared" si="1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>
        <f t="shared" si="2"/>
        <v>1.018518518518534E-5</v>
      </c>
      <c r="N8" s="67">
        <f t="shared" si="0"/>
        <v>1.1111111111111044E-5</v>
      </c>
      <c r="P8" s="71">
        <f t="shared" si="3"/>
        <v>1.3083556348498604</v>
      </c>
      <c r="Q8" s="71">
        <f t="shared" si="1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>
        <f t="shared" si="2"/>
        <v>5.6712962962961536E-6</v>
      </c>
      <c r="N9" s="67">
        <f t="shared" si="0"/>
        <v>6.1342592592593306E-6</v>
      </c>
      <c r="P9" s="71">
        <f t="shared" si="3"/>
        <v>0.3473206691239028</v>
      </c>
      <c r="Q9" s="71">
        <f t="shared" si="1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>
        <f t="shared" si="2"/>
        <v>1.2268518518518661E-5</v>
      </c>
      <c r="N10" s="67">
        <f t="shared" si="0"/>
        <v>1.3194444444444581E-5</v>
      </c>
      <c r="P10" s="71">
        <f t="shared" si="3"/>
        <v>0.67774936061381652</v>
      </c>
      <c r="Q10" s="71">
        <f t="shared" si="1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4.4861111111111105E-4</v>
      </c>
      <c r="D14" s="65">
        <f t="shared" ref="D14:E14" si="4">D5*$F14</f>
        <v>4.4430555555555553E-4</v>
      </c>
      <c r="E14" s="65">
        <f t="shared" si="4"/>
        <v>4.3944444444444445E-4</v>
      </c>
      <c r="F14">
        <v>1.2</v>
      </c>
      <c r="H14" s="64" t="s">
        <v>0</v>
      </c>
      <c r="I14" s="65">
        <f>I5*$L14</f>
        <v>5.1791666666666663E-4</v>
      </c>
      <c r="J14" s="65">
        <f t="shared" ref="J14:K14" si="5">J5*$L14</f>
        <v>5.0836805555555563E-4</v>
      </c>
      <c r="K14" s="65">
        <f t="shared" si="5"/>
        <v>4.9831018518518529E-4</v>
      </c>
      <c r="L14">
        <v>1.1000000000000001</v>
      </c>
    </row>
    <row r="15" spans="2:17" x14ac:dyDescent="0.45">
      <c r="B15" s="64" t="s">
        <v>225</v>
      </c>
      <c r="C15" s="65">
        <f t="shared" ref="C15:E15" si="6">C6*$F15</f>
        <v>9.7083333333333342E-4</v>
      </c>
      <c r="D15" s="65">
        <f t="shared" si="6"/>
        <v>9.5805555555555553E-4</v>
      </c>
      <c r="E15" s="65">
        <f t="shared" si="6"/>
        <v>9.4430555555555544E-4</v>
      </c>
      <c r="F15">
        <v>1.2</v>
      </c>
      <c r="H15" s="64" t="s">
        <v>225</v>
      </c>
      <c r="I15" s="65">
        <f t="shared" ref="I15:K15" si="7">I6*$L15</f>
        <v>1.096892361111111E-3</v>
      </c>
      <c r="J15" s="65">
        <f t="shared" si="7"/>
        <v>1.0793229166666666E-3</v>
      </c>
      <c r="K15" s="65">
        <f t="shared" si="7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8">C7*$F16</f>
        <v>7.0833333333333328E-4</v>
      </c>
      <c r="D16" s="65">
        <f t="shared" si="8"/>
        <v>7.0194444444444449E-4</v>
      </c>
      <c r="E16" s="65">
        <f t="shared" si="8"/>
        <v>6.951388888888888E-4</v>
      </c>
      <c r="F16">
        <v>1.2</v>
      </c>
      <c r="H16" s="64" t="s">
        <v>226</v>
      </c>
      <c r="I16" s="65">
        <f t="shared" ref="I16:K16" si="9">I7*$L16</f>
        <v>8.3597222222222222E-4</v>
      </c>
      <c r="J16" s="65">
        <f t="shared" si="9"/>
        <v>8.2736111111111118E-4</v>
      </c>
      <c r="K16" s="65">
        <f t="shared" si="9"/>
        <v>8.1805555555555548E-4</v>
      </c>
      <c r="L16">
        <v>1.2</v>
      </c>
    </row>
    <row r="17" spans="2:12" x14ac:dyDescent="0.45">
      <c r="B17" s="64" t="s">
        <v>227</v>
      </c>
      <c r="C17" s="65">
        <f t="shared" ref="C17:E17" si="10">C8*$F17</f>
        <v>8.2472222222222224E-4</v>
      </c>
      <c r="D17" s="65">
        <f t="shared" si="10"/>
        <v>8.0902777777777776E-4</v>
      </c>
      <c r="E17" s="65">
        <f t="shared" si="10"/>
        <v>7.919444444444444E-4</v>
      </c>
      <c r="F17">
        <v>1.2</v>
      </c>
      <c r="H17" s="64" t="s">
        <v>227</v>
      </c>
      <c r="I17" s="65">
        <f t="shared" ref="I17:K17" si="11">I8*$L17</f>
        <v>8.9524305555555559E-4</v>
      </c>
      <c r="J17" s="65">
        <f t="shared" si="11"/>
        <v>8.8353009259259244E-4</v>
      </c>
      <c r="K17" s="65">
        <f t="shared" si="11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2">C9*$F18</f>
        <v>1.7556134259259259E-3</v>
      </c>
      <c r="D18" s="65">
        <f t="shared" si="12"/>
        <v>1.7369791666666664E-3</v>
      </c>
      <c r="E18" s="65">
        <f t="shared" si="12"/>
        <v>1.7167476851851849E-3</v>
      </c>
      <c r="F18">
        <v>1.1499999999999999</v>
      </c>
      <c r="H18" s="64" t="s">
        <v>228</v>
      </c>
      <c r="I18" s="65">
        <f t="shared" ref="I18:K18" si="13">I9*$L18</f>
        <v>1.9186226851851851E-3</v>
      </c>
      <c r="J18" s="65">
        <f t="shared" si="13"/>
        <v>1.9119589120370371E-3</v>
      </c>
      <c r="K18" s="65">
        <f t="shared" si="13"/>
        <v>1.9047511574074075E-3</v>
      </c>
      <c r="L18">
        <v>1.175</v>
      </c>
    </row>
    <row r="19" spans="2:12" x14ac:dyDescent="0.45">
      <c r="B19" s="64" t="s">
        <v>4</v>
      </c>
      <c r="C19" s="65">
        <f t="shared" ref="C19:E19" si="14">C10*$F19</f>
        <v>1.9191956018518516E-3</v>
      </c>
      <c r="D19" s="65">
        <f t="shared" si="14"/>
        <v>1.8985648148148143E-3</v>
      </c>
      <c r="E19" s="65">
        <f t="shared" si="14"/>
        <v>1.8763368055555554E-3</v>
      </c>
      <c r="F19">
        <v>1.1499999999999999</v>
      </c>
      <c r="H19" s="64" t="s">
        <v>4</v>
      </c>
      <c r="I19" s="65">
        <f t="shared" ref="I19:K19" si="15">I10*$L19</f>
        <v>2.0636111111111111E-3</v>
      </c>
      <c r="J19" s="65">
        <f t="shared" si="15"/>
        <v>2.0496249999999998E-3</v>
      </c>
      <c r="K19" s="65">
        <f t="shared" si="15"/>
        <v>2.0345833333333331E-3</v>
      </c>
      <c r="L19">
        <v>1.1399999999999999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2026-01-21T15:30:45Z</dcterms:modified>
</cp:coreProperties>
</file>