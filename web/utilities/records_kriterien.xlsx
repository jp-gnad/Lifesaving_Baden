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1FF0B556-458D-4621-88B6-AF4A1DBDC2FF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X10" i="13"/>
  <c r="W10" i="13"/>
  <c r="V10" i="13"/>
  <c r="U10" i="13"/>
  <c r="T10" i="13"/>
  <c r="S10" i="13"/>
  <c r="X9" i="13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N9" i="13" s="1"/>
  <c r="K15" i="14"/>
  <c r="O7" i="13" s="1"/>
  <c r="J15" i="14"/>
  <c r="O8" i="13" s="1"/>
  <c r="I15" i="14"/>
  <c r="O9" i="13" s="1"/>
  <c r="K14" i="14"/>
  <c r="M7" i="13" s="1"/>
  <c r="J14" i="14"/>
  <c r="M8" i="13" s="1"/>
  <c r="I14" i="14"/>
  <c r="M9" i="13" s="1"/>
  <c r="E19" i="14"/>
  <c r="Q4" i="13" s="1"/>
  <c r="D19" i="14"/>
  <c r="Q5" i="13" s="1"/>
  <c r="C19" i="14"/>
  <c r="Q6" i="13" s="1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P4" i="13" s="1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<sst xmlns="http://schemas.openxmlformats.org/spreadsheetml/2006/main" count="670" uniqueCount="237">
  <si>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</si>
  <si>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</si>
  <si>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</si>
  <si>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</si>
  <si>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</si>
  <si>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</si>
  <si>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</si>
  <si>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</si>
  <si>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</si>
  <si>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</si>
  <si>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</si>
  <si>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</si>
  <si>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</si>
  <si>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</si>
  <si>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</si>
  <si>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</si>
  <si>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</si>
  <si>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</si>
  <si>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</si>
  <si>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</si>
  <si>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</si>
  <si>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</si>
  <si>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</si>
  <si>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</si>
  <si>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</si>
  <si>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</si>
  <si>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</si>
  <si>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</si>
  <si>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</si>
  <si>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</si>
  <si>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</si>
  <si>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</si>
  <si>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</si>
  <si>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</si>
  <si>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</si>
  <si>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</si>
  <si>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</si>
  <si>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</si>
  <si>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</si>
  <si>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</si>
  <si>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</si>
  <si>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</si>
  <si>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</si>
  <si>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</si>
  <si>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</si>
  <si>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</si>
  <si>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</si>
  <si>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</si>
  <si>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</si>
  <si>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</si>
  <si>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</si>
  <si>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</si>
  <si>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</si>
  <si>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</si>
  <si>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</si>
  <si>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</si>
  <si>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</si>
  <si>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</si>
  <si>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</si>
  <si>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</si>
  <si>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</si>
  <si>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</si>
  <si>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</si>
  <si>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</si>
  <si>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</si>
  <si>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</si>
  <si>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</si>
  <si>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</si>
  <si>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</si>
  <si>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</si>
  <si>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</si>
  <si>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</si>
  <si>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</si>
  <si>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</si>
  <si>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</si>
  <si>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</si>
  <si>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</si>
  <si>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</si>
  <si>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</si>
  <si>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</si>
  <si>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</si>
  <si>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</si>
  <si>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</si>
  <si>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</si>
  <si>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</si>
  <si>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</si>
  <si>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</si>
  <si>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</si>
  <si>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</si>
  <si>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</si>
  <si>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</si>
  <si>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</si>
  <si>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</si>
  <si>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</si>
  <si>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</si>
  <si>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</si>
  <si>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</si>
  <si>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</si>
  <si>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</si>
  <si>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</si>
  <si>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</si>
  <si>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</si>
  <si>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</si>
  <si>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</si>
  <si>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</si>
  <si>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</si>
  <si>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</si>
  <si>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</si>
  <si>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</si>
  <si>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</si>
  <si>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</si>
  <si>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</si>
  <si>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</si>
  <si>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</si>
  <si>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</si>
  <si>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</si>
  <si>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</si>
  <si>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</si>
  <si>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</si>
  <si>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</si>
  <si>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</si>
  <si>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</si>
  <si>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</si>
  <si>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</si>
  <si>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</si>
  <si>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</si>
  <si>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</si>
  <si>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</si>
  <si>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</si>
  <si>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</si>
  <si>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</si>
  <si>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</si>
  <si>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</si>
  <si>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</si>
  <si>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</si>
  <si>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</si>
  <si>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</si>
  <si>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</si>
  <si>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</si>
  <si>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</si>
  <si>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</si>
  <si>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</si>
  <si>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</si>
  <si>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</si>
  <si>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</si>
  <si>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</si>
  <si>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</si>
  <si>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</si>
  <si>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</si>
  <si>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</si>
  <si>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</si>
  <si>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</si>
  <si>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</si>
  <si>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</si>
  <si>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</si>
  <si>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</si>
  <si>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</si>
  <si>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</si>
  <si>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</si>
  <si>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</si>
  <si>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</si>
  <si>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</si>
  <si>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</si>
  <si>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</si>
  <si>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</si>
  <si>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</si>
  <si>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</si>
  <si>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</si>
  <si>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</si>
  <si>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</si>
  <si>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</si>
  <si>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</si>
  <si>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</si>
  <si>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</si>
  <si>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</si>
  <si>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</si>
  <si>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</si>
  <si>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</si>
  <si>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</si>
  <si>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</si>
  <si>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</si>
  <si>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</si>
  <si>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</si>
  <si>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</si>
  <si>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</si>
  <si>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</si>
  <si>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</si>
  <si>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</si>
  <si>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</si>
  <si>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</si>
  <si>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</si>
  <si>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</si>
  <si>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</si>
  <si>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</si>
  <si>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</si>
  <si>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</si>
  <si>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</si>
  <si>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</si>
  <si>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</si>
  <si>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</si>
  <si>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</si>
  <si>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</si>
  <si>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</si>
  <si>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</si>
  <si>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</si>
  <si>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</si>
  <si>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</si>
  <si>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</si>
  <si>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</si>
  <si>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</si>
  <si>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</si>
  <si>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</si>
  <si>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</si>
  <si>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</si>
  <si>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</si>
  <si>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</si>
  <si>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</si>
  <si>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</si>
  <si>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</si>
  <si>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</si>
  <si>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</si>
  <si>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</si>
  <si>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</si>
  <si>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</si>
  <si>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</si>
  <si>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</si>
  <si>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</si>
  <si>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</si>
  <si>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</si>
  <si>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</si>
  <si>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</si>
  <si>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</si>
  <si>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</si>
  <si>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(20% / 25%Test)</t>
  </si>
  <si>
    <t>NK2-W (10% / 15%Test)</t>
  </si>
  <si>
    <t>AK15 W Normfenster 0,8</t>
  </si>
  <si>
    <t>Niveauabstand 1,4-1,7 w-10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</si>
</sst>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1" totalsRowShown="0" headerRowDxfId="43" dataDxfId="42">
  <autoFilter ref="A1:X11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F8" sqref="F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(M4/Tabelle1!$F$12)*(Tabelle1!$F$12+0.05)</f>
        <v>4.5775462962962962E-4</v>
      </c>
      <c r="T4" s="62">
        <f>(N4/Tabelle1!$F$12)*(Tabelle1!$F$12+0.05)</f>
        <v>7.2410300925925919E-4</v>
      </c>
      <c r="U4" s="62">
        <f>(O4/Tabelle1!$F$12)*(Tabelle1!$F$12+0.05)</f>
        <v>9.8365162037037019E-4</v>
      </c>
      <c r="V4" s="62">
        <f>(P4/Tabelle1!$F$12)*(Tabelle1!$F$12+0.05)</f>
        <v>8.2494212962962968E-4</v>
      </c>
      <c r="W4" s="62">
        <f>(Q4/Tabelle1!$F$12)*(Tabelle1!$F$12+0.05)</f>
        <v>2.0394965277777777E-3</v>
      </c>
      <c r="X4" s="62">
        <f>(R4/Tabelle1!$F$12)*(Tabelle1!$F$12+0.05)</f>
        <v>1.8660300925925923E-3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>(M5/Tabelle1!$F$12)*(Tabelle1!$F$12+0.05)</f>
        <v>4.6281828703703703E-4</v>
      </c>
      <c r="T5" s="62">
        <f>(N5/Tabelle1!$F$12)*(Tabelle1!$F$12+0.05)</f>
        <v>7.311921296296297E-4</v>
      </c>
      <c r="U5" s="62">
        <f>(O5/Tabelle1!$F$12)*(Tabelle1!$F$12+0.05)</f>
        <v>9.9797453703703702E-4</v>
      </c>
      <c r="V5" s="62">
        <f>(P5/Tabelle1!$F$12)*(Tabelle1!$F$12+0.05)</f>
        <v>8.427372685185186E-4</v>
      </c>
      <c r="W5" s="62">
        <f>(Q5/Tabelle1!$F$12)*(Tabelle1!$F$12+0.05)</f>
        <v>2.0636574074074068E-3</v>
      </c>
      <c r="X5" s="62">
        <f>(R5/Tabelle1!$F$12)*(Tabelle1!$F$12+0.05)</f>
        <v>1.8880208333333333E-3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>(M6/Tabelle1!$F$12)*(Tabelle1!$F$12+0.05)</f>
        <v>4.6730324074074068E-4</v>
      </c>
      <c r="T6" s="62">
        <f>(N6/Tabelle1!$F$12)*(Tabelle1!$F$12+0.05)</f>
        <v>7.378472222222222E-4</v>
      </c>
      <c r="U6" s="62">
        <f>(O6/Tabelle1!$F$12)*(Tabelle1!$F$12+0.05)</f>
        <v>1.0112847222222224E-3</v>
      </c>
      <c r="V6" s="62">
        <f>(P6/Tabelle1!$F$12)*(Tabelle1!$F$12+0.05)</f>
        <v>8.5908564814814821E-4</v>
      </c>
      <c r="W6" s="62">
        <f>(Q6/Tabelle1!$F$12)*(Tabelle1!$F$12+0.05)</f>
        <v>2.0860821759259261E-3</v>
      </c>
      <c r="X6" s="62">
        <f>(R6/Tabelle1!$F$12)*(Tabelle1!$F$12+0.05)</f>
        <v>1.9082754629629632E-3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>
        <f>(M7/Tabelle1!$L$12)*(Tabelle1!$L$12+0.05)</f>
        <v>5.2096064814814832E-4</v>
      </c>
      <c r="T7" s="62">
        <f>(N7/Tabelle1!$L$12)*(Tabelle1!$L$12+0.05)</f>
        <v>7.8396990740740749E-4</v>
      </c>
      <c r="U7" s="62">
        <f>(O7/Tabelle1!$L$12)*(Tabelle1!$L$12+0.05)</f>
        <v>1.0602893518518518E-3</v>
      </c>
      <c r="V7" s="62">
        <f>(P7/Tabelle1!$L$12)*(Tabelle1!$L$12+0.05)</f>
        <v>8.7075231481481487E-4</v>
      </c>
      <c r="W7" s="62">
        <f>(Q7/Tabelle1!$L$12)*(Tabelle1!$L$12+0.05)</f>
        <v>2.0524305555555556E-3</v>
      </c>
      <c r="X7" s="62">
        <f>(R7/Tabelle1!$L$12)*(Tabelle1!$L$12+0.05)</f>
        <v>1.8642245370370373E-3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>
        <f>(M8/Tabelle1!$L$12)*(Tabelle1!$L$12+0.05)</f>
        <v>5.3147569444444455E-4</v>
      </c>
      <c r="T8" s="62">
        <f>(N8/Tabelle1!$L$12)*(Tabelle1!$L$12+0.05)</f>
        <v>7.9288773148148166E-4</v>
      </c>
      <c r="U8" s="62">
        <f>(O8/Tabelle1!$L$12)*(Tabelle1!$L$12+0.05)</f>
        <v>1.0793229166666668E-3</v>
      </c>
      <c r="V8" s="62">
        <f>(P8/Tabelle1!$L$12)*(Tabelle1!$L$12+0.05)</f>
        <v>8.8353009259259255E-4</v>
      </c>
      <c r="W8" s="62">
        <f>(Q8/Tabelle1!$L$12)*(Tabelle1!$L$12+0.05)</f>
        <v>2.0676041666666668E-3</v>
      </c>
      <c r="X8" s="62">
        <f>(R8/Tabelle1!$L$12)*(Tabelle1!$L$12+0.05)</f>
        <v>1.8712789351851855E-3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7.6630787037037043E-4</v>
      </c>
      <c r="O9" s="62">
        <f>Tabelle1!I15</f>
        <v>1.049201388888889E-3</v>
      </c>
      <c r="P9" s="62">
        <f>Tabelle1!I17</f>
        <v>8.563194444444446E-4</v>
      </c>
      <c r="Q9" s="62">
        <f>Tabelle1!I19</f>
        <v>1.9912037037037038E-3</v>
      </c>
      <c r="R9" s="62">
        <f>Tabelle1!I18</f>
        <v>1.7961574074074073E-3</v>
      </c>
      <c r="S9" s="62">
        <f>(M9/Tabelle1!$L$12)*(Tabelle1!$L$12+0.05)</f>
        <v>5.4145833333333335E-4</v>
      </c>
      <c r="T9" s="62">
        <f>(N9/Tabelle1!$L$12)*(Tabelle1!$L$12+0.05)</f>
        <v>8.0114004629629643E-4</v>
      </c>
      <c r="U9" s="62">
        <f>(O9/Tabelle1!$L$12)*(Tabelle1!$L$12+0.05)</f>
        <v>1.0968923611111114E-3</v>
      </c>
      <c r="V9" s="62">
        <f>(P9/Tabelle1!$L$12)*(Tabelle1!$L$12+0.05)</f>
        <v>8.952430555555557E-4</v>
      </c>
      <c r="W9" s="62">
        <f>(Q9/Tabelle1!$L$12)*(Tabelle1!$L$12+0.05)</f>
        <v>2.0817129629629632E-3</v>
      </c>
      <c r="X9" s="62">
        <f>(R9/Tabelle1!$L$12)*(Tabelle1!$L$12+0.05)</f>
        <v>1.877800925925926E-3</v>
      </c>
    </row>
    <row r="10" spans="1:24" x14ac:dyDescent="0.45">
      <c r="A10" s="59" t="s">
        <v>235</v>
      </c>
      <c r="B10" s="59" t="s">
        <v>164</v>
      </c>
      <c r="C10" s="59">
        <v>13</v>
      </c>
      <c r="D10" s="59">
        <v>16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179</v>
      </c>
      <c r="J10" s="59"/>
      <c r="K10" s="59"/>
      <c r="L10" s="59">
        <v>10</v>
      </c>
      <c r="M10" s="62">
        <v>5.4239999999999996E-4</v>
      </c>
      <c r="N10" s="62">
        <v>8.5547824074074072E-4</v>
      </c>
      <c r="O10" s="62">
        <v>1.0492013888888888E-3</v>
      </c>
      <c r="P10" s="62">
        <v>8.7188888888888895E-4</v>
      </c>
      <c r="Q10" s="62">
        <v>1.9712916666666668E-3</v>
      </c>
      <c r="R10" s="62">
        <v>1.9267870370370367E-3</v>
      </c>
      <c r="S10" s="62">
        <f>JRP_konfig[[#This Row],[PZ1 - 50m Retten]]</f>
        <v>5.4239999999999996E-4</v>
      </c>
      <c r="T10" s="62">
        <f>JRP_konfig[[#This Row],[PZ1 - 50m Retten]]</f>
        <v>5.4239999999999996E-4</v>
      </c>
      <c r="U10" s="62">
        <f>JRP_konfig[[#This Row],[PZ1 - 50m Retten]]</f>
        <v>5.4239999999999996E-4</v>
      </c>
      <c r="V10" s="62">
        <f>JRP_konfig[[#This Row],[PZ1 - 50m Retten]]</f>
        <v>5.4239999999999996E-4</v>
      </c>
      <c r="W10" s="62">
        <f>JRP_konfig[[#This Row],[PZ1 - 50m Retten]]</f>
        <v>5.4239999999999996E-4</v>
      </c>
      <c r="X10" s="62">
        <f>JRP_konfig[[#This Row],[PZ1 - 50m Retten]]</f>
        <v>5.4239999999999996E-4</v>
      </c>
    </row>
    <row r="11" spans="1:24" x14ac:dyDescent="0.45">
      <c r="A11" s="59" t="s">
        <v>236</v>
      </c>
      <c r="B11" s="59" t="s">
        <v>164</v>
      </c>
      <c r="C11" s="59">
        <v>13</v>
      </c>
      <c r="D11" s="59">
        <v>16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179</v>
      </c>
      <c r="J11" s="59"/>
      <c r="K11" s="59"/>
      <c r="L11" s="59">
        <v>10</v>
      </c>
      <c r="M11" s="62">
        <v>5.1179583333333333E-4</v>
      </c>
      <c r="N11" s="62">
        <v>8.0114004629629632E-4</v>
      </c>
      <c r="O11" s="62">
        <v>1.096892361111111E-3</v>
      </c>
      <c r="P11" s="62">
        <v>8.913506944444445E-4</v>
      </c>
      <c r="Q11" s="62">
        <v>2.110675925925926E-3</v>
      </c>
      <c r="R11" s="62">
        <v>1.8778009259259258E-3</v>
      </c>
      <c r="S11" s="62">
        <f>M11</f>
        <v>5.1179583333333333E-4</v>
      </c>
      <c r="T11" s="62">
        <f t="shared" ref="T11:X11" si="0">N11</f>
        <v>8.0114004629629632E-4</v>
      </c>
      <c r="U11" s="62">
        <f t="shared" si="0"/>
        <v>1.096892361111111E-3</v>
      </c>
      <c r="V11" s="62">
        <f t="shared" si="0"/>
        <v>8.913506944444445E-4</v>
      </c>
      <c r="W11" s="62">
        <f t="shared" si="0"/>
        <v>2.110675925925926E-3</v>
      </c>
      <c r="X11" s="62">
        <f t="shared" si="0"/>
        <v>1.8778009259259258E-3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H3" sqref="H3:L19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231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232</v>
      </c>
      <c r="F12">
        <v>1.2</v>
      </c>
      <c r="H12" t="s">
        <v>232</v>
      </c>
      <c r="L12">
        <v>1.1000000000000001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5.1791666666666663E-4</v>
      </c>
      <c r="J14" s="65">
        <f t="shared" ref="J14:K14" si="1">J5*$L$12</f>
        <v>5.0836805555555563E-4</v>
      </c>
      <c r="K14" s="65">
        <f t="shared" si="1"/>
        <v>4.9831018518518529E-4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1.049201388888889E-3</v>
      </c>
      <c r="J15" s="65">
        <f t="shared" si="3"/>
        <v>1.0323958333333335E-3</v>
      </c>
      <c r="K15" s="65">
        <f t="shared" si="3"/>
        <v>1.0141898148148148E-3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7.6630787037037043E-4</v>
      </c>
      <c r="J16" s="65">
        <f t="shared" si="5"/>
        <v>7.5841435185185202E-4</v>
      </c>
      <c r="K16" s="65">
        <f t="shared" si="5"/>
        <v>7.4988425925925928E-4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8.563194444444446E-4</v>
      </c>
      <c r="J17" s="65">
        <f t="shared" si="7"/>
        <v>8.4511574074074068E-4</v>
      </c>
      <c r="K17" s="65">
        <f t="shared" si="7"/>
        <v>8.3289351851851851E-4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1.7961574074074073E-3</v>
      </c>
      <c r="J18" s="65">
        <f t="shared" si="9"/>
        <v>1.7899189814814817E-3</v>
      </c>
      <c r="K18" s="65">
        <f t="shared" si="9"/>
        <v>1.7831712962962964E-3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1.9912037037037038E-3</v>
      </c>
      <c r="J19" s="65">
        <f t="shared" si="10"/>
        <v>1.9777083333333335E-3</v>
      </c>
      <c r="K19" s="65">
        <f t="shared" si="10"/>
        <v>1.9631944444444445E-3</v>
      </c>
    </row>
    <row r="22" spans="2:11" x14ac:dyDescent="0.45">
      <c r="B22" s="63"/>
      <c r="C22" s="66"/>
      <c r="D22" s="66"/>
      <c r="E22" s="66"/>
      <c r="I22" s="67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2026-01-21T14:56:18Z</dcterms:modified>
</cp:coreProperties>
</file>